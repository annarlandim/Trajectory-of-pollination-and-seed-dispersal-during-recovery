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umde-my.sharepoint.com/personal/ugo_diniz_tum_de/Documents/PhD Project/DATA SPREADSHEETS/"/>
    </mc:Choice>
  </mc:AlternateContent>
  <xr:revisionPtr revIDLastSave="5174" documentId="13_ncr:1_{C67AA705-E640-46FF-8727-A6A23CC24705}" xr6:coauthVersionLast="47" xr6:coauthVersionMax="47" xr10:uidLastSave="{749B5763-F78B-491E-B7A8-964AD90CB316}"/>
  <bookViews>
    <workbookView xWindow="-120" yWindow="-120" windowWidth="26640" windowHeight="14370" activeTab="1" xr2:uid="{CB33DA08-C489-455E-BA40-CBC5EBC14269}"/>
  </bookViews>
  <sheets>
    <sheet name="Read me" sheetId="1" r:id="rId1"/>
    <sheet name="Moths individuals" sheetId="6" r:id="rId2"/>
    <sheet name="Summarized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" i="7" l="1"/>
  <c r="F415" i="6"/>
  <c r="F416" i="6"/>
  <c r="F606" i="6"/>
  <c r="F101" i="6"/>
  <c r="F393" i="6"/>
  <c r="F418" i="6"/>
  <c r="F436" i="6"/>
  <c r="F417" i="6"/>
  <c r="F414" i="6"/>
  <c r="F413" i="6"/>
  <c r="F398" i="6"/>
  <c r="D99" i="6"/>
</calcChain>
</file>

<file path=xl/sharedStrings.xml><?xml version="1.0" encoding="utf-8"?>
<sst xmlns="http://schemas.openxmlformats.org/spreadsheetml/2006/main" count="4155" uniqueCount="1050">
  <si>
    <t>Info</t>
  </si>
  <si>
    <t>Details:</t>
  </si>
  <si>
    <t>Collection period:</t>
  </si>
  <si>
    <t>March 2022 - December 2023</t>
  </si>
  <si>
    <t>Data from:</t>
  </si>
  <si>
    <t>Quantitative - count</t>
  </si>
  <si>
    <t>Quantitative - continuous</t>
  </si>
  <si>
    <t>Species</t>
  </si>
  <si>
    <t>NA</t>
  </si>
  <si>
    <t>Group</t>
  </si>
  <si>
    <t>Erebidae: Arctiinae</t>
  </si>
  <si>
    <t>Abrochia sp 1346</t>
  </si>
  <si>
    <t>Aclytia nr heber 2017</t>
  </si>
  <si>
    <t>Agaraea nr minuta 910</t>
  </si>
  <si>
    <t>Agaraea semivitrea 909</t>
  </si>
  <si>
    <t>Agylla cf zucarina 853</t>
  </si>
  <si>
    <t>Agylla nr argentifera 1154</t>
  </si>
  <si>
    <t>Agylla nr nivea 347</t>
  </si>
  <si>
    <t>Agylla sp 1185</t>
  </si>
  <si>
    <t>Agylla sp 854</t>
  </si>
  <si>
    <t>Agylla sp 855</t>
  </si>
  <si>
    <t>Agylla sp 858</t>
  </si>
  <si>
    <t>Agylla sp 860</t>
  </si>
  <si>
    <t>Amaxia cf lepida 913</t>
  </si>
  <si>
    <t>Amaxia pandama 912</t>
  </si>
  <si>
    <t>Amaxia pardalis 1285</t>
  </si>
  <si>
    <t>Amphelarctia priscilla gr 1181</t>
  </si>
  <si>
    <t>Antona sp 852</t>
  </si>
  <si>
    <t>Aptilosia crocea gr 866</t>
  </si>
  <si>
    <t>Apyre separata 911</t>
  </si>
  <si>
    <t>Araeomolis cf rhodographa 1079</t>
  </si>
  <si>
    <t>Areva nr trigemmis 868</t>
  </si>
  <si>
    <t>Astralarctia canalis 1051</t>
  </si>
  <si>
    <t>Atyphopsis nr modesta 772</t>
  </si>
  <si>
    <t>Balbura intervenata 1227</t>
  </si>
  <si>
    <t>Baritius (cf) cf grandis 918</t>
  </si>
  <si>
    <t>Baritius nr eleuthera 917</t>
  </si>
  <si>
    <t>Belemnia sp 775</t>
  </si>
  <si>
    <t>Bertholdia sp 920</t>
  </si>
  <si>
    <t>Bertholdia specularis 919</t>
  </si>
  <si>
    <t>Cacostatia nr germana 1131</t>
  </si>
  <si>
    <t>Castrica phalaenoides 1078</t>
  </si>
  <si>
    <t>Chetone cf ithrana 897</t>
  </si>
  <si>
    <t>Chrostosoma nr schausi 776</t>
  </si>
  <si>
    <t>Cisthene citrina 1324</t>
  </si>
  <si>
    <t>Cisthene croesus 869</t>
  </si>
  <si>
    <t>Cisthene sp 870</t>
  </si>
  <si>
    <t>Cisthene tessellata 1054</t>
  </si>
  <si>
    <t>Cloesia nr digna 1189</t>
  </si>
  <si>
    <t>Coreura simsoni 417</t>
  </si>
  <si>
    <t>Correbia nr minima 778</t>
  </si>
  <si>
    <t>Correbidia calopteridia 2004</t>
  </si>
  <si>
    <t>Correbidia germana 1274</t>
  </si>
  <si>
    <t>Correbidia sp 21</t>
  </si>
  <si>
    <t>Correbidia sp 779</t>
  </si>
  <si>
    <t>Correbidia sp 780</t>
  </si>
  <si>
    <t>Correbidia sp 781</t>
  </si>
  <si>
    <t>Cosmosoma (cf) nr xanthostictum 793</t>
  </si>
  <si>
    <t>Cosmosoma klagesi 310</t>
  </si>
  <si>
    <t>Cosmosoma nr angustimargo 2002</t>
  </si>
  <si>
    <t>Cosmosoma parambae 787</t>
  </si>
  <si>
    <t>Cosmosoma saron 1124</t>
  </si>
  <si>
    <t>Cosmosoma sp 786</t>
  </si>
  <si>
    <t>Cosmosoma sp 788</t>
  </si>
  <si>
    <t>Cosmosoma sp 789</t>
  </si>
  <si>
    <t>Cosmosoma sp 790</t>
  </si>
  <si>
    <t>Cosmosoma sp 791</t>
  </si>
  <si>
    <t>Cosmosoma sp 792</t>
  </si>
  <si>
    <t>Cratoplastis diluta gr 682</t>
  </si>
  <si>
    <t>Cresera annulata 921</t>
  </si>
  <si>
    <t>Druceius nr gigantea 799</t>
  </si>
  <si>
    <t>Dysschema cf perplexa 899</t>
  </si>
  <si>
    <t>Dysschema nr bruckleyi 898</t>
  </si>
  <si>
    <t>Dysschema viuda 900</t>
  </si>
  <si>
    <t>Ecdemus obscuratum 1111</t>
  </si>
  <si>
    <t>Echeta sp 922</t>
  </si>
  <si>
    <t>Elysius nr disciplaga 2346</t>
  </si>
  <si>
    <t>Elysius nr pyrosticta 923</t>
  </si>
  <si>
    <t>Emurena sp 924</t>
  </si>
  <si>
    <t>Epeiromulona nr phelina 1057</t>
  </si>
  <si>
    <t>Epidesma nr hoffmannsi 800</t>
  </si>
  <si>
    <t>Episcepsis demonis 1133</t>
  </si>
  <si>
    <t>Episcepsis fumata gr 824</t>
  </si>
  <si>
    <t>Episcepsis luctuosa 802</t>
  </si>
  <si>
    <t>Episcepsis sp 803</t>
  </si>
  <si>
    <t>Episcepsis sp 804</t>
  </si>
  <si>
    <t>Episcepsis thetis gr 2151</t>
  </si>
  <si>
    <t>Eucereon nr tarona 616</t>
  </si>
  <si>
    <t>Eucereon nr tarona 808</t>
  </si>
  <si>
    <t>Eucereon sp 1366</t>
  </si>
  <si>
    <t>Eucereon sp 806</t>
  </si>
  <si>
    <t>Eucereon sp 807</t>
  </si>
  <si>
    <t>Eucereon sp 809</t>
  </si>
  <si>
    <t>Eucereon sp 812</t>
  </si>
  <si>
    <t>Eucereon sp 813</t>
  </si>
  <si>
    <t>Eucereon sp 815</t>
  </si>
  <si>
    <t>Eucereon sp 821</t>
  </si>
  <si>
    <t>Eucereon sp 822</t>
  </si>
  <si>
    <t>Eudoliche nr longa 874</t>
  </si>
  <si>
    <t>Eupseudosoma (Idalus) nr involuta 935</t>
  </si>
  <si>
    <t>Euthyone cf simplex 877</t>
  </si>
  <si>
    <t>Euthyone sp 875</t>
  </si>
  <si>
    <t>Euthyone sp 876</t>
  </si>
  <si>
    <t>Evius cochenouri 925</t>
  </si>
  <si>
    <t>Evius hippia 926</t>
  </si>
  <si>
    <t>Evius sp 927</t>
  </si>
  <si>
    <t>Galethalea sp 825</t>
  </si>
  <si>
    <t>Gardinia nr magnifica 878</t>
  </si>
  <si>
    <t>Gorgonidia buckleyi 928</t>
  </si>
  <si>
    <t>Gymnelia (cf) sp 827</t>
  </si>
  <si>
    <t>Gymnelia sp 826</t>
  </si>
  <si>
    <t>Haemanota sp 1196</t>
  </si>
  <si>
    <t>Halysidota nr semibrunnea 1015</t>
  </si>
  <si>
    <t>Halysidota schausi 929</t>
  </si>
  <si>
    <t>Halysidota sp 930</t>
  </si>
  <si>
    <t>Halysidota sp 931</t>
  </si>
  <si>
    <t>Heliactinidia sitia 901</t>
  </si>
  <si>
    <t>Heliura nr zonata 829</t>
  </si>
  <si>
    <t>Heliura sp 828</t>
  </si>
  <si>
    <t>Hyalurga fenestra 1006</t>
  </si>
  <si>
    <t>Hypercompe nr leucarctioides 1010</t>
  </si>
  <si>
    <t>Hypercompe nr muzina 765</t>
  </si>
  <si>
    <t>Hypocrita nr chalybea 903</t>
  </si>
  <si>
    <t>Hypocrita phanoptoides 904</t>
  </si>
  <si>
    <t>Hypocrita sp 905</t>
  </si>
  <si>
    <t>Idalus carinosa 933</t>
  </si>
  <si>
    <t>Idalus cf aleteria 932</t>
  </si>
  <si>
    <t>Idalus nr sublineata 936</t>
  </si>
  <si>
    <t>Idalus tybris 937</t>
  </si>
  <si>
    <t>Isanthrene meridensis 831</t>
  </si>
  <si>
    <t>Isanthrene sp 832</t>
  </si>
  <si>
    <t>Ischnognatha nr leucapera 939</t>
  </si>
  <si>
    <t>Kirrostola metaxantha gr 940/941</t>
  </si>
  <si>
    <t>Lophocampa sp 1357</t>
  </si>
  <si>
    <t>Lophocampa sp 943</t>
  </si>
  <si>
    <t>Lophocampa sp 944</t>
  </si>
  <si>
    <t>Lophocampa sp 945</t>
  </si>
  <si>
    <t>Loxophlebia sp 1272</t>
  </si>
  <si>
    <t>Lycomorphodes correbiodes gr 2096</t>
  </si>
  <si>
    <t>Macrocneme semiviridis 219</t>
  </si>
  <si>
    <t>Macrocneme sp 833</t>
  </si>
  <si>
    <t>Macroptila sp 857</t>
  </si>
  <si>
    <t>Melese cf asana 1041</t>
  </si>
  <si>
    <t>Melese cf incertus 1044</t>
  </si>
  <si>
    <t>Melese nr intensa 948</t>
  </si>
  <si>
    <t>Melese nr laodamia 947</t>
  </si>
  <si>
    <t>Melese sp 1023</t>
  </si>
  <si>
    <t>Melese sp 946</t>
  </si>
  <si>
    <t>Melese sp 949</t>
  </si>
  <si>
    <t>NN 1345</t>
  </si>
  <si>
    <t>NN 845</t>
  </si>
  <si>
    <t>NN 846</t>
  </si>
  <si>
    <t>NN 851</t>
  </si>
  <si>
    <t>Ochrodota pronapioides 951</t>
  </si>
  <si>
    <t>Ochrodota sp 1077</t>
  </si>
  <si>
    <t>Odozana cf inconspicua 1322</t>
  </si>
  <si>
    <t>Odozana sp 879</t>
  </si>
  <si>
    <t>Ormetica sp 993</t>
  </si>
  <si>
    <t>Ormetica sypilus 2013</t>
  </si>
  <si>
    <t>Parathyris cedonulli 954</t>
  </si>
  <si>
    <t>Pareuchaetes insulata 955</t>
  </si>
  <si>
    <t>Pelochyta amyeaderae 1067</t>
  </si>
  <si>
    <t>Pelochyta sp 1350</t>
  </si>
  <si>
    <t>Pelochyta sp 1358</t>
  </si>
  <si>
    <t>Phaeomolis nr polystria 956</t>
  </si>
  <si>
    <t>Pheia nr albisigna 834</t>
  </si>
  <si>
    <t>Poecilosoma sp 785</t>
  </si>
  <si>
    <t>Poliopastea sp 835</t>
  </si>
  <si>
    <t>Poliopastea sp 836</t>
  </si>
  <si>
    <t>Pseudepimolis sp 959</t>
  </si>
  <si>
    <t>Pseudepimolis sp 960</t>
  </si>
  <si>
    <t>Psilopleura haematica 1113</t>
  </si>
  <si>
    <t>Rhabdatomis sp 1055</t>
  </si>
  <si>
    <t>Ripha flammans 961</t>
  </si>
  <si>
    <t>Robinsonia sp 1349</t>
  </si>
  <si>
    <t>Sarosa (cf) sp 839</t>
  </si>
  <si>
    <t>Saurita (Valvaminor) nr temenus 1125</t>
  </si>
  <si>
    <t>Saurita cf tipulina 1145</t>
  </si>
  <si>
    <t>Saurita sanguinea 1142</t>
  </si>
  <si>
    <t>Saurita sp 840</t>
  </si>
  <si>
    <t>Saurita sp 998</t>
  </si>
  <si>
    <t>Scaptius asteroides 963</t>
  </si>
  <si>
    <t>Scaptius nr chrysopera 964</t>
  </si>
  <si>
    <t>Scaptius nr vinasia 965</t>
  </si>
  <si>
    <t>Sciopsyche nr tropica 2009</t>
  </si>
  <si>
    <t>Selenarctia cf schausi 1084</t>
  </si>
  <si>
    <t>Sychesia naias 966</t>
  </si>
  <si>
    <t>Symphlebia nr perflua 967</t>
  </si>
  <si>
    <t>Symphlebia tessellata 1260</t>
  </si>
  <si>
    <t>Talara nr cara 884</t>
  </si>
  <si>
    <t>Talara semiflava 882</t>
  </si>
  <si>
    <t>Talara sp 883</t>
  </si>
  <si>
    <t>Telioneura nr glaucopsis 843</t>
  </si>
  <si>
    <t>Theages decorum 1278</t>
  </si>
  <si>
    <t>Thyrgis militta 907</t>
  </si>
  <si>
    <t>Thysanoprymna hampsoni gr 2113</t>
  </si>
  <si>
    <t>Trichromia cardinalis gr 974</t>
  </si>
  <si>
    <t>Trichromia cf atta 970</t>
  </si>
  <si>
    <t>Trichromia nr discophora 973</t>
  </si>
  <si>
    <t>Trichromia nr rhodocraspis 971</t>
  </si>
  <si>
    <t>Trichromia sp 969</t>
  </si>
  <si>
    <t>Trichromia sp 972</t>
  </si>
  <si>
    <t>Trichromia sp 975</t>
  </si>
  <si>
    <t>Trichromia sp 976</t>
  </si>
  <si>
    <t>Trichromia sp 977</t>
  </si>
  <si>
    <t>Trichromia sp 978</t>
  </si>
  <si>
    <t>Tricypha imperialis 980</t>
  </si>
  <si>
    <t>Uranophora walkeri 1176</t>
  </si>
  <si>
    <t>Viviennea momyra 981</t>
  </si>
  <si>
    <t>Xenosoma cf bryki 908</t>
  </si>
  <si>
    <t>Zatrephes sp 983</t>
  </si>
  <si>
    <t>Sphingidae</t>
  </si>
  <si>
    <t>NN 1334</t>
  </si>
  <si>
    <t>Episcepsis venata 1141</t>
  </si>
  <si>
    <t>Heliura sp 823</t>
  </si>
  <si>
    <t>Flammeus betzi 1402</t>
  </si>
  <si>
    <t>Ormetica nr contraria 1030</t>
  </si>
  <si>
    <t>Pseudalyctia sp 844</t>
  </si>
  <si>
    <t>Napata leucotelus 847</t>
  </si>
  <si>
    <t>Clemensia sp 892</t>
  </si>
  <si>
    <t>Balburdia cf dorsigiana 894</t>
  </si>
  <si>
    <t>Dolichesia cf falsimonia 885</t>
  </si>
  <si>
    <t>Talara cf violescens 1397</t>
  </si>
  <si>
    <t>Virbia spp 766</t>
  </si>
  <si>
    <t>Watsonidia reimonan 982</t>
  </si>
  <si>
    <t>Adhemarius daphne 101</t>
  </si>
  <si>
    <t>Callionima pan pan 102</t>
  </si>
  <si>
    <t>Eumorpha capronnieri 105</t>
  </si>
  <si>
    <t>Manduca dalica 107</t>
  </si>
  <si>
    <t>Manduca florestan 112</t>
  </si>
  <si>
    <t>Xylophanes corpus 124</t>
  </si>
  <si>
    <t>Pachylia darceta 113</t>
  </si>
  <si>
    <t>Protambulux eurycles 115</t>
  </si>
  <si>
    <t>Xylophanes thyelia 117</t>
  </si>
  <si>
    <t>Xylophanes titana 120</t>
  </si>
  <si>
    <t>Xylophanes loelia 121</t>
  </si>
  <si>
    <t>Xylophanes sp 118</t>
  </si>
  <si>
    <t>Xylophanes zurcheri 122</t>
  </si>
  <si>
    <t>Erinnyis alope 104</t>
  </si>
  <si>
    <t>Isognathus scyron 106</t>
  </si>
  <si>
    <t>Pseudosphenoptera nr cocho 838</t>
  </si>
  <si>
    <t>Agylla zucarina gr 856</t>
  </si>
  <si>
    <t>proboscisLength</t>
  </si>
  <si>
    <t>wingLength</t>
  </si>
  <si>
    <t>wingArea</t>
  </si>
  <si>
    <t>bodyLength</t>
  </si>
  <si>
    <t>proboscisBodyRatio</t>
  </si>
  <si>
    <t>lightness</t>
  </si>
  <si>
    <t>contrast</t>
  </si>
  <si>
    <t>aspectRatio</t>
  </si>
  <si>
    <t>Aclytia heber 773</t>
  </si>
  <si>
    <t>Agrius cingulata 133</t>
  </si>
  <si>
    <t>Agylla sp 1156</t>
  </si>
  <si>
    <t>Amastus episcostosia 1229</t>
  </si>
  <si>
    <t>Amaxia sp 1354</t>
  </si>
  <si>
    <t>Ammalo helops gr 1410</t>
  </si>
  <si>
    <t>Arctiarpia melanopasta 916</t>
  </si>
  <si>
    <t>Cacostatia (cf) sp 1426</t>
  </si>
  <si>
    <t>Callionima nomius 103</t>
  </si>
  <si>
    <t>cf Metaxantha atribasis 1365</t>
  </si>
  <si>
    <t>Cocytius duponchel 109</t>
  </si>
  <si>
    <t>Correbidia cf costinitata 782</t>
  </si>
  <si>
    <t>Cosmosoma cf remotum 795</t>
  </si>
  <si>
    <t>Cosmosoma cf teuthras 1427</t>
  </si>
  <si>
    <t>Cosmosoma subflamma 304</t>
  </si>
  <si>
    <t>Delphyre nr flaviceps 1268</t>
  </si>
  <si>
    <t>Dycladia sp 794</t>
  </si>
  <si>
    <t>Dysschema cf leda 1361</t>
  </si>
  <si>
    <t>Echeta sp 1441</t>
  </si>
  <si>
    <t>Elysius sp 1359</t>
  </si>
  <si>
    <t>Epidesma (cf) sp 801</t>
  </si>
  <si>
    <t>Episcepsis sp 850</t>
  </si>
  <si>
    <t>Eucereon cf pseudarchias 1217</t>
  </si>
  <si>
    <t>Eucereon cf rogersi 1439</t>
  </si>
  <si>
    <t>Eucereon cf rosa 811</t>
  </si>
  <si>
    <t>Euthyone sp 1424</t>
  </si>
  <si>
    <t>Flammeus sp 810</t>
  </si>
  <si>
    <t>Gymnelia sp 1418</t>
  </si>
  <si>
    <t>Hypercompe sp 996</t>
  </si>
  <si>
    <t>Isostola cf nigrivenata 1375</t>
  </si>
  <si>
    <t>Loxophlebia cf flavipicta 1253</t>
  </si>
  <si>
    <t>Loxophlebia cf semifulva 997</t>
  </si>
  <si>
    <t>Manduca peggyae 108</t>
  </si>
  <si>
    <t>Manduca sp 140</t>
  </si>
  <si>
    <t>Manduca sp 141</t>
  </si>
  <si>
    <t>Manduca sp 142</t>
  </si>
  <si>
    <t>Munona sp 934</t>
  </si>
  <si>
    <t>NN "small Oryba" 10245</t>
  </si>
  <si>
    <t>NN 131</t>
  </si>
  <si>
    <t>NN 135</t>
  </si>
  <si>
    <t>NN 1379</t>
  </si>
  <si>
    <t>NN 896</t>
  </si>
  <si>
    <t>NN Xylophanes "strange patterns" 10931</t>
  </si>
  <si>
    <t>Oryba kadeni 127</t>
  </si>
  <si>
    <t>Pachydota sp 1411</t>
  </si>
  <si>
    <t>Pachydota sp nr 952</t>
  </si>
  <si>
    <t>Phaemolis (cf) cf curvena 1360</t>
  </si>
  <si>
    <t>Phoenicoprocta (cf) sp 1381</t>
  </si>
  <si>
    <t>Prepiella pexicera 1326</t>
  </si>
  <si>
    <t>Prosopidia sp 1216</t>
  </si>
  <si>
    <t>Protambulyx sp 116</t>
  </si>
  <si>
    <t>Pryteria colombiana 958</t>
  </si>
  <si>
    <t>Pseudophaloe tellinoides 906</t>
  </si>
  <si>
    <t>Robinsonia deiopea 962</t>
  </si>
  <si>
    <t>Saurita sp 1394</t>
  </si>
  <si>
    <t>Sutonocrea cf reducta 1356</t>
  </si>
  <si>
    <t>Talara cf lepida 1319</t>
  </si>
  <si>
    <t>Talara cf minynthadia 1336</t>
  </si>
  <si>
    <t>Theages sp 819</t>
  </si>
  <si>
    <t>Trichromia cf metapyria 1417</t>
  </si>
  <si>
    <t>Trichromia sp 1416</t>
  </si>
  <si>
    <t>Xylophanes sp 123</t>
  </si>
  <si>
    <t>Xylophanes sp 136</t>
  </si>
  <si>
    <t>Xylophanes sp 139</t>
  </si>
  <si>
    <t>Xylophanes sp 143</t>
  </si>
  <si>
    <t>Elysius sp 1439</t>
  </si>
  <si>
    <t>Psoloptera thoracica 1228</t>
  </si>
  <si>
    <t>U_10931</t>
  </si>
  <si>
    <t>U_8599</t>
  </si>
  <si>
    <t>U_10245</t>
  </si>
  <si>
    <t>EcEs-Lep-00002</t>
  </si>
  <si>
    <t>EcEs-Lep-00003</t>
  </si>
  <si>
    <t>EcEs-Lep-00004</t>
  </si>
  <si>
    <t>EcEs-Lep-00006</t>
  </si>
  <si>
    <t>EcEs-Lep-00008</t>
  </si>
  <si>
    <t>EcEs-Lep-00009</t>
  </si>
  <si>
    <t>EcEs-Lep-00010</t>
  </si>
  <si>
    <t>EcEs-Lep-00011</t>
  </si>
  <si>
    <t>EcEs-Lep-00012</t>
  </si>
  <si>
    <t>EcEs-Lep-00015</t>
  </si>
  <si>
    <t>EcEs-Lep-00016</t>
  </si>
  <si>
    <t>EcEs-Lep-00017</t>
  </si>
  <si>
    <t>EcEs-Lep-00018</t>
  </si>
  <si>
    <t>EcEs-Lep-00019</t>
  </si>
  <si>
    <t>EcEs-Lep-00020</t>
  </si>
  <si>
    <t>EcEs-Lep-00021</t>
  </si>
  <si>
    <t>EcEs-Lep-00022</t>
  </si>
  <si>
    <t>EcEs-Lep-00023</t>
  </si>
  <si>
    <t>EcEs-Lep-00027</t>
  </si>
  <si>
    <t>EcEs-Lep-00028</t>
  </si>
  <si>
    <t>EcEs-Lep-00030</t>
  </si>
  <si>
    <t>EcEs-Lep-00032</t>
  </si>
  <si>
    <t>EcEs-Lep-00034</t>
  </si>
  <si>
    <t>EcEs-Lep-00036</t>
  </si>
  <si>
    <t>EcEs-Lep-00039</t>
  </si>
  <si>
    <t>EcEs-Lep-00041</t>
  </si>
  <si>
    <t>EcEs-Lep-00042</t>
  </si>
  <si>
    <t>EcEs-Lep-00045</t>
  </si>
  <si>
    <t>EcEs-Lep-00046</t>
  </si>
  <si>
    <t>EcEs-Lep-00047</t>
  </si>
  <si>
    <t>EcEs-Lep-00048</t>
  </si>
  <si>
    <t>EcEs-Lep-00049</t>
  </si>
  <si>
    <t>EcEs-Lep-00050</t>
  </si>
  <si>
    <t>EcEs-Lep-00052</t>
  </si>
  <si>
    <t>EcEs-Lep-00055</t>
  </si>
  <si>
    <t>EcEs-Lep-00056</t>
  </si>
  <si>
    <t>EcEs-Lep-00058</t>
  </si>
  <si>
    <t>EcEs-Lep-00060</t>
  </si>
  <si>
    <t>EcEs-Lep-00062</t>
  </si>
  <si>
    <t>EcEs-Lep-00064</t>
  </si>
  <si>
    <t>EcEs-Lep-00065</t>
  </si>
  <si>
    <t>EcEs-Lep-00067</t>
  </si>
  <si>
    <t>EcEs-Lep-00068</t>
  </si>
  <si>
    <t>EcEs-Lep-00070</t>
  </si>
  <si>
    <t>EcEs-Lep-00073</t>
  </si>
  <si>
    <t>EcEs-Lep-00074</t>
  </si>
  <si>
    <t>EcEs-Lep-00075</t>
  </si>
  <si>
    <t>EcEs-Lep-00076</t>
  </si>
  <si>
    <t>EcEs-Lep-00077</t>
  </si>
  <si>
    <t>EcEs-Lep-00078</t>
  </si>
  <si>
    <t>EcEs-Lep-00081</t>
  </si>
  <si>
    <t>EcEs-Lep-00084</t>
  </si>
  <si>
    <t>EcEs-Lep-00091</t>
  </si>
  <si>
    <t>EcEs-Lep-00094</t>
  </si>
  <si>
    <t>EcEs-Lep-00096</t>
  </si>
  <si>
    <t>EcEs-Lep-00097</t>
  </si>
  <si>
    <t>EcEs-Lep-00098</t>
  </si>
  <si>
    <t>EcEs-Lep-00099</t>
  </si>
  <si>
    <t>EcEs-Lep-00104</t>
  </si>
  <si>
    <t>EcEs-Lep-00105</t>
  </si>
  <si>
    <t>EcEs-Lep-00111</t>
  </si>
  <si>
    <t>EcEs-Lep-00112</t>
  </si>
  <si>
    <t>EcEs-Lep-00119</t>
  </si>
  <si>
    <t>EcEs-Lep-00121</t>
  </si>
  <si>
    <t>EcEs-Lep-00123</t>
  </si>
  <si>
    <t>EcEs-Lep-00125</t>
  </si>
  <si>
    <t>EcEs-Lep-00127</t>
  </si>
  <si>
    <t>EcEs-Lep-00128</t>
  </si>
  <si>
    <t>EcEs-Lep-00130</t>
  </si>
  <si>
    <t>EcEs-Lep-00131</t>
  </si>
  <si>
    <t>EcEs-Lep-00136</t>
  </si>
  <si>
    <t>EcEs-Lep-00137</t>
  </si>
  <si>
    <t>EcEs-Lep-00138</t>
  </si>
  <si>
    <t>EcEs-Lep-00139</t>
  </si>
  <si>
    <t>EcEs-Lep-00140</t>
  </si>
  <si>
    <t>EcEs-Lep-00141</t>
  </si>
  <si>
    <t>EcEs-Lep-00142</t>
  </si>
  <si>
    <t>EcEs-Lep-00143</t>
  </si>
  <si>
    <t>EcEs-Lep-00144</t>
  </si>
  <si>
    <t>EcEs-Lep-00145</t>
  </si>
  <si>
    <t>EcEs-Lep-00146</t>
  </si>
  <si>
    <t>EcEs-Lep-00147</t>
  </si>
  <si>
    <t>EcEs-Lep-00148</t>
  </si>
  <si>
    <t>EcEs-Lep-00149</t>
  </si>
  <si>
    <t>EcEs-Lep-00151</t>
  </si>
  <si>
    <t>EcEs-Lep-00152</t>
  </si>
  <si>
    <t>EcEs-Lep-00153</t>
  </si>
  <si>
    <t>EcEs-Lep-00154</t>
  </si>
  <si>
    <t>EcEs-Lep-00156</t>
  </si>
  <si>
    <t>EcEs-Lep-00158</t>
  </si>
  <si>
    <t>EcEs-Lep-00159</t>
  </si>
  <si>
    <t>EcEs-Lep-00160</t>
  </si>
  <si>
    <t>EcEs-Lep-00162</t>
  </si>
  <si>
    <t>EcEs-Lep-00163</t>
  </si>
  <si>
    <t>EcEs-Lep-00165</t>
  </si>
  <si>
    <t>EcEs-Lep-00176</t>
  </si>
  <si>
    <t>EcEs-Lep-00178</t>
  </si>
  <si>
    <t>EcEs-Lep-00181</t>
  </si>
  <si>
    <t>EcEs-Lep-00183</t>
  </si>
  <si>
    <t>EcEs-Lep-00184</t>
  </si>
  <si>
    <t>EcEs-Lep-00185</t>
  </si>
  <si>
    <t>EcEs-Lep-00187</t>
  </si>
  <si>
    <t>EcEs-Lep-00188</t>
  </si>
  <si>
    <t>EcEs-Lep-00190</t>
  </si>
  <si>
    <t>EcEs-Lep-00191</t>
  </si>
  <si>
    <t>EcEs-Lep-00192</t>
  </si>
  <si>
    <t>EcEs-Lep-00193</t>
  </si>
  <si>
    <t>EcEs-Lep-00194</t>
  </si>
  <si>
    <t>EcEs-Lep-00195</t>
  </si>
  <si>
    <t>EcEs-Lep-00196</t>
  </si>
  <si>
    <t>EcEs-Lep-00197</t>
  </si>
  <si>
    <t>EcEs-Lep-00198</t>
  </si>
  <si>
    <t>EcEs-Lep-00199</t>
  </si>
  <si>
    <t>EcEs-Lep-00202</t>
  </si>
  <si>
    <t>EcEs-Lep-00203</t>
  </si>
  <si>
    <t>EcEs-Lep-00205</t>
  </si>
  <si>
    <t>EcEs-Lep-00206</t>
  </si>
  <si>
    <t>EcEs-Lep-00208</t>
  </si>
  <si>
    <t>EcEs-Lep-00209</t>
  </si>
  <si>
    <t>EcEs-Lep-00210</t>
  </si>
  <si>
    <t>EcEs-Lep-00211</t>
  </si>
  <si>
    <t>EcEs-Lep-00212</t>
  </si>
  <si>
    <t>EcEs-Lep-00213</t>
  </si>
  <si>
    <t>EcEs-Lep-00215</t>
  </si>
  <si>
    <t>EcEs-Lep-00216</t>
  </si>
  <si>
    <t>EcEs-Lep-00217</t>
  </si>
  <si>
    <t>EcEs-Lep-00219</t>
  </si>
  <si>
    <t>EcEs-Lep-00220</t>
  </si>
  <si>
    <t>EcEs-Lep-00221</t>
  </si>
  <si>
    <t>EcEs-Lep-00222</t>
  </si>
  <si>
    <t>EcEs-Lep-00223</t>
  </si>
  <si>
    <t>EcEs-Lep-00224</t>
  </si>
  <si>
    <t>EcEs-Lep-00225</t>
  </si>
  <si>
    <t>EcEs-Lep-00226</t>
  </si>
  <si>
    <t>EcEs-Lep-00227</t>
  </si>
  <si>
    <t>EcEs-Lep-00228</t>
  </si>
  <si>
    <t>EcEs-Lep-00229</t>
  </si>
  <si>
    <t>EcEs-Lep-00231</t>
  </si>
  <si>
    <t>EcEs-Lep-00232</t>
  </si>
  <si>
    <t>EcEs-Lep-00233</t>
  </si>
  <si>
    <t>EcEs-Lep-00234</t>
  </si>
  <si>
    <t>EcEs-Lep-00235</t>
  </si>
  <si>
    <t>EcEs-Lep-00237</t>
  </si>
  <si>
    <t>EcEs-Lep-00238</t>
  </si>
  <si>
    <t>EcEs-Lep-00240</t>
  </si>
  <si>
    <t>EcEs-Lep-00241</t>
  </si>
  <si>
    <t>EcEs-Lep-00242</t>
  </si>
  <si>
    <t>EcEs-Lep-00243</t>
  </si>
  <si>
    <t>EcEs-Lep-00245</t>
  </si>
  <si>
    <t>EcEs-Lep-00246</t>
  </si>
  <si>
    <t>EcEs-Lep-00247</t>
  </si>
  <si>
    <t>EcEs-Lep-00248</t>
  </si>
  <si>
    <t>EcEs-Lep-00249</t>
  </si>
  <si>
    <t>EcEs-Lep-00251</t>
  </si>
  <si>
    <t>EcEs-Lep-00253</t>
  </si>
  <si>
    <t>EcEs-Lep-00254</t>
  </si>
  <si>
    <t>EcEs-Lep-00256</t>
  </si>
  <si>
    <t>EcEs-Lep-00258</t>
  </si>
  <si>
    <t>EcEs-Lep-00259</t>
  </si>
  <si>
    <t>EcEs-Lep-00260</t>
  </si>
  <si>
    <t>EcEs-Lep-00261</t>
  </si>
  <si>
    <t>EcEs-Lep-00264</t>
  </si>
  <si>
    <t>EcEs-Lep-00265</t>
  </si>
  <si>
    <t>EcEs-Lep-00267</t>
  </si>
  <si>
    <t>EcEs-Lep-00268</t>
  </si>
  <si>
    <t>EcEs-Lep-00269</t>
  </si>
  <si>
    <t>EcEs-Lep-00271</t>
  </si>
  <si>
    <t>EcEs-Lep-00275</t>
  </si>
  <si>
    <t>EcEs-Lep-00276</t>
  </si>
  <si>
    <t>EcEs-Lep-00278</t>
  </si>
  <si>
    <t>EcEs-Lep-00279</t>
  </si>
  <si>
    <t>EcEs-Lep-00280</t>
  </si>
  <si>
    <t>EcEs-Lep-00281</t>
  </si>
  <si>
    <t>EcEs-Lep-00282</t>
  </si>
  <si>
    <t>EcEs-Lep-00283</t>
  </si>
  <si>
    <t>EcEs-Lep-00284</t>
  </si>
  <si>
    <t>EcEs-Lep-00285</t>
  </si>
  <si>
    <t>EcEs-Lep-00286</t>
  </si>
  <si>
    <t>EcEs-Lep-00287</t>
  </si>
  <si>
    <t>EcEs-Lep-00288</t>
  </si>
  <si>
    <t>EcEs-Lep-00289</t>
  </si>
  <si>
    <t>EcEs-Lep-00290</t>
  </si>
  <si>
    <t>EcEs-Lep-00291</t>
  </si>
  <si>
    <t>EcEs-Lep-00292</t>
  </si>
  <si>
    <t>EcEs-Lep-00293</t>
  </si>
  <si>
    <t>EcEs-Lep-00294</t>
  </si>
  <si>
    <t>EcEs-Lep-00295</t>
  </si>
  <si>
    <t>EcEs-Lep-00296</t>
  </si>
  <si>
    <t>EcEs-Lep-00297</t>
  </si>
  <si>
    <t>EcEs-Lep-00298</t>
  </si>
  <si>
    <t>EcEs-Lep-00303</t>
  </si>
  <si>
    <t>EcEs-Lep-00310</t>
  </si>
  <si>
    <t>EcEs-Lep-00312</t>
  </si>
  <si>
    <t>EcEs-Lep-00314</t>
  </si>
  <si>
    <t>EcEs-Lep-00316</t>
  </si>
  <si>
    <t>EcEs-Lep-00318</t>
  </si>
  <si>
    <t>EcEs-Lep-00320</t>
  </si>
  <si>
    <t>EcEs-Lep-00322</t>
  </si>
  <si>
    <t>EcEs-Lep-00323</t>
  </si>
  <si>
    <t>EcEs-Lep-00325</t>
  </si>
  <si>
    <t>EcEs-Lep-00327</t>
  </si>
  <si>
    <t>EcEs-Lep-00328</t>
  </si>
  <si>
    <t>EcEs-Lep-00329</t>
  </si>
  <si>
    <t>EcEs-Lep-00330</t>
  </si>
  <si>
    <t>EcEs-Lep-00331</t>
  </si>
  <si>
    <t>EcEs-Lep-00334</t>
  </si>
  <si>
    <t>EcEs-Lep-00342</t>
  </si>
  <si>
    <t>EcEs-Lep-00345</t>
  </si>
  <si>
    <t>EcEs-Lep-00348</t>
  </si>
  <si>
    <t>EcEs-Lep-00349</t>
  </si>
  <si>
    <t>EcEs-Lep-00355</t>
  </si>
  <si>
    <t>EcEs-Lep-00356</t>
  </si>
  <si>
    <t>EcEs-Lep-00357</t>
  </si>
  <si>
    <t>EcEs-Lep-00364</t>
  </si>
  <si>
    <t>EcEs-Lep-00365</t>
  </si>
  <si>
    <t>EcEs-Lep-00367</t>
  </si>
  <si>
    <t>EcEs-Lep-00370</t>
  </si>
  <si>
    <t>EcEs-Lep-00371</t>
  </si>
  <si>
    <t>EcEs-Lep-00372</t>
  </si>
  <si>
    <t>EcEs-Lep-00373</t>
  </si>
  <si>
    <t>EcEs-Lep-00375</t>
  </si>
  <si>
    <t>EcEs-Lep-00376</t>
  </si>
  <si>
    <t>EcEs-Lep-00377</t>
  </si>
  <si>
    <t>EcEs-Lep-00378</t>
  </si>
  <si>
    <t>EcEs-Lep-00379</t>
  </si>
  <si>
    <t>EcEs-Lep-00380</t>
  </si>
  <si>
    <t>EcEs-Lep-00382</t>
  </si>
  <si>
    <t>EcEs-Lep-00383</t>
  </si>
  <si>
    <t>EcEs-Lep-00384</t>
  </si>
  <si>
    <t>EcEs-Lep-00385</t>
  </si>
  <si>
    <t>EcEs-Lep-00388</t>
  </si>
  <si>
    <t>EcEs-Lep-00391</t>
  </si>
  <si>
    <t>EcEs-Lep-00394</t>
  </si>
  <si>
    <t>EcEs-Lep-00395</t>
  </si>
  <si>
    <t>EcEs-Lep-00396</t>
  </si>
  <si>
    <t>EcEs-Lep-00401</t>
  </si>
  <si>
    <t>EcEs-Lep-00402</t>
  </si>
  <si>
    <t>EcEs-Lep-00403</t>
  </si>
  <si>
    <t>EcEs-Lep-00406</t>
  </si>
  <si>
    <t>EcEs-Lep-00407</t>
  </si>
  <si>
    <t>EcEs-Lep-00410</t>
  </si>
  <si>
    <t>EcEs-Lep-00418</t>
  </si>
  <si>
    <t>EcEs-Lep-00420</t>
  </si>
  <si>
    <t>EcEs-Lep-00424</t>
  </si>
  <si>
    <t>EcEs-Lep-00432</t>
  </si>
  <si>
    <t>EcEs-Lep-00433</t>
  </si>
  <si>
    <t>EcEs-Lep-00438</t>
  </si>
  <si>
    <t>EcEs-Lep-00439</t>
  </si>
  <si>
    <t>EcEs-Lep-00441</t>
  </si>
  <si>
    <t>EcEs-Lep-00443</t>
  </si>
  <si>
    <t>EcEs-Lep-00444</t>
  </si>
  <si>
    <t>EcEs-Lep-00446</t>
  </si>
  <si>
    <t>EcEs-Lep-00447</t>
  </si>
  <si>
    <t>EcEs-Lep-00449</t>
  </si>
  <si>
    <t>EcEs-Lep-00451</t>
  </si>
  <si>
    <t>EcEs-Lep-00453</t>
  </si>
  <si>
    <t>EcEs-Lep-00454</t>
  </si>
  <si>
    <t>EcEs-Lep-00455</t>
  </si>
  <si>
    <t>EcEs-Lep-00459</t>
  </si>
  <si>
    <t>EcEs-Lep-00460</t>
  </si>
  <si>
    <t>EcEs-Lep-00463</t>
  </si>
  <si>
    <t>EcEs-Lep-00467</t>
  </si>
  <si>
    <t>EcEs-Lep-00472</t>
  </si>
  <si>
    <t>EcEs-Lep-00473</t>
  </si>
  <si>
    <t>EcEs-Lep-00479</t>
  </si>
  <si>
    <t>EcEs-Lep-00481</t>
  </si>
  <si>
    <t>EcEs-Lep-00485</t>
  </si>
  <si>
    <t>EcEs-Lep-00491</t>
  </si>
  <si>
    <t>EcEs-Lep-00493</t>
  </si>
  <si>
    <t>EcEs-Lep-00494</t>
  </si>
  <si>
    <t>EcEs-Lep-00495</t>
  </si>
  <si>
    <t>EcEs-Lep-00500</t>
  </si>
  <si>
    <t>EcEs-Lep-00502</t>
  </si>
  <si>
    <t>EcEs-Lep-00503</t>
  </si>
  <si>
    <t>EcEs-Lep-00504</t>
  </si>
  <si>
    <t>EcEs-Lep-00509</t>
  </si>
  <si>
    <t>EcEs-Lep-00510</t>
  </si>
  <si>
    <t>EcEs-Lep-00511</t>
  </si>
  <si>
    <t>EcEs-Lep-00512</t>
  </si>
  <si>
    <t>EcEs-Lep-00514</t>
  </si>
  <si>
    <t>EcEs-Lep-00516</t>
  </si>
  <si>
    <t>EcEs-Lep-00517</t>
  </si>
  <si>
    <t>EcEs-Lep-00519</t>
  </si>
  <si>
    <t>EcEs-Lep-00524</t>
  </si>
  <si>
    <t>EcEs-Lep-00528</t>
  </si>
  <si>
    <t>EcEs-Lep-00530</t>
  </si>
  <si>
    <t>EcEs-Lep-00531</t>
  </si>
  <si>
    <t>EcEs-Lep-00536</t>
  </si>
  <si>
    <t>EcEs-Lep-00541</t>
  </si>
  <si>
    <t>EcEs-Lep-00550</t>
  </si>
  <si>
    <t>EcEs-Lep-00551</t>
  </si>
  <si>
    <t>EcEs-Lep-00552</t>
  </si>
  <si>
    <t>EcEs-Lep-00553</t>
  </si>
  <si>
    <t>EcEs-Lep-00554</t>
  </si>
  <si>
    <t>EcEs-Lep-00556</t>
  </si>
  <si>
    <t>EcEs-Lep-00558</t>
  </si>
  <si>
    <t>EcEs-Lep-00559</t>
  </si>
  <si>
    <t>EcEs-Lep-00560</t>
  </si>
  <si>
    <t>EcEs-Lep-00561</t>
  </si>
  <si>
    <t>EcEs-Lep-00565</t>
  </si>
  <si>
    <t>EcEs-Lep-00586</t>
  </si>
  <si>
    <t>EcEs-Lep-00590</t>
  </si>
  <si>
    <t>EcEs-Lep-00591</t>
  </si>
  <si>
    <t>EcEs-Lep-00615</t>
  </si>
  <si>
    <t>EcEs-Lep-00618</t>
  </si>
  <si>
    <t>EcEs-Lep-00621</t>
  </si>
  <si>
    <t>EcEs-Lep-00630</t>
  </si>
  <si>
    <t>EcEs-Lep-00634</t>
  </si>
  <si>
    <t>EcEs-Lep-00657</t>
  </si>
  <si>
    <t>EcEs-Lep-00663</t>
  </si>
  <si>
    <t>EcEs-Lep-00669</t>
  </si>
  <si>
    <t>EcEs-Lep-00676</t>
  </si>
  <si>
    <t>EcEs-Lep-00685</t>
  </si>
  <si>
    <t>EcEs-Lep-00691</t>
  </si>
  <si>
    <t>EcEs-Lep-00702</t>
  </si>
  <si>
    <t>EcEs-Lep-00705</t>
  </si>
  <si>
    <t>EcEs-Lep-00709</t>
  </si>
  <si>
    <t>EcEs-Lep-00736</t>
  </si>
  <si>
    <t>EcEs-Lep-00753</t>
  </si>
  <si>
    <t>EcEs-Lep-00754</t>
  </si>
  <si>
    <t>EcEs-Lep-00769</t>
  </si>
  <si>
    <t>EcEs-Lep-00772</t>
  </si>
  <si>
    <t>EcEs-Lep-00777</t>
  </si>
  <si>
    <t>EcEs-Lep-00782</t>
  </si>
  <si>
    <t>EcEs-Lep-00783</t>
  </si>
  <si>
    <t>EcEs-Lep-00784</t>
  </si>
  <si>
    <t>EcEs-Lep-00785</t>
  </si>
  <si>
    <t>EcEs-Lep-00786</t>
  </si>
  <si>
    <t>EcEs-Lep-00787</t>
  </si>
  <si>
    <t>EcEs-Lep-00788</t>
  </si>
  <si>
    <t>EcEs-Lep-00789</t>
  </si>
  <si>
    <t>EcEs-Lep-00790</t>
  </si>
  <si>
    <t>EcEs-Lep-00791</t>
  </si>
  <si>
    <t>EcEs-Lep-00793</t>
  </si>
  <si>
    <t>EcEs-Lep-00794</t>
  </si>
  <si>
    <t>EcEs-Lep-00795</t>
  </si>
  <si>
    <t>EcEs-Lep-00797</t>
  </si>
  <si>
    <t>EcEs-Lep-00798</t>
  </si>
  <si>
    <t>EcEs-Lep-00799</t>
  </si>
  <si>
    <t>EcEs-Lep-00800</t>
  </si>
  <si>
    <t>EcEs-Lep-00801</t>
  </si>
  <si>
    <t>EcEs-Lep-00802</t>
  </si>
  <si>
    <t>EcEs-Lep-00803</t>
  </si>
  <si>
    <t>EcEs-Lep-00804</t>
  </si>
  <si>
    <t>EcEs-Lep-00807</t>
  </si>
  <si>
    <t>EcEs-Lep-00809</t>
  </si>
  <si>
    <t>EcEs-Lep-00810</t>
  </si>
  <si>
    <t>EcEs-Lep-00811</t>
  </si>
  <si>
    <t>EcEs-Lep-00814</t>
  </si>
  <si>
    <t>EcEs-Lep-00815</t>
  </si>
  <si>
    <t>EcEs-Lep-00816</t>
  </si>
  <si>
    <t>EcEs-Lep-00817</t>
  </si>
  <si>
    <t>EcEs-Lep-00818</t>
  </si>
  <si>
    <t>EcEs-Lep-00819</t>
  </si>
  <si>
    <t>EcEs-Lep-00820</t>
  </si>
  <si>
    <t>EcEs-Lep-00821</t>
  </si>
  <si>
    <t>EcEs-Lep-00822</t>
  </si>
  <si>
    <t>EcEs-Lep-00823</t>
  </si>
  <si>
    <t>EcEs-Lep-00824</t>
  </si>
  <si>
    <t>EcEs-Lep-00825</t>
  </si>
  <si>
    <t>EcEs-Lep-00826</t>
  </si>
  <si>
    <t>EcEs-Lep-00827</t>
  </si>
  <si>
    <t>EcEs-Lep-00829</t>
  </si>
  <si>
    <t>EcEs-Lep-00831</t>
  </si>
  <si>
    <t>EcEs-Lep-00832</t>
  </si>
  <si>
    <t>EcEs-Lep-00833</t>
  </si>
  <si>
    <t>EcEs-Lep-00834</t>
  </si>
  <si>
    <t>EcEs-Lep-00836</t>
  </si>
  <si>
    <t>EcEs-Lep-00837</t>
  </si>
  <si>
    <t>EcEs-Lep-00838</t>
  </si>
  <si>
    <t>EcEs-Lep-00839</t>
  </si>
  <si>
    <t>EcEs-Lep-00840</t>
  </si>
  <si>
    <t>EcEs-Lep-00841</t>
  </si>
  <si>
    <t>EcEs-Lep-00842</t>
  </si>
  <si>
    <t>EcEs-Lep-00843</t>
  </si>
  <si>
    <t>EcEs-Lep-00844</t>
  </si>
  <si>
    <t>EcEs-Lep-00847</t>
  </si>
  <si>
    <t>EcEs-Lep-00867</t>
  </si>
  <si>
    <t>EcEs-Lep-00871</t>
  </si>
  <si>
    <t>EcEs-Lep-00873</t>
  </si>
  <si>
    <t>EcEs-Lep-00879</t>
  </si>
  <si>
    <t>EcEs-Lep-00881</t>
  </si>
  <si>
    <t>EcEs-Lep-00883</t>
  </si>
  <si>
    <t>EcEs-Lep-00884</t>
  </si>
  <si>
    <t>EcEs-Lep-00889</t>
  </si>
  <si>
    <t>EcEs-Lep-00913</t>
  </si>
  <si>
    <t>EcEs-Lep-00982</t>
  </si>
  <si>
    <t>EcEs-Lep-00994</t>
  </si>
  <si>
    <t>EcEs-Lep-01042</t>
  </si>
  <si>
    <t>EcEs-Lep-01050</t>
  </si>
  <si>
    <t>EcEs-Lep-01075</t>
  </si>
  <si>
    <t>EcEs-Lep-01081</t>
  </si>
  <si>
    <t>EcEs-Lep-01091</t>
  </si>
  <si>
    <t>EcEs-Lep-01092</t>
  </si>
  <si>
    <t>EcEs-Lep-01118</t>
  </si>
  <si>
    <t>EcEs-Lep-01125</t>
  </si>
  <si>
    <t>EcEs-Lep-01128</t>
  </si>
  <si>
    <t>EcEs-Lep-01130</t>
  </si>
  <si>
    <t>EcEs-Lep-01132</t>
  </si>
  <si>
    <t>EcEs-Lep-01140</t>
  </si>
  <si>
    <t>EcEs-Lep-01142</t>
  </si>
  <si>
    <t>EcEs-Lep-01143</t>
  </si>
  <si>
    <t>EcEs-Lep-01144</t>
  </si>
  <si>
    <t>EcEs-Lep-01145</t>
  </si>
  <si>
    <t>EcEs-Lep-01146</t>
  </si>
  <si>
    <t>EcEs-Lep-01147</t>
  </si>
  <si>
    <t>EcEs-Lep-01148</t>
  </si>
  <si>
    <t>EcEs-Lep-01149</t>
  </si>
  <si>
    <t>EcEs-Lep-01150</t>
  </si>
  <si>
    <t>EcEs-Lep-01151</t>
  </si>
  <si>
    <t>EcEs-Lep-01152</t>
  </si>
  <si>
    <t>EcEs-Lep-01153</t>
  </si>
  <si>
    <t>EcEs-Lep-01155</t>
  </si>
  <si>
    <t>EcEs-Lep-01156</t>
  </si>
  <si>
    <t>EcEs-Lep-01157</t>
  </si>
  <si>
    <t>EcEs-Lep-01158</t>
  </si>
  <si>
    <t>EcEs-Lep-01159</t>
  </si>
  <si>
    <t>EcEs-Lep-01161</t>
  </si>
  <si>
    <t>EcEs-Lep-01162</t>
  </si>
  <si>
    <t>EcEs-Lep-01163</t>
  </si>
  <si>
    <t>EcEs-Lep-01164</t>
  </si>
  <si>
    <t>EcEs-Lep-01165</t>
  </si>
  <si>
    <t>EcEs-Lep-01166</t>
  </si>
  <si>
    <t>EcEs-Lep-01167</t>
  </si>
  <si>
    <t>EcEs-Lep-01168</t>
  </si>
  <si>
    <t>EcEs-Lep-01169</t>
  </si>
  <si>
    <t>EcEs-Lep-01170</t>
  </si>
  <si>
    <t>EcEs-Lep-01171</t>
  </si>
  <si>
    <t>EcEs-Lep-01173</t>
  </si>
  <si>
    <t>EcEs-Lep-01176</t>
  </si>
  <si>
    <t>EcEs-Lep-01179</t>
  </si>
  <si>
    <t>EcEs-Lep-01180</t>
  </si>
  <si>
    <t>EcEs-Lep-01182</t>
  </si>
  <si>
    <t>EcEs-Lep-01183</t>
  </si>
  <si>
    <t>EcEs-Lep-01187</t>
  </si>
  <si>
    <t>EcEs-Lep-01189</t>
  </si>
  <si>
    <t>EcEs-Lep-01279</t>
  </si>
  <si>
    <t>EcEs-Lep-01286</t>
  </si>
  <si>
    <t>EcEs-Lep-01308</t>
  </si>
  <si>
    <t>EcEs-Lep-01312</t>
  </si>
  <si>
    <t>EcEs-Lep-01317</t>
  </si>
  <si>
    <t>EcEs-Lep-01324</t>
  </si>
  <si>
    <t>EcEs-Lep-01457</t>
  </si>
  <si>
    <t>EcEs-Lep-01458</t>
  </si>
  <si>
    <t>EcEs-Lep-01459</t>
  </si>
  <si>
    <t>EcEs-Lep-01460</t>
  </si>
  <si>
    <t>EcEs-Lep-01465</t>
  </si>
  <si>
    <t>EcEs-Lep-01505</t>
  </si>
  <si>
    <t>EcEs-Lep-01507</t>
  </si>
  <si>
    <t>EcEs-Lep-01508</t>
  </si>
  <si>
    <t>EcEs-Lep-01512</t>
  </si>
  <si>
    <t>EcEs-Lep-01591</t>
  </si>
  <si>
    <t>EcEs-Lep-01593</t>
  </si>
  <si>
    <t>EcEs-Lep-01597</t>
  </si>
  <si>
    <t>EcEs-Lep-01623</t>
  </si>
  <si>
    <t>EcEs-Lep-01628</t>
  </si>
  <si>
    <t>EcEs-Lep-01629</t>
  </si>
  <si>
    <t>EcEs-Lep-01630</t>
  </si>
  <si>
    <t>EcEs-Lep-01631</t>
  </si>
  <si>
    <t>EcEs-Lep-01801</t>
  </si>
  <si>
    <t>EcEs-Lep-01802</t>
  </si>
  <si>
    <t>EcEs-Lep-01821</t>
  </si>
  <si>
    <t>EcEs-Lep-01822</t>
  </si>
  <si>
    <t>EcEs-Lep-01826</t>
  </si>
  <si>
    <t>EcEs-Lep-01827</t>
  </si>
  <si>
    <t>EcEs-Lep-01833</t>
  </si>
  <si>
    <t>EcEs-Lep-01861</t>
  </si>
  <si>
    <t>EcEs-Lep-01864</t>
  </si>
  <si>
    <t>EcEs-Lep-01906</t>
  </si>
  <si>
    <t>EcEs-Lep-01907</t>
  </si>
  <si>
    <t>EcEs-Lep-01908</t>
  </si>
  <si>
    <t>EcEs-Lep-01909</t>
  </si>
  <si>
    <t>EcEs-Lep-01972</t>
  </si>
  <si>
    <t>EcEs-Lep-01973</t>
  </si>
  <si>
    <t>EcEs-Lep-01980</t>
  </si>
  <si>
    <t>EcEs-Lep-02079</t>
  </si>
  <si>
    <t>EcEs-Lep-02080</t>
  </si>
  <si>
    <t>EcEs-Lep-02148</t>
  </si>
  <si>
    <t>EcEs-Lep-02149</t>
  </si>
  <si>
    <t>EcEs-Lep-02161</t>
  </si>
  <si>
    <t>EcEs-Lep-02175</t>
  </si>
  <si>
    <t>EcEs-Lep-02258</t>
  </si>
  <si>
    <t>EcEs-Lep-02298</t>
  </si>
  <si>
    <t>EcEs-Lep-02303</t>
  </si>
  <si>
    <t>EcEs-Lep-02304</t>
  </si>
  <si>
    <t>EcEs-Lep-02511</t>
  </si>
  <si>
    <t>EcEs-Lep-02513</t>
  </si>
  <si>
    <t>EcEs-Lep-03377</t>
  </si>
  <si>
    <t>EcEs-Lep-03423</t>
  </si>
  <si>
    <t>EcEs-Lep-03824</t>
  </si>
  <si>
    <t>EcEs-Lep-03832</t>
  </si>
  <si>
    <t>EcEs-Lep-03981</t>
  </si>
  <si>
    <t>EcEs-Lep-04015</t>
  </si>
  <si>
    <t>EcEs-Lep-04143</t>
  </si>
  <si>
    <t>EcEs-Lep-04287</t>
  </si>
  <si>
    <t>EcEs-Lep-04292</t>
  </si>
  <si>
    <t>EcEs-Lep-04297</t>
  </si>
  <si>
    <t>EcEs-Lep-04318</t>
  </si>
  <si>
    <t>EcEs-Lep-04326</t>
  </si>
  <si>
    <t>EcEs-Lep-04327</t>
  </si>
  <si>
    <t>EcEs-Lep-04329</t>
  </si>
  <si>
    <t>EcEs-Lep-04330</t>
  </si>
  <si>
    <t>EcEs-Lep-04333</t>
  </si>
  <si>
    <t>EcEs-Lep-04338</t>
  </si>
  <si>
    <t>EcEs-Lep-04348</t>
  </si>
  <si>
    <t>EcEs-Lep-04353</t>
  </si>
  <si>
    <t>EcEs-Lep-04373</t>
  </si>
  <si>
    <t>EcEs-Lep-04378</t>
  </si>
  <si>
    <t>EcEs-Lep-04532</t>
  </si>
  <si>
    <t>EcEs-Lep-04550</t>
  </si>
  <si>
    <t>EcEs-Lep-04552</t>
  </si>
  <si>
    <t>EcEs-Lep-04868</t>
  </si>
  <si>
    <t>EcEs-Lep-04872</t>
  </si>
  <si>
    <t>EcEs-Lep-04879</t>
  </si>
  <si>
    <t>EcEs-Lep-04922</t>
  </si>
  <si>
    <t>EcEs-Lep-04924</t>
  </si>
  <si>
    <t>EcEs-Lep-04928</t>
  </si>
  <si>
    <t>EcEs-Lep-04929</t>
  </si>
  <si>
    <t>EcEs-Lep-05118</t>
  </si>
  <si>
    <t>EcEs-Lep-05150</t>
  </si>
  <si>
    <t>EcEs-Lep-05168</t>
  </si>
  <si>
    <t>EcEs-Lep-05259</t>
  </si>
  <si>
    <t>EcEs-Lep-05260</t>
  </si>
  <si>
    <t>EcEs-Lep-05268</t>
  </si>
  <si>
    <t>EcEs-Lep-05346</t>
  </si>
  <si>
    <t>EcEs-Lep-05374</t>
  </si>
  <si>
    <t>EcEs-Lep-05375</t>
  </si>
  <si>
    <t>EcEs-Lep-05376</t>
  </si>
  <si>
    <t>EcEs-Lep-05377</t>
  </si>
  <si>
    <t>EcEs-Lep-05390</t>
  </si>
  <si>
    <t>EcEs-Lep-05432</t>
  </si>
  <si>
    <t>EcEs-Lep-05447</t>
  </si>
  <si>
    <t>EcEs-Lep-07729</t>
  </si>
  <si>
    <t>EcEs-Lep-07730</t>
  </si>
  <si>
    <t>EcEs-Lep-07825</t>
  </si>
  <si>
    <t>EcEs-Lep-07847</t>
  </si>
  <si>
    <t>EcEs-Lep-07888</t>
  </si>
  <si>
    <t>EcEs-Lep-07905</t>
  </si>
  <si>
    <t>EcEs-Lep-08194</t>
  </si>
  <si>
    <t>EcEs-Lep-08212</t>
  </si>
  <si>
    <t>EcEs-Lep-08253</t>
  </si>
  <si>
    <t>EcEs-Lep-08256</t>
  </si>
  <si>
    <t>EcEs-Lep-08275</t>
  </si>
  <si>
    <t>EcEs-Lep-08284</t>
  </si>
  <si>
    <t>EcEs-Lep-08295</t>
  </si>
  <si>
    <t>EcEs-Lep-08299</t>
  </si>
  <si>
    <t>EcEs-Lep-08322</t>
  </si>
  <si>
    <t>EcEs-Lep-08362</t>
  </si>
  <si>
    <t>EcEs-Lep-08447</t>
  </si>
  <si>
    <t>EcEs-Lep-08458</t>
  </si>
  <si>
    <t>EcEs-Lep-08493</t>
  </si>
  <si>
    <t>EcEs-Lep-08518</t>
  </si>
  <si>
    <t>EcEs-Lep-08529</t>
  </si>
  <si>
    <t>EcEs-Lep-08536</t>
  </si>
  <si>
    <t>EcEs-Lep-08546</t>
  </si>
  <si>
    <t>EcEs-Lep-08551</t>
  </si>
  <si>
    <t>EcEs-Lep-08562</t>
  </si>
  <si>
    <t>EcEs-Lep-08589</t>
  </si>
  <si>
    <t>EcEs-Lep-08598</t>
  </si>
  <si>
    <t>EcEs-Lep-08599</t>
  </si>
  <si>
    <t>EcEs-Lep-08600</t>
  </si>
  <si>
    <t>EcEs-Lep-08625</t>
  </si>
  <si>
    <t>EcEs-Lep-08631</t>
  </si>
  <si>
    <t>EcEs-Lep-08636</t>
  </si>
  <si>
    <t>EcEs-Lep-08659</t>
  </si>
  <si>
    <t>EcEs-Lep-08707</t>
  </si>
  <si>
    <t>EcEs-Lep-08745</t>
  </si>
  <si>
    <t>EcEs-Lep-08749</t>
  </si>
  <si>
    <t>EcEs-Lep-08750</t>
  </si>
  <si>
    <t>EcEs-Lep-08922</t>
  </si>
  <si>
    <t>EcEs-Lep-08950</t>
  </si>
  <si>
    <t>EcEs-Lep-09161</t>
  </si>
  <si>
    <t>EcEs-Lep-09223</t>
  </si>
  <si>
    <t>EcEs-Lep-09263</t>
  </si>
  <si>
    <t>EcEs-Lep-09774</t>
  </si>
  <si>
    <t>EcEs-Lep-10146</t>
  </si>
  <si>
    <t>EcEs-Lep-10189</t>
  </si>
  <si>
    <t>EcEs-Lep-10408</t>
  </si>
  <si>
    <t>EcEs-Lep-10434</t>
  </si>
  <si>
    <t>EcEs-Lep-10444</t>
  </si>
  <si>
    <t>EcEs-Lep-10458</t>
  </si>
  <si>
    <t>EcEs-Lep-10556</t>
  </si>
  <si>
    <t>EcEs-Lep-10682</t>
  </si>
  <si>
    <t>EcEs-Lep-10960</t>
  </si>
  <si>
    <t>EcEs-Lep-11504</t>
  </si>
  <si>
    <t>EcEs-Lep-11520</t>
  </si>
  <si>
    <t>EcEs-Lep-11714</t>
  </si>
  <si>
    <t>EcEs-Lep-11907</t>
  </si>
  <si>
    <t>EcEs-Lep-11938</t>
  </si>
  <si>
    <t>EcEs-Lep-11951</t>
  </si>
  <si>
    <t>EcEs-Lep-12134</t>
  </si>
  <si>
    <t>EcEs-Lep-12914</t>
  </si>
  <si>
    <t>EcEs-Lep-13344</t>
  </si>
  <si>
    <t>EcEs-Lep-13489</t>
  </si>
  <si>
    <t>EcEs-Lep-13639</t>
  </si>
  <si>
    <t>Individual</t>
  </si>
  <si>
    <t>OBS</t>
  </si>
  <si>
    <t>PL: proxy. Measure repeated from EcEs-Lep-00049</t>
  </si>
  <si>
    <t>PL: proxy. Measure repeated from EcEs-Lep-00068</t>
  </si>
  <si>
    <t>"short" in measurement. 1 mm used</t>
  </si>
  <si>
    <t>EcEs-Lep-00367b</t>
  </si>
  <si>
    <t>PL: proxy from 192</t>
  </si>
  <si>
    <t>PL: average from all measured Eucereons</t>
  </si>
  <si>
    <t>PL: average from all measured Amaxias</t>
  </si>
  <si>
    <t>PL: proxy from intervenata (0046)</t>
  </si>
  <si>
    <t>PL: average from all measured Correbidias</t>
  </si>
  <si>
    <t>PL: average from all measured Cosmosomas</t>
  </si>
  <si>
    <t>PL: average from all Dysschemias</t>
  </si>
  <si>
    <t>PL: proxy from pyrosicta (0878)</t>
  </si>
  <si>
    <t>PL: proxy from hoffmannsi (0048)</t>
  </si>
  <si>
    <t>NO proboscis (0,1 used for the sake of ccalculations)</t>
  </si>
  <si>
    <t>PL: average from all Episcepsis</t>
  </si>
  <si>
    <t>PL: average from all measured Euthyones</t>
  </si>
  <si>
    <t>PL: proxy from sp 826 (00187)</t>
  </si>
  <si>
    <t>PL: average from all measured Heliuras</t>
  </si>
  <si>
    <t>PL: average from all Hypocritas</t>
  </si>
  <si>
    <t>PL: average from all Lophocampas</t>
  </si>
  <si>
    <t>PL: average from all Idalus</t>
  </si>
  <si>
    <t>PL: average from all measured Trichromias</t>
  </si>
  <si>
    <t>"short" measurement. 1,0 used as approximation</t>
  </si>
  <si>
    <t>PL: average from all measured Theages</t>
  </si>
  <si>
    <t>PL: average from all Loxophlebias</t>
  </si>
  <si>
    <t>PL: proxy from semiviridis (0022)</t>
  </si>
  <si>
    <t>PL: proxy from inconspicua (0460)</t>
  </si>
  <si>
    <t>PL: average from all measured Ormeticas</t>
  </si>
  <si>
    <t>PL: average from all Pelochytas</t>
  </si>
  <si>
    <t>PL: proxy from polystria (0261)</t>
  </si>
  <si>
    <t>PL: proxy from deiopeia (0881)</t>
  </si>
  <si>
    <t>PL: average from all Sauritas</t>
  </si>
  <si>
    <t>PL: average from all Scaptius</t>
  </si>
  <si>
    <t>PL: average from all Talaras</t>
  </si>
  <si>
    <t>PL: average from all Symphlebias</t>
  </si>
  <si>
    <t>PL: average from 5 of Ugo's individuals (U_1388, U_1399, U_S993, S_1195, U_4564)</t>
  </si>
  <si>
    <t>PL: average from 2 of Ugo's individuals (U_S1583, U_4567)</t>
  </si>
  <si>
    <t>U_1394</t>
  </si>
  <si>
    <t>U_1395</t>
  </si>
  <si>
    <t>U_S754</t>
  </si>
  <si>
    <t>U_4137</t>
  </si>
  <si>
    <t>PL: measure from 1 of Ugo's individuals (U_3669)</t>
  </si>
  <si>
    <t>PL: measurement from 1 of Ugo's individuals (U_S1395)</t>
  </si>
  <si>
    <t>PL: measurement from 1 of Ugo's individuals (U_4228)</t>
  </si>
  <si>
    <t>PL: measurement from 1 of Ugo's individuals (U_4230)</t>
  </si>
  <si>
    <t>PL: measurement from 1 of Ugo's individuals (U_4568)</t>
  </si>
  <si>
    <t>PL: measure from 1 of Ugo's individuals (U_6781)</t>
  </si>
  <si>
    <t>PL: measurement from 1 of Ugo's individuals (U_6783)</t>
  </si>
  <si>
    <t>PL: average from all measured Manducas</t>
  </si>
  <si>
    <t>PL: Proxy from eurycles (0269)</t>
  </si>
  <si>
    <t>EcEs-Lep-01172</t>
  </si>
  <si>
    <t>EcEs-Lep-03838</t>
  </si>
  <si>
    <t>EcEs-Lep-04291</t>
  </si>
  <si>
    <t>BL, WL, WA, lightness, contrast: averageges of all Callionimas</t>
  </si>
  <si>
    <t>PL: average of 00868 and 00877</t>
  </si>
  <si>
    <t>PL: average of 00988 and 01137</t>
  </si>
  <si>
    <t>hymenopteran mimic</t>
  </si>
  <si>
    <t>Aposematic</t>
  </si>
  <si>
    <t>Cryptic</t>
  </si>
  <si>
    <t>beetle mimic</t>
  </si>
  <si>
    <t>NO proboscis (0,1 used for the sake of calculations)</t>
  </si>
  <si>
    <t>NN Manduca nr florestan 9579</t>
  </si>
  <si>
    <t>U_9579</t>
  </si>
  <si>
    <t>U_9580</t>
  </si>
  <si>
    <t>NN Xylophanes 957</t>
  </si>
  <si>
    <t>U_0957</t>
  </si>
  <si>
    <t>U_9888</t>
  </si>
  <si>
    <t>NN Zurcheri "small" 1078</t>
  </si>
  <si>
    <t>U_1078</t>
  </si>
  <si>
    <t>NN "pink Elysius" 11012</t>
  </si>
  <si>
    <t>U_11012</t>
  </si>
  <si>
    <t>cryptic</t>
  </si>
  <si>
    <t>beetle mimic, aposematic</t>
  </si>
  <si>
    <t>PL: from Ugo's U_1164</t>
  </si>
  <si>
    <t>Xylophanes small nr 143</t>
  </si>
  <si>
    <t>U_9891</t>
  </si>
  <si>
    <t>U_10932</t>
  </si>
  <si>
    <t>Aposematic. Proboscis lost</t>
  </si>
  <si>
    <t>n</t>
  </si>
  <si>
    <t>PL_mean</t>
  </si>
  <si>
    <t>PL_sd</t>
  </si>
  <si>
    <t>BL_mean</t>
  </si>
  <si>
    <t>BL_sd</t>
  </si>
  <si>
    <t>PBR_mean</t>
  </si>
  <si>
    <t>PBR_sd</t>
  </si>
  <si>
    <t>AR_mean</t>
  </si>
  <si>
    <t>AR</t>
  </si>
  <si>
    <t>light_mean</t>
  </si>
  <si>
    <t>light_sd</t>
  </si>
  <si>
    <t>contr_mean</t>
  </si>
  <si>
    <t>contr_sd</t>
  </si>
  <si>
    <t>aposematic</t>
  </si>
  <si>
    <t>hym_mimic</t>
  </si>
  <si>
    <t>beetle_mimic</t>
  </si>
  <si>
    <t>Summary datasheet of the moth (morpho)species captured during SP3's fieldwork in REASSEMBLY and their respective traits measured</t>
  </si>
  <si>
    <t>Data owners:</t>
  </si>
  <si>
    <t>Ugo Mendes Diniz (TU München), Gunnar Brehm (Phyletisches Museum Jena), Sara D. Leonhardt (TU München)</t>
  </si>
  <si>
    <t>Contact:</t>
  </si>
  <si>
    <t>62 REASSEMBLY plots: light traps</t>
  </si>
  <si>
    <t>ugo.diniz@tum.de</t>
  </si>
  <si>
    <t>Sheet 1 ("Moth individuals")</t>
  </si>
  <si>
    <t>Sheet 2 ("Summarized")</t>
  </si>
  <si>
    <t>Extended proboscis length (mm)</t>
  </si>
  <si>
    <t>Length of the body, from the tip of the head to the tip of the last abdominal segment (mm)</t>
  </si>
  <si>
    <t>proboscisLength/body length (no unit)</t>
  </si>
  <si>
    <t>Length of the wing (average of both wings) (mm)</t>
  </si>
  <si>
    <t>Area of the wing (average of both wings) (mm^2)</t>
  </si>
  <si>
    <t>(wingLength^2)/wingArea (no unit)</t>
  </si>
  <si>
    <t>Binary</t>
  </si>
  <si>
    <t>Number of measured individuals</t>
  </si>
  <si>
    <t>##add description</t>
  </si>
  <si>
    <t>AR_sd</t>
  </si>
  <si>
    <t>Per-individual measurements of continuous traits</t>
  </si>
  <si>
    <t>Averaged values per species, with the addition of binary coloration traits</t>
  </si>
  <si>
    <t>Text</t>
  </si>
  <si>
    <t>Comment of the individual. Normally describes "proxies" used, i.e., replacement values based on congeneric species when a measurement is not available</t>
  </si>
  <si>
    <t>Mean value of proboscis length across measured individuals (mm)</t>
  </si>
  <si>
    <t>Standard deviation of proboscis length across measured individuals (mm)</t>
  </si>
  <si>
    <t>Mean value of body length across measured individuals (mm)</t>
  </si>
  <si>
    <t>Standard deviation of body length across measured individuals (mm)</t>
  </si>
  <si>
    <t>Mean value of aspect ratio across measured individuals (no unit)</t>
  </si>
  <si>
    <t>Standard deviation of aspect ratio across measured individuals (no unit)</t>
  </si>
  <si>
    <t>Mean value of lightness across measured individuals (mm)</t>
  </si>
  <si>
    <t>Standard deviation of lightness across measured individuals (mm)</t>
  </si>
  <si>
    <t>Mean value of contrast across measured individuals (unit?)</t>
  </si>
  <si>
    <t>Standard deviation of contrast across measured individuals (unit?)</t>
  </si>
  <si>
    <t>Mean value of proboscis-body length ratio across measured individuals (no unit)</t>
  </si>
  <si>
    <t>Standard deviation of proboscis-body length ratio across measured individuals (no unit)</t>
  </si>
  <si>
    <t>Presence or absence of aposematism (sensu Fiedler and Brehm, 2021)</t>
  </si>
  <si>
    <t>Presence or absence of hymenopteran mimicry (sensu Fiedler and Brehm, 2021)</t>
  </si>
  <si>
    <t>Presence or absence of beetle mimicry (sensu Fiedler and Brehm, 2021)</t>
  </si>
  <si>
    <t>Presence or absence of crypticism (none of the above visual patterns) (sensu Fiedler and Brehm, 2021)</t>
  </si>
  <si>
    <t>*Fiedler, K., &amp; Brehm, G. (2021). Aposematic coloration of moths decreases strongly along an elevational gradient in the Andes. Insects, 12(10), 903.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</si>
</sst>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09B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3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4" fillId="0" borderId="0" xfId="0" applyFont="1"/>
    <xf numFmtId="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/>
    <xf numFmtId="0" fontId="7" fillId="4" borderId="0" xfId="0" applyFont="1" applyFill="1" applyAlignment="1">
      <alignment horizontal="left"/>
    </xf>
    <xf numFmtId="0" fontId="7" fillId="4" borderId="0" xfId="0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2" fillId="0" borderId="0" xfId="1" applyAlignment="1">
      <alignment horizontal="left" vertical="center"/>
    </xf>
    <xf numFmtId="4" fontId="1" fillId="2" borderId="0" xfId="0" applyNumberFormat="1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3" fontId="1" fillId="3" borderId="0" xfId="0" applyNumberFormat="1" applyFont="1" applyFill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BE09B"/>
      <color rgb="FFFBC589"/>
      <color rgb="FFF0C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go.diniz@tum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2AB2-A67A-43D4-B144-8845AF06D0A5}">
  <dimension ref="A1:C38"/>
  <sheetViews>
    <sheetView workbookViewId="0">
      <selection activeCell="C28" sqref="C28"/>
    </sheetView>
  </sheetViews>
  <sheetFormatPr defaultColWidth="8.85546875" defaultRowHeight="12.75" x14ac:dyDescent="0.2"/>
  <cols>
    <col min="1" max="1" width="27.42578125" style="7" customWidth="1"/>
    <col min="2" max="2" width="23.28515625" style="7" customWidth="1"/>
    <col min="3" max="3" width="129.42578125" style="1" customWidth="1"/>
    <col min="4" max="16384" width="8.85546875" style="1"/>
  </cols>
  <sheetData>
    <row r="1" spans="1:3" ht="13.5" thickBot="1" x14ac:dyDescent="0.25">
      <c r="A1" s="4" t="s">
        <v>0</v>
      </c>
      <c r="B1" s="5"/>
      <c r="C1" s="6"/>
    </row>
    <row r="2" spans="1:3" x14ac:dyDescent="0.2">
      <c r="A2" s="11" t="s">
        <v>1</v>
      </c>
      <c r="B2" s="41" t="s">
        <v>1011</v>
      </c>
      <c r="C2" s="41"/>
    </row>
    <row r="3" spans="1:3" x14ac:dyDescent="0.2">
      <c r="A3" s="7" t="s">
        <v>2</v>
      </c>
      <c r="B3" s="42" t="s">
        <v>3</v>
      </c>
      <c r="C3" s="42"/>
    </row>
    <row r="4" spans="1:3" x14ac:dyDescent="0.2">
      <c r="A4" s="7" t="s">
        <v>4</v>
      </c>
      <c r="B4" s="42" t="s">
        <v>1015</v>
      </c>
      <c r="C4" s="42"/>
    </row>
    <row r="5" spans="1:3" x14ac:dyDescent="0.2">
      <c r="A5" s="7" t="s">
        <v>1012</v>
      </c>
      <c r="B5" s="10" t="s">
        <v>1013</v>
      </c>
      <c r="C5" s="10"/>
    </row>
    <row r="6" spans="1:3" ht="15" x14ac:dyDescent="0.2">
      <c r="A6" s="7" t="s">
        <v>1014</v>
      </c>
      <c r="B6" s="34" t="s">
        <v>1016</v>
      </c>
      <c r="C6" s="10"/>
    </row>
    <row r="9" spans="1:3" x14ac:dyDescent="0.2">
      <c r="A9" s="11" t="s">
        <v>1017</v>
      </c>
      <c r="B9" s="11" t="s">
        <v>1029</v>
      </c>
    </row>
    <row r="10" spans="1:3" x14ac:dyDescent="0.2">
      <c r="A10" s="35" t="s">
        <v>242</v>
      </c>
      <c r="B10" s="2" t="s">
        <v>6</v>
      </c>
      <c r="C10" s="1" t="s">
        <v>1019</v>
      </c>
    </row>
    <row r="11" spans="1:3" x14ac:dyDescent="0.2">
      <c r="A11" s="3" t="s">
        <v>245</v>
      </c>
      <c r="B11" s="2" t="s">
        <v>6</v>
      </c>
      <c r="C11" s="1" t="s">
        <v>1020</v>
      </c>
    </row>
    <row r="12" spans="1:3" x14ac:dyDescent="0.2">
      <c r="A12" s="3" t="s">
        <v>246</v>
      </c>
      <c r="B12" s="2" t="s">
        <v>6</v>
      </c>
      <c r="C12" s="1" t="s">
        <v>1021</v>
      </c>
    </row>
    <row r="13" spans="1:3" x14ac:dyDescent="0.2">
      <c r="A13" s="3" t="s">
        <v>243</v>
      </c>
      <c r="B13" s="2" t="s">
        <v>6</v>
      </c>
      <c r="C13" s="1" t="s">
        <v>1022</v>
      </c>
    </row>
    <row r="14" spans="1:3" x14ac:dyDescent="0.2">
      <c r="A14" s="3" t="s">
        <v>244</v>
      </c>
      <c r="B14" s="2" t="s">
        <v>6</v>
      </c>
      <c r="C14" s="1" t="s">
        <v>1023</v>
      </c>
    </row>
    <row r="15" spans="1:3" x14ac:dyDescent="0.2">
      <c r="A15" s="3" t="s">
        <v>249</v>
      </c>
      <c r="B15" s="2" t="s">
        <v>6</v>
      </c>
      <c r="C15" s="1" t="s">
        <v>1024</v>
      </c>
    </row>
    <row r="16" spans="1:3" x14ac:dyDescent="0.2">
      <c r="A16" s="3" t="s">
        <v>247</v>
      </c>
      <c r="B16" s="2" t="s">
        <v>6</v>
      </c>
      <c r="C16" s="1" t="s">
        <v>1027</v>
      </c>
    </row>
    <row r="17" spans="1:3" x14ac:dyDescent="0.2">
      <c r="A17" s="3" t="s">
        <v>248</v>
      </c>
      <c r="B17" s="2" t="s">
        <v>6</v>
      </c>
      <c r="C17" s="1" t="s">
        <v>1027</v>
      </c>
    </row>
    <row r="18" spans="1:3" x14ac:dyDescent="0.2">
      <c r="A18" s="3" t="s">
        <v>916</v>
      </c>
      <c r="B18" s="2" t="s">
        <v>1031</v>
      </c>
      <c r="C18" s="1" t="s">
        <v>1032</v>
      </c>
    </row>
    <row r="19" spans="1:3" x14ac:dyDescent="0.2">
      <c r="A19" s="36"/>
      <c r="B19" s="37"/>
    </row>
    <row r="20" spans="1:3" x14ac:dyDescent="0.2">
      <c r="A20" s="11" t="s">
        <v>1018</v>
      </c>
      <c r="B20" s="11" t="s">
        <v>1030</v>
      </c>
    </row>
    <row r="21" spans="1:3" ht="15" x14ac:dyDescent="0.25">
      <c r="A21" s="38" t="s">
        <v>995</v>
      </c>
      <c r="B21" s="2" t="s">
        <v>5</v>
      </c>
      <c r="C21" s="1" t="s">
        <v>1026</v>
      </c>
    </row>
    <row r="22" spans="1:3" ht="15" x14ac:dyDescent="0.25">
      <c r="A22" s="38" t="s">
        <v>996</v>
      </c>
      <c r="B22" s="2" t="s">
        <v>6</v>
      </c>
      <c r="C22" s="1" t="s">
        <v>1033</v>
      </c>
    </row>
    <row r="23" spans="1:3" ht="15" x14ac:dyDescent="0.25">
      <c r="A23" s="38" t="s">
        <v>997</v>
      </c>
      <c r="B23" s="2" t="s">
        <v>6</v>
      </c>
      <c r="C23" s="1" t="s">
        <v>1034</v>
      </c>
    </row>
    <row r="24" spans="1:3" ht="15" x14ac:dyDescent="0.25">
      <c r="A24" s="38" t="s">
        <v>998</v>
      </c>
      <c r="B24" s="2" t="s">
        <v>6</v>
      </c>
      <c r="C24" s="1" t="s">
        <v>1035</v>
      </c>
    </row>
    <row r="25" spans="1:3" ht="15" x14ac:dyDescent="0.25">
      <c r="A25" s="38" t="s">
        <v>999</v>
      </c>
      <c r="B25" s="2" t="s">
        <v>6</v>
      </c>
      <c r="C25" s="1" t="s">
        <v>1036</v>
      </c>
    </row>
    <row r="26" spans="1:3" ht="15" x14ac:dyDescent="0.25">
      <c r="A26" s="38" t="s">
        <v>1000</v>
      </c>
      <c r="B26" s="2" t="s">
        <v>6</v>
      </c>
      <c r="C26" s="1" t="s">
        <v>1043</v>
      </c>
    </row>
    <row r="27" spans="1:3" ht="15" x14ac:dyDescent="0.25">
      <c r="A27" s="38" t="s">
        <v>1001</v>
      </c>
      <c r="B27" s="2" t="s">
        <v>6</v>
      </c>
      <c r="C27" s="1" t="s">
        <v>1044</v>
      </c>
    </row>
    <row r="28" spans="1:3" ht="15" x14ac:dyDescent="0.25">
      <c r="A28" s="38" t="s">
        <v>1002</v>
      </c>
      <c r="B28" s="2" t="s">
        <v>6</v>
      </c>
      <c r="C28" s="1" t="s">
        <v>1037</v>
      </c>
    </row>
    <row r="29" spans="1:3" ht="15" x14ac:dyDescent="0.25">
      <c r="A29" s="38" t="s">
        <v>1003</v>
      </c>
      <c r="B29" s="2" t="s">
        <v>6</v>
      </c>
      <c r="C29" s="1" t="s">
        <v>1038</v>
      </c>
    </row>
    <row r="30" spans="1:3" ht="15" x14ac:dyDescent="0.25">
      <c r="A30" s="38" t="s">
        <v>1004</v>
      </c>
      <c r="B30" s="2" t="s">
        <v>6</v>
      </c>
      <c r="C30" s="1" t="s">
        <v>1039</v>
      </c>
    </row>
    <row r="31" spans="1:3" ht="15" x14ac:dyDescent="0.25">
      <c r="A31" s="38" t="s">
        <v>1005</v>
      </c>
      <c r="B31" s="2" t="s">
        <v>6</v>
      </c>
      <c r="C31" s="1" t="s">
        <v>1040</v>
      </c>
    </row>
    <row r="32" spans="1:3" ht="15" x14ac:dyDescent="0.25">
      <c r="A32" s="38" t="s">
        <v>1006</v>
      </c>
      <c r="B32" s="2" t="s">
        <v>6</v>
      </c>
      <c r="C32" s="1" t="s">
        <v>1041</v>
      </c>
    </row>
    <row r="33" spans="1:3" ht="15" x14ac:dyDescent="0.25">
      <c r="A33" s="38" t="s">
        <v>1007</v>
      </c>
      <c r="B33" s="2" t="s">
        <v>6</v>
      </c>
      <c r="C33" s="1" t="s">
        <v>1042</v>
      </c>
    </row>
    <row r="34" spans="1:3" ht="15" x14ac:dyDescent="0.25">
      <c r="A34" s="39" t="s">
        <v>1008</v>
      </c>
      <c r="B34" s="40" t="s">
        <v>1025</v>
      </c>
      <c r="C34" s="1" t="s">
        <v>1045</v>
      </c>
    </row>
    <row r="35" spans="1:3" ht="15" x14ac:dyDescent="0.25">
      <c r="A35" s="39" t="s">
        <v>1009</v>
      </c>
      <c r="B35" s="40" t="s">
        <v>1025</v>
      </c>
      <c r="C35" s="1" t="s">
        <v>1046</v>
      </c>
    </row>
    <row r="36" spans="1:3" ht="15" x14ac:dyDescent="0.25">
      <c r="A36" s="39" t="s">
        <v>1010</v>
      </c>
      <c r="B36" s="40" t="s">
        <v>1025</v>
      </c>
      <c r="C36" s="1" t="s">
        <v>1047</v>
      </c>
    </row>
    <row r="37" spans="1:3" ht="15" x14ac:dyDescent="0.25">
      <c r="A37" s="39" t="s">
        <v>988</v>
      </c>
      <c r="B37" s="40" t="s">
        <v>1025</v>
      </c>
      <c r="C37" s="1" t="s">
        <v>1048</v>
      </c>
    </row>
    <row r="38" spans="1:3" x14ac:dyDescent="0.2">
      <c r="C38" s="1" t="s">
        <v>1049</v>
      </c>
    </row>
  </sheetData>
  <mergeCells count="3">
    <mergeCell ref="B2:C2"/>
    <mergeCell ref="B3:C3"/>
    <mergeCell ref="B4:C4"/>
  </mergeCells>
  <hyperlinks>
    <hyperlink ref="B6" r:id="rId1" xr:uid="{00467C34-6FF3-4842-9243-1A10186DC8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8B02-E18E-4CDB-8A8B-706C2C61B365}">
  <dimension ref="A1:O616"/>
  <sheetViews>
    <sheetView tabSelected="1" zoomScale="115" zoomScaleNormal="115" workbookViewId="0">
      <pane ySplit="1" topLeftCell="A2" activePane="bottomLeft" state="frozen"/>
      <selection activeCell="C1" sqref="C1"/>
      <selection pane="bottomLeft" activeCell="E6" sqref="E6"/>
    </sheetView>
  </sheetViews>
  <sheetFormatPr defaultColWidth="8.85546875" defaultRowHeight="12.75" x14ac:dyDescent="0.2"/>
  <cols>
    <col min="1" max="1" width="17.85546875" style="22" customWidth="1"/>
    <col min="2" max="2" width="28.85546875" style="22" customWidth="1"/>
    <col min="3" max="3" width="16" style="23" customWidth="1"/>
    <col min="4" max="4" width="15" style="24" customWidth="1"/>
    <col min="5" max="5" width="11.28515625" style="29" customWidth="1"/>
    <col min="6" max="6" width="17.85546875" style="29" customWidth="1"/>
    <col min="7" max="7" width="11.85546875" style="29" customWidth="1"/>
    <col min="8" max="8" width="10.28515625" style="22" customWidth="1"/>
    <col min="9" max="9" width="13.140625" style="29" customWidth="1"/>
    <col min="10" max="10" width="12.85546875" style="22" customWidth="1"/>
    <col min="11" max="11" width="12.42578125" style="22" customWidth="1"/>
    <col min="12" max="12" width="48.85546875" style="21" customWidth="1"/>
    <col min="13" max="16384" width="8.85546875" style="22"/>
  </cols>
  <sheetData>
    <row r="1" spans="1:12" x14ac:dyDescent="0.2">
      <c r="A1" s="16" t="s">
        <v>9</v>
      </c>
      <c r="B1" s="17" t="s">
        <v>7</v>
      </c>
      <c r="C1" s="18" t="s">
        <v>915</v>
      </c>
      <c r="D1" s="19" t="s">
        <v>242</v>
      </c>
      <c r="E1" s="20" t="s">
        <v>245</v>
      </c>
      <c r="F1" s="20" t="s">
        <v>246</v>
      </c>
      <c r="G1" s="20" t="s">
        <v>243</v>
      </c>
      <c r="H1" s="20" t="s">
        <v>244</v>
      </c>
      <c r="I1" s="20" t="s">
        <v>249</v>
      </c>
      <c r="J1" s="20" t="s">
        <v>247</v>
      </c>
      <c r="K1" s="20" t="s">
        <v>248</v>
      </c>
      <c r="L1" s="21" t="s">
        <v>916</v>
      </c>
    </row>
    <row r="2" spans="1:12" x14ac:dyDescent="0.2">
      <c r="A2" s="22" t="s">
        <v>10</v>
      </c>
      <c r="B2" s="22" t="s">
        <v>11</v>
      </c>
      <c r="C2" s="23" t="s">
        <v>731</v>
      </c>
      <c r="D2" s="24" t="s">
        <v>8</v>
      </c>
      <c r="E2" s="25">
        <v>12.746987951807229</v>
      </c>
      <c r="F2" s="25" t="s">
        <v>8</v>
      </c>
      <c r="G2" s="25">
        <v>12.786763256960942</v>
      </c>
      <c r="H2" s="25">
        <v>55.606328930178549</v>
      </c>
      <c r="I2" s="25">
        <v>2.9403364281584734</v>
      </c>
      <c r="J2" s="26">
        <v>92</v>
      </c>
      <c r="K2" s="26">
        <v>118</v>
      </c>
    </row>
    <row r="3" spans="1:12" x14ac:dyDescent="0.2">
      <c r="A3" s="22" t="s">
        <v>10</v>
      </c>
      <c r="B3" s="22" t="s">
        <v>11</v>
      </c>
      <c r="C3" s="23" t="s">
        <v>887</v>
      </c>
      <c r="D3" s="24" t="s">
        <v>8</v>
      </c>
      <c r="E3" s="25">
        <v>13.853846153846154</v>
      </c>
      <c r="F3" s="25" t="s">
        <v>8</v>
      </c>
      <c r="G3" s="25">
        <v>13.266681350411613</v>
      </c>
      <c r="H3" s="25">
        <v>59.316893491124262</v>
      </c>
      <c r="I3" s="25">
        <v>2.9671957463466181</v>
      </c>
      <c r="J3" s="26">
        <v>108</v>
      </c>
      <c r="K3" s="26">
        <v>111</v>
      </c>
    </row>
    <row r="4" spans="1:12" x14ac:dyDescent="0.2">
      <c r="A4" s="22" t="s">
        <v>10</v>
      </c>
      <c r="B4" s="22" t="s">
        <v>11</v>
      </c>
      <c r="C4" s="23" t="s">
        <v>888</v>
      </c>
      <c r="D4" s="24" t="s">
        <v>8</v>
      </c>
      <c r="E4" s="25">
        <v>13.823076923076924</v>
      </c>
      <c r="F4" s="25" t="s">
        <v>8</v>
      </c>
      <c r="G4" s="25">
        <v>13.83708787615643</v>
      </c>
      <c r="H4" s="25">
        <v>63.224171597633131</v>
      </c>
      <c r="I4" s="25">
        <v>3.0283512785423818</v>
      </c>
      <c r="J4" s="26">
        <v>114</v>
      </c>
      <c r="K4" s="26">
        <v>113</v>
      </c>
    </row>
    <row r="5" spans="1:12" x14ac:dyDescent="0.2">
      <c r="A5" s="22" t="s">
        <v>10</v>
      </c>
      <c r="B5" s="22" t="s">
        <v>250</v>
      </c>
      <c r="C5" s="23" t="s">
        <v>444</v>
      </c>
      <c r="D5" s="24">
        <v>6.9870000000000001</v>
      </c>
      <c r="E5" s="25">
        <v>11.192307692307692</v>
      </c>
      <c r="F5" s="25">
        <v>0.62426804123711344</v>
      </c>
      <c r="G5" s="25">
        <v>13.986843096863357</v>
      </c>
      <c r="H5" s="25">
        <v>92.892307692307696</v>
      </c>
      <c r="I5" s="25">
        <v>2.1060062418114969</v>
      </c>
      <c r="J5" s="26">
        <v>43</v>
      </c>
      <c r="K5" s="26">
        <v>46</v>
      </c>
    </row>
    <row r="6" spans="1:12" x14ac:dyDescent="0.2">
      <c r="A6" s="22" t="s">
        <v>10</v>
      </c>
      <c r="B6" s="22" t="s">
        <v>250</v>
      </c>
      <c r="C6" s="23" t="s">
        <v>869</v>
      </c>
      <c r="D6" s="24" t="s">
        <v>8</v>
      </c>
      <c r="E6" s="25">
        <v>12.015384615384615</v>
      </c>
      <c r="F6" s="25" t="s">
        <v>8</v>
      </c>
      <c r="G6" s="25">
        <v>14.242335804489549</v>
      </c>
      <c r="H6" s="25">
        <v>99.039171597633143</v>
      </c>
      <c r="I6" s="25">
        <v>2.0481202123937452</v>
      </c>
      <c r="J6" s="26">
        <v>38</v>
      </c>
      <c r="K6" s="26">
        <v>36</v>
      </c>
    </row>
    <row r="7" spans="1:12" x14ac:dyDescent="0.2">
      <c r="A7" s="22" t="s">
        <v>10</v>
      </c>
      <c r="B7" s="22" t="s">
        <v>12</v>
      </c>
      <c r="C7" s="23" t="s">
        <v>513</v>
      </c>
      <c r="D7" s="24" t="s">
        <v>8</v>
      </c>
      <c r="E7" s="25">
        <v>11.905109489051096</v>
      </c>
      <c r="F7" s="25" t="s">
        <v>8</v>
      </c>
      <c r="G7" s="25">
        <v>14.617945052114282</v>
      </c>
      <c r="H7" s="25">
        <v>94.580132132772121</v>
      </c>
      <c r="I7" s="25">
        <v>2.2592939207006091</v>
      </c>
      <c r="J7" s="26">
        <v>48</v>
      </c>
      <c r="K7" s="26">
        <v>41</v>
      </c>
    </row>
    <row r="8" spans="1:12" x14ac:dyDescent="0.2">
      <c r="A8" s="22" t="s">
        <v>10</v>
      </c>
      <c r="B8" s="22" t="s">
        <v>12</v>
      </c>
      <c r="C8" s="23" t="s">
        <v>543</v>
      </c>
      <c r="D8" s="24">
        <v>6.75</v>
      </c>
      <c r="E8" s="25">
        <v>12.492307692307692</v>
      </c>
      <c r="F8" s="25">
        <v>0.54033251231527091</v>
      </c>
      <c r="G8" s="25">
        <v>15.282108804053852</v>
      </c>
      <c r="H8" s="25">
        <v>104.38662721893492</v>
      </c>
      <c r="I8" s="25">
        <v>2.2372870521922317</v>
      </c>
      <c r="J8" s="26">
        <v>39</v>
      </c>
      <c r="K8" s="26">
        <v>34</v>
      </c>
    </row>
    <row r="9" spans="1:12" x14ac:dyDescent="0.2">
      <c r="A9" s="22" t="s">
        <v>10</v>
      </c>
      <c r="B9" s="22" t="s">
        <v>12</v>
      </c>
      <c r="C9" s="23" t="s">
        <v>870</v>
      </c>
      <c r="D9" s="24" t="s">
        <v>8</v>
      </c>
      <c r="E9" s="25">
        <v>12.223076923076922</v>
      </c>
      <c r="F9" s="25" t="s">
        <v>8</v>
      </c>
      <c r="G9" s="25">
        <v>16.20213102060573</v>
      </c>
      <c r="H9" s="25">
        <v>121.68517751479288</v>
      </c>
      <c r="I9" s="25">
        <v>2.1572804097439238</v>
      </c>
      <c r="J9" s="26">
        <v>44</v>
      </c>
      <c r="K9" s="26">
        <v>38</v>
      </c>
    </row>
    <row r="10" spans="1:12" x14ac:dyDescent="0.2">
      <c r="A10" s="28" t="s">
        <v>211</v>
      </c>
      <c r="B10" s="22" t="s">
        <v>225</v>
      </c>
      <c r="C10" s="23" t="s">
        <v>575</v>
      </c>
      <c r="D10" s="24">
        <v>31.01</v>
      </c>
      <c r="E10" s="25">
        <v>38.638888888888886</v>
      </c>
      <c r="F10" s="25">
        <v>0.80255930984902957</v>
      </c>
      <c r="G10" s="25">
        <v>47.720019996472871</v>
      </c>
      <c r="H10" s="25">
        <v>816.81751543209884</v>
      </c>
      <c r="I10" s="25">
        <v>2.7878935814190093</v>
      </c>
      <c r="J10" s="26">
        <v>77</v>
      </c>
      <c r="K10" s="26">
        <v>27</v>
      </c>
    </row>
    <row r="11" spans="1:12" x14ac:dyDescent="0.2">
      <c r="A11" s="22" t="s">
        <v>10</v>
      </c>
      <c r="B11" s="22" t="s">
        <v>13</v>
      </c>
      <c r="C11" s="23" t="s">
        <v>362</v>
      </c>
      <c r="D11" s="24">
        <v>1</v>
      </c>
      <c r="E11" s="25">
        <v>6.6807228915662673</v>
      </c>
      <c r="F11" s="25">
        <v>0.14968440036068525</v>
      </c>
      <c r="G11" s="25">
        <v>9.4539217701644738</v>
      </c>
      <c r="H11" s="25">
        <v>51.138463492524316</v>
      </c>
      <c r="I11" s="25">
        <v>1.7477380181642594</v>
      </c>
      <c r="J11" s="26">
        <v>198</v>
      </c>
      <c r="K11" s="26">
        <v>38</v>
      </c>
      <c r="L11" s="21" t="s">
        <v>919</v>
      </c>
    </row>
    <row r="12" spans="1:12" x14ac:dyDescent="0.2">
      <c r="A12" s="22" t="s">
        <v>10</v>
      </c>
      <c r="B12" s="22" t="s">
        <v>14</v>
      </c>
      <c r="C12" s="23" t="s">
        <v>354</v>
      </c>
      <c r="D12" s="24">
        <v>1</v>
      </c>
      <c r="E12" s="25">
        <v>10.984615384615386</v>
      </c>
      <c r="F12" s="25">
        <v>9.1036414565826312E-2</v>
      </c>
      <c r="G12" s="25">
        <v>14.369240686757223</v>
      </c>
      <c r="H12" s="25">
        <v>94.481627218934904</v>
      </c>
      <c r="I12" s="25">
        <v>2.18534633654764</v>
      </c>
      <c r="J12" s="26">
        <v>211</v>
      </c>
      <c r="K12" s="26">
        <v>48</v>
      </c>
      <c r="L12" s="27" t="s">
        <v>918</v>
      </c>
    </row>
    <row r="13" spans="1:12" x14ac:dyDescent="0.2">
      <c r="A13" s="22" t="s">
        <v>211</v>
      </c>
      <c r="B13" s="22" t="s">
        <v>251</v>
      </c>
      <c r="C13" s="23" t="s">
        <v>768</v>
      </c>
      <c r="D13" s="24">
        <v>108.07</v>
      </c>
      <c r="E13" s="25">
        <v>45.5</v>
      </c>
      <c r="F13" s="25">
        <v>2.3751648351648349</v>
      </c>
      <c r="G13" s="25">
        <v>44.485586350997345</v>
      </c>
      <c r="H13" s="25">
        <v>759.13695987654319</v>
      </c>
      <c r="I13" s="25">
        <v>2.6068647656331692</v>
      </c>
      <c r="J13" s="26">
        <v>88</v>
      </c>
      <c r="K13" s="26">
        <v>58</v>
      </c>
    </row>
    <row r="14" spans="1:12" x14ac:dyDescent="0.2">
      <c r="A14" s="22" t="s">
        <v>10</v>
      </c>
      <c r="B14" s="22" t="s">
        <v>15</v>
      </c>
      <c r="C14" s="23" t="s">
        <v>355</v>
      </c>
      <c r="D14" s="24">
        <v>7.8249999999999993</v>
      </c>
      <c r="E14" s="25">
        <v>11.437956204379562</v>
      </c>
      <c r="F14" s="25">
        <v>0.68412571793235477</v>
      </c>
      <c r="G14" s="25">
        <v>12.685700592822538</v>
      </c>
      <c r="H14" s="25">
        <v>92.852229740529594</v>
      </c>
      <c r="I14" s="25">
        <v>1.7331516968460496</v>
      </c>
      <c r="J14" s="26">
        <v>218</v>
      </c>
      <c r="K14" s="26">
        <v>18</v>
      </c>
    </row>
    <row r="15" spans="1:12" x14ac:dyDescent="0.2">
      <c r="A15" s="22" t="s">
        <v>10</v>
      </c>
      <c r="B15" s="22" t="s">
        <v>15</v>
      </c>
      <c r="C15" s="23" t="s">
        <v>376</v>
      </c>
      <c r="D15" s="24">
        <v>8.3699999999999992</v>
      </c>
      <c r="E15" s="25">
        <v>11.223076923076926</v>
      </c>
      <c r="F15" s="25">
        <v>0.74578478409869753</v>
      </c>
      <c r="G15" s="25">
        <v>14.726103475802272</v>
      </c>
      <c r="H15" s="25">
        <v>113.13452662721895</v>
      </c>
      <c r="I15" s="25">
        <v>1.9168164665998793</v>
      </c>
      <c r="J15" s="26">
        <v>216</v>
      </c>
      <c r="K15" s="26">
        <v>16</v>
      </c>
    </row>
    <row r="16" spans="1:12" x14ac:dyDescent="0.2">
      <c r="A16" s="22" t="s">
        <v>10</v>
      </c>
      <c r="B16" s="22" t="s">
        <v>15</v>
      </c>
      <c r="C16" s="23" t="s">
        <v>906</v>
      </c>
      <c r="D16" s="24" t="s">
        <v>8</v>
      </c>
      <c r="E16" s="25">
        <v>11.915384615384614</v>
      </c>
      <c r="F16" s="25" t="s">
        <v>8</v>
      </c>
      <c r="G16" s="25">
        <v>17.109059570503462</v>
      </c>
      <c r="H16" s="25">
        <v>148.52810650887574</v>
      </c>
      <c r="I16" s="25">
        <v>1.9708048952306798</v>
      </c>
      <c r="J16" s="26">
        <v>208</v>
      </c>
      <c r="K16" s="26">
        <v>20</v>
      </c>
    </row>
    <row r="17" spans="1:11" x14ac:dyDescent="0.2">
      <c r="A17" s="22" t="s">
        <v>10</v>
      </c>
      <c r="B17" s="22" t="s">
        <v>16</v>
      </c>
      <c r="C17" s="23" t="s">
        <v>385</v>
      </c>
      <c r="D17" s="24">
        <v>7.8</v>
      </c>
      <c r="E17" s="25">
        <v>14.011494252873565</v>
      </c>
      <c r="F17" s="25">
        <v>0.55668580803937651</v>
      </c>
      <c r="G17" s="25">
        <v>21.802903813881933</v>
      </c>
      <c r="H17" s="25">
        <v>251.84707358964198</v>
      </c>
      <c r="I17" s="25">
        <v>1.887520898860817</v>
      </c>
      <c r="J17" s="26">
        <v>215</v>
      </c>
      <c r="K17" s="26">
        <v>8</v>
      </c>
    </row>
    <row r="18" spans="1:11" x14ac:dyDescent="0.2">
      <c r="A18" s="22" t="s">
        <v>10</v>
      </c>
      <c r="B18" s="22" t="s">
        <v>16</v>
      </c>
      <c r="C18" s="23" t="s">
        <v>456</v>
      </c>
      <c r="D18" s="24">
        <v>10.27</v>
      </c>
      <c r="E18" s="25">
        <v>14.370689655172413</v>
      </c>
      <c r="F18" s="25">
        <v>0.7146490701859628</v>
      </c>
      <c r="G18" s="25">
        <v>18.090884841469183</v>
      </c>
      <c r="H18" s="25">
        <v>184.47190844233057</v>
      </c>
      <c r="I18" s="25">
        <v>1.7741460860400511</v>
      </c>
      <c r="J18" s="26">
        <v>222</v>
      </c>
      <c r="K18" s="26">
        <v>18</v>
      </c>
    </row>
    <row r="19" spans="1:11" x14ac:dyDescent="0.2">
      <c r="A19" s="22" t="s">
        <v>10</v>
      </c>
      <c r="B19" s="22" t="s">
        <v>16</v>
      </c>
      <c r="C19" s="23" t="s">
        <v>550</v>
      </c>
      <c r="D19" s="24">
        <v>12.2</v>
      </c>
      <c r="E19" s="25">
        <v>15.471264367816088</v>
      </c>
      <c r="F19" s="25">
        <v>0.78855869242199117</v>
      </c>
      <c r="G19" s="25">
        <v>23.318193021063898</v>
      </c>
      <c r="H19" s="25">
        <v>294.72763905403622</v>
      </c>
      <c r="I19" s="25">
        <v>1.8448833896704968</v>
      </c>
      <c r="J19" s="26">
        <v>218</v>
      </c>
      <c r="K19" s="26">
        <v>12</v>
      </c>
    </row>
    <row r="20" spans="1:11" x14ac:dyDescent="0.2">
      <c r="A20" s="22" t="s">
        <v>10</v>
      </c>
      <c r="B20" s="22" t="s">
        <v>16</v>
      </c>
      <c r="C20" s="23" t="s">
        <v>789</v>
      </c>
      <c r="D20" s="24" t="s">
        <v>8</v>
      </c>
      <c r="E20" s="25">
        <v>15.95049504950495</v>
      </c>
      <c r="F20" s="25" t="s">
        <v>8</v>
      </c>
      <c r="G20" s="25">
        <v>21.824787758747071</v>
      </c>
      <c r="H20" s="25">
        <v>255.00882266444466</v>
      </c>
      <c r="I20" s="25">
        <v>1.8678622791852466</v>
      </c>
      <c r="J20" s="26">
        <v>210</v>
      </c>
      <c r="K20" s="26">
        <v>20</v>
      </c>
    </row>
    <row r="21" spans="1:11" x14ac:dyDescent="0.2">
      <c r="A21" s="22" t="s">
        <v>10</v>
      </c>
      <c r="B21" s="22" t="s">
        <v>16</v>
      </c>
      <c r="C21" s="23" t="s">
        <v>792</v>
      </c>
      <c r="D21" s="24" t="s">
        <v>8</v>
      </c>
      <c r="E21" s="25">
        <v>15.059405940594059</v>
      </c>
      <c r="F21" s="25" t="s">
        <v>8</v>
      </c>
      <c r="G21" s="25">
        <v>18.640748438172661</v>
      </c>
      <c r="H21" s="25">
        <v>187.13503578080582</v>
      </c>
      <c r="I21" s="25">
        <v>1.8568276158732901</v>
      </c>
      <c r="J21" s="26">
        <v>209</v>
      </c>
      <c r="K21" s="26">
        <v>23</v>
      </c>
    </row>
    <row r="22" spans="1:11" x14ac:dyDescent="0.2">
      <c r="A22" s="22" t="s">
        <v>10</v>
      </c>
      <c r="B22" s="22" t="s">
        <v>16</v>
      </c>
      <c r="C22" s="23" t="s">
        <v>793</v>
      </c>
      <c r="D22" s="24" t="s">
        <v>8</v>
      </c>
      <c r="E22" s="25">
        <v>14.089108910891092</v>
      </c>
      <c r="F22" s="25" t="s">
        <v>8</v>
      </c>
      <c r="G22" s="25">
        <v>18.560924567480775</v>
      </c>
      <c r="H22" s="25">
        <v>201.37609057935498</v>
      </c>
      <c r="I22" s="25">
        <v>1.7107687402638965</v>
      </c>
      <c r="J22" s="26">
        <v>210</v>
      </c>
      <c r="K22" s="26">
        <v>18</v>
      </c>
    </row>
    <row r="23" spans="1:11" x14ac:dyDescent="0.2">
      <c r="A23" s="22" t="s">
        <v>10</v>
      </c>
      <c r="B23" s="22" t="s">
        <v>17</v>
      </c>
      <c r="C23" s="23" t="s">
        <v>457</v>
      </c>
      <c r="D23" s="24">
        <v>12.92</v>
      </c>
      <c r="E23" s="25">
        <v>20.064814814814813</v>
      </c>
      <c r="F23" s="25">
        <v>0.64391324411628981</v>
      </c>
      <c r="G23" s="25">
        <v>23.232409738474288</v>
      </c>
      <c r="H23" s="25">
        <v>289.44813100137173</v>
      </c>
      <c r="I23" s="25">
        <v>1.8647377697311751</v>
      </c>
      <c r="J23" s="26">
        <v>215</v>
      </c>
      <c r="K23" s="26">
        <v>23</v>
      </c>
    </row>
    <row r="24" spans="1:11" x14ac:dyDescent="0.2">
      <c r="A24" s="22" t="s">
        <v>10</v>
      </c>
      <c r="B24" s="22" t="s">
        <v>17</v>
      </c>
      <c r="C24" s="23" t="s">
        <v>553</v>
      </c>
      <c r="D24" s="24">
        <v>11.8</v>
      </c>
      <c r="E24" s="25">
        <v>19.022988505747119</v>
      </c>
      <c r="F24" s="25">
        <v>0.62030211480362563</v>
      </c>
      <c r="G24" s="25">
        <v>20.719232845302727</v>
      </c>
      <c r="H24" s="25">
        <v>230.0401638261329</v>
      </c>
      <c r="I24" s="25">
        <v>1.8661376455214636</v>
      </c>
      <c r="J24" s="26">
        <v>208</v>
      </c>
      <c r="K24" s="26">
        <v>23</v>
      </c>
    </row>
    <row r="25" spans="1:11" x14ac:dyDescent="0.2">
      <c r="A25" s="22" t="s">
        <v>10</v>
      </c>
      <c r="B25" s="22" t="s">
        <v>17</v>
      </c>
      <c r="C25" s="23" t="s">
        <v>652</v>
      </c>
      <c r="D25" s="24" t="s">
        <v>8</v>
      </c>
      <c r="E25" s="25">
        <v>13.974137931034484</v>
      </c>
      <c r="F25" s="25" t="s">
        <v>8</v>
      </c>
      <c r="G25" s="25">
        <v>21.296013533505473</v>
      </c>
      <c r="H25" s="25">
        <v>246.64644024970275</v>
      </c>
      <c r="I25" s="25">
        <v>1.8387461499955493</v>
      </c>
      <c r="J25" s="26">
        <v>204</v>
      </c>
      <c r="K25" s="26">
        <v>22</v>
      </c>
    </row>
    <row r="26" spans="1:11" x14ac:dyDescent="0.2">
      <c r="A26" s="22" t="s">
        <v>10</v>
      </c>
      <c r="B26" s="22" t="s">
        <v>17</v>
      </c>
      <c r="C26" s="23" t="s">
        <v>790</v>
      </c>
      <c r="D26" s="24" t="s">
        <v>8</v>
      </c>
      <c r="E26" s="25">
        <v>16.118811881188115</v>
      </c>
      <c r="F26" s="25" t="s">
        <v>8</v>
      </c>
      <c r="G26" s="25">
        <v>20.847650588776794</v>
      </c>
      <c r="H26" s="25">
        <v>215.04734829918635</v>
      </c>
      <c r="I26" s="25">
        <v>2.0210643772600743</v>
      </c>
      <c r="J26" s="26">
        <v>206</v>
      </c>
      <c r="K26" s="26">
        <v>23</v>
      </c>
    </row>
    <row r="27" spans="1:11" x14ac:dyDescent="0.2">
      <c r="A27" s="22" t="s">
        <v>10</v>
      </c>
      <c r="B27" s="22" t="s">
        <v>17</v>
      </c>
      <c r="C27" s="23" t="s">
        <v>791</v>
      </c>
      <c r="D27" s="24" t="s">
        <v>8</v>
      </c>
      <c r="E27" s="25">
        <v>15.613861386138614</v>
      </c>
      <c r="F27" s="25" t="s">
        <v>8</v>
      </c>
      <c r="G27" s="25">
        <v>21.74576654893967</v>
      </c>
      <c r="H27" s="25">
        <v>229.6358690324478</v>
      </c>
      <c r="I27" s="25">
        <v>2.0592530461091223</v>
      </c>
      <c r="J27" s="26">
        <v>207</v>
      </c>
      <c r="K27" s="26">
        <v>28</v>
      </c>
    </row>
    <row r="28" spans="1:11" x14ac:dyDescent="0.2">
      <c r="A28" s="22" t="s">
        <v>10</v>
      </c>
      <c r="B28" s="22" t="s">
        <v>252</v>
      </c>
      <c r="C28" s="23" t="s">
        <v>525</v>
      </c>
      <c r="D28" s="24">
        <v>4.43</v>
      </c>
      <c r="E28" s="25">
        <v>7.5574712643678161</v>
      </c>
      <c r="F28" s="25">
        <v>0.58617490494296576</v>
      </c>
      <c r="G28" s="25">
        <v>9.8462924031695014</v>
      </c>
      <c r="H28" s="25">
        <v>54.512419077817412</v>
      </c>
      <c r="I28" s="25">
        <v>1.7784841643207283</v>
      </c>
      <c r="J28" s="26">
        <v>164</v>
      </c>
      <c r="K28" s="26">
        <v>32</v>
      </c>
    </row>
    <row r="29" spans="1:11" ht="15" customHeight="1" x14ac:dyDescent="0.2">
      <c r="A29" s="22" t="s">
        <v>10</v>
      </c>
      <c r="B29" s="22" t="s">
        <v>18</v>
      </c>
      <c r="C29" s="23" t="s">
        <v>499</v>
      </c>
      <c r="D29" s="24">
        <v>8.67</v>
      </c>
      <c r="E29" s="25">
        <v>14.666666666666668</v>
      </c>
      <c r="F29" s="25">
        <v>0.59113636363636357</v>
      </c>
      <c r="G29" s="25">
        <v>20.737054779855193</v>
      </c>
      <c r="H29" s="25">
        <v>229.57604595336076</v>
      </c>
      <c r="I29" s="25">
        <v>1.8731285276604004</v>
      </c>
      <c r="J29" s="26">
        <v>224</v>
      </c>
      <c r="K29" s="26">
        <v>9</v>
      </c>
    </row>
    <row r="30" spans="1:11" ht="15" customHeight="1" x14ac:dyDescent="0.2">
      <c r="A30" s="22" t="s">
        <v>10</v>
      </c>
      <c r="B30" s="22" t="s">
        <v>18</v>
      </c>
      <c r="C30" s="23" t="s">
        <v>625</v>
      </c>
      <c r="D30" s="24">
        <v>11.32</v>
      </c>
      <c r="E30" s="25">
        <v>16.629310344827587</v>
      </c>
      <c r="F30" s="25">
        <v>0.68072576464489365</v>
      </c>
      <c r="G30" s="25">
        <v>17.96376984986437</v>
      </c>
      <c r="H30" s="25">
        <v>186.87418252080857</v>
      </c>
      <c r="I30" s="25">
        <v>1.726814388514923</v>
      </c>
      <c r="J30" s="26">
        <v>206</v>
      </c>
      <c r="K30" s="26">
        <v>25</v>
      </c>
    </row>
    <row r="31" spans="1:11" ht="15" customHeight="1" x14ac:dyDescent="0.2">
      <c r="A31" s="22" t="s">
        <v>10</v>
      </c>
      <c r="B31" s="22" t="s">
        <v>18</v>
      </c>
      <c r="C31" s="23" t="s">
        <v>650</v>
      </c>
      <c r="D31" s="24" t="s">
        <v>8</v>
      </c>
      <c r="E31" s="25">
        <v>14.086206896551726</v>
      </c>
      <c r="F31" s="25" t="s">
        <v>8</v>
      </c>
      <c r="G31" s="25">
        <v>20.785756629839575</v>
      </c>
      <c r="H31" s="25">
        <v>240.3089699762188</v>
      </c>
      <c r="I31" s="25">
        <v>1.7978841102671934</v>
      </c>
      <c r="J31" s="26">
        <v>204</v>
      </c>
      <c r="K31" s="26">
        <v>29</v>
      </c>
    </row>
    <row r="32" spans="1:11" ht="15" customHeight="1" x14ac:dyDescent="0.2">
      <c r="A32" s="22" t="s">
        <v>10</v>
      </c>
      <c r="B32" s="22" t="s">
        <v>18</v>
      </c>
      <c r="C32" s="23" t="s">
        <v>913</v>
      </c>
      <c r="D32" s="24" t="s">
        <v>8</v>
      </c>
      <c r="E32" s="25">
        <v>14.870689655172416</v>
      </c>
      <c r="F32" s="25" t="s">
        <v>8</v>
      </c>
      <c r="G32" s="25">
        <v>16.345218718124588</v>
      </c>
      <c r="H32" s="25">
        <v>161.59761444708681</v>
      </c>
      <c r="I32" s="25">
        <v>1.6532804389312985</v>
      </c>
      <c r="J32" s="26">
        <v>206</v>
      </c>
      <c r="K32" s="26">
        <v>23</v>
      </c>
    </row>
    <row r="33" spans="1:11" x14ac:dyDescent="0.2">
      <c r="A33" s="22" t="s">
        <v>10</v>
      </c>
      <c r="B33" s="22" t="s">
        <v>19</v>
      </c>
      <c r="C33" s="23" t="s">
        <v>386</v>
      </c>
      <c r="D33" s="24">
        <v>6.68</v>
      </c>
      <c r="E33" s="25">
        <v>9.7307692307692317</v>
      </c>
      <c r="F33" s="25">
        <v>0.68648221343873506</v>
      </c>
      <c r="G33" s="25">
        <v>14.559616059819019</v>
      </c>
      <c r="H33" s="25">
        <v>130.83982248520709</v>
      </c>
      <c r="I33" s="25">
        <v>1.6201674366633054</v>
      </c>
      <c r="J33" s="26">
        <v>216</v>
      </c>
      <c r="K33" s="26">
        <v>10</v>
      </c>
    </row>
    <row r="34" spans="1:11" x14ac:dyDescent="0.2">
      <c r="A34" s="22" t="s">
        <v>10</v>
      </c>
      <c r="B34" s="22" t="s">
        <v>19</v>
      </c>
      <c r="C34" s="23" t="s">
        <v>399</v>
      </c>
      <c r="D34" s="24">
        <v>6.833333333333333</v>
      </c>
      <c r="E34" s="25">
        <v>10.276923076923079</v>
      </c>
      <c r="F34" s="25">
        <v>0.66492015968063856</v>
      </c>
      <c r="G34" s="25">
        <v>13.32373635932797</v>
      </c>
      <c r="H34" s="25">
        <v>139.00047337278107</v>
      </c>
      <c r="I34" s="25">
        <v>1.2771319857076135</v>
      </c>
      <c r="J34" s="26">
        <v>210</v>
      </c>
      <c r="K34" s="26">
        <v>28</v>
      </c>
    </row>
    <row r="35" spans="1:11" x14ac:dyDescent="0.2">
      <c r="A35" s="22" t="s">
        <v>10</v>
      </c>
      <c r="B35" s="22" t="s">
        <v>19</v>
      </c>
      <c r="C35" s="23" t="s">
        <v>467</v>
      </c>
      <c r="D35" s="24">
        <v>7.05</v>
      </c>
      <c r="E35" s="25">
        <v>8.8153846153846143</v>
      </c>
      <c r="F35" s="25">
        <v>0.79973821989528804</v>
      </c>
      <c r="G35" s="25">
        <v>12.887887727274256</v>
      </c>
      <c r="H35" s="25">
        <v>129.35174556213016</v>
      </c>
      <c r="I35" s="25">
        <v>1.2840773763740703</v>
      </c>
      <c r="J35" s="26">
        <v>212</v>
      </c>
      <c r="K35" s="26">
        <v>36</v>
      </c>
    </row>
    <row r="36" spans="1:11" x14ac:dyDescent="0.2">
      <c r="A36" s="22" t="s">
        <v>10</v>
      </c>
      <c r="B36" s="22" t="s">
        <v>19</v>
      </c>
      <c r="C36" s="23" t="s">
        <v>794</v>
      </c>
      <c r="D36" s="24" t="s">
        <v>8</v>
      </c>
      <c r="E36" s="25">
        <v>8.4525547445255462</v>
      </c>
      <c r="F36" s="25" t="s">
        <v>8</v>
      </c>
      <c r="G36" s="25">
        <v>14.036601847101267</v>
      </c>
      <c r="H36" s="25">
        <v>111.80491768341415</v>
      </c>
      <c r="I36" s="25">
        <v>1.7622318901208296</v>
      </c>
      <c r="J36" s="26">
        <v>210</v>
      </c>
      <c r="K36" s="26">
        <v>20</v>
      </c>
    </row>
    <row r="37" spans="1:11" x14ac:dyDescent="0.2">
      <c r="A37" s="22" t="s">
        <v>10</v>
      </c>
      <c r="B37" s="22" t="s">
        <v>20</v>
      </c>
      <c r="C37" s="23" t="s">
        <v>441</v>
      </c>
      <c r="D37" s="24">
        <v>6.2299999999999995</v>
      </c>
      <c r="E37" s="25">
        <v>11.451807228915662</v>
      </c>
      <c r="F37" s="25">
        <v>0.54401893740136764</v>
      </c>
      <c r="G37" s="25">
        <v>12.194986950539322</v>
      </c>
      <c r="H37" s="25">
        <v>93.06486790535638</v>
      </c>
      <c r="I37" s="25">
        <v>1.5980005137391364</v>
      </c>
      <c r="J37" s="26">
        <v>186</v>
      </c>
      <c r="K37" s="26">
        <v>48</v>
      </c>
    </row>
    <row r="38" spans="1:11" x14ac:dyDescent="0.2">
      <c r="A38" s="22" t="s">
        <v>10</v>
      </c>
      <c r="B38" s="22" t="s">
        <v>20</v>
      </c>
      <c r="C38" s="23" t="s">
        <v>497</v>
      </c>
      <c r="D38" s="24">
        <v>5.13</v>
      </c>
      <c r="E38" s="25">
        <v>13.927007299270072</v>
      </c>
      <c r="F38" s="25">
        <v>0.36834905660377359</v>
      </c>
      <c r="G38" s="25">
        <v>12.468158608895545</v>
      </c>
      <c r="H38" s="25">
        <v>95.431189727742549</v>
      </c>
      <c r="I38" s="25">
        <v>1.6289745474207806</v>
      </c>
      <c r="J38" s="26">
        <v>156</v>
      </c>
      <c r="K38" s="26">
        <v>46</v>
      </c>
    </row>
    <row r="39" spans="1:11" x14ac:dyDescent="0.2">
      <c r="A39" s="22" t="s">
        <v>10</v>
      </c>
      <c r="B39" s="22" t="s">
        <v>20</v>
      </c>
      <c r="C39" s="23" t="s">
        <v>507</v>
      </c>
      <c r="D39" s="24">
        <v>5.41</v>
      </c>
      <c r="E39" s="25">
        <v>8.8333333333333321</v>
      </c>
      <c r="F39" s="25">
        <v>0.61245283018867935</v>
      </c>
      <c r="G39" s="25">
        <v>13.682566358032584</v>
      </c>
      <c r="H39" s="25">
        <v>93.503682785044262</v>
      </c>
      <c r="I39" s="25">
        <v>2.0021951709896646</v>
      </c>
      <c r="J39" s="26">
        <v>207</v>
      </c>
      <c r="K39" s="26">
        <v>29</v>
      </c>
    </row>
    <row r="40" spans="1:11" x14ac:dyDescent="0.2">
      <c r="A40" s="22" t="s">
        <v>10</v>
      </c>
      <c r="B40" s="22" t="s">
        <v>20</v>
      </c>
      <c r="C40" s="23" t="s">
        <v>578</v>
      </c>
      <c r="D40" s="24">
        <v>7.54</v>
      </c>
      <c r="E40" s="25">
        <v>7.6325301204819276</v>
      </c>
      <c r="F40" s="25">
        <v>0.9878768745067088</v>
      </c>
      <c r="G40" s="25">
        <v>13.336845091776155</v>
      </c>
      <c r="H40" s="25">
        <v>99.824412106256347</v>
      </c>
      <c r="I40" s="25">
        <v>1.7818430707380633</v>
      </c>
      <c r="J40" s="26">
        <v>214</v>
      </c>
      <c r="K40" s="26">
        <v>24</v>
      </c>
    </row>
    <row r="41" spans="1:11" x14ac:dyDescent="0.2">
      <c r="A41" s="22" t="s">
        <v>10</v>
      </c>
      <c r="B41" s="22" t="s">
        <v>21</v>
      </c>
      <c r="C41" s="23" t="s">
        <v>522</v>
      </c>
      <c r="D41" s="24">
        <v>9.3000000000000007</v>
      </c>
      <c r="E41" s="25">
        <v>13.014598540145986</v>
      </c>
      <c r="F41" s="25">
        <v>0.71458216489063375</v>
      </c>
      <c r="G41" s="25">
        <v>16.098583978098315</v>
      </c>
      <c r="H41" s="25">
        <v>203.12733763120036</v>
      </c>
      <c r="I41" s="25">
        <v>1.2758716237911056</v>
      </c>
      <c r="J41" s="26">
        <v>193</v>
      </c>
      <c r="K41" s="26">
        <v>48</v>
      </c>
    </row>
    <row r="42" spans="1:11" x14ac:dyDescent="0.2">
      <c r="A42" s="22" t="s">
        <v>10</v>
      </c>
      <c r="B42" s="22" t="s">
        <v>21</v>
      </c>
      <c r="C42" s="23" t="s">
        <v>648</v>
      </c>
      <c r="D42" s="24" t="s">
        <v>8</v>
      </c>
      <c r="E42" s="25">
        <v>11.90769230769231</v>
      </c>
      <c r="F42" s="25" t="s">
        <v>8</v>
      </c>
      <c r="G42" s="25">
        <v>19.363291550769901</v>
      </c>
      <c r="H42" s="25">
        <v>199.19828402366863</v>
      </c>
      <c r="I42" s="25">
        <v>1.8822303691911684</v>
      </c>
      <c r="J42" s="26">
        <v>208</v>
      </c>
      <c r="K42" s="26">
        <v>16</v>
      </c>
    </row>
    <row r="43" spans="1:11" x14ac:dyDescent="0.2">
      <c r="A43" s="22" t="s">
        <v>10</v>
      </c>
      <c r="B43" s="22" t="s">
        <v>21</v>
      </c>
      <c r="C43" s="23" t="s">
        <v>905</v>
      </c>
      <c r="D43" s="24" t="s">
        <v>8</v>
      </c>
      <c r="E43" s="25">
        <v>12.576923076923078</v>
      </c>
      <c r="F43" s="25" t="s">
        <v>8</v>
      </c>
      <c r="G43" s="25">
        <v>18.439493899023056</v>
      </c>
      <c r="H43" s="25">
        <v>183.07627218934914</v>
      </c>
      <c r="I43" s="25">
        <v>1.8572310392055797</v>
      </c>
      <c r="J43" s="26">
        <v>211</v>
      </c>
      <c r="K43" s="26">
        <v>19</v>
      </c>
    </row>
    <row r="44" spans="1:11" x14ac:dyDescent="0.2">
      <c r="A44" s="22" t="s">
        <v>10</v>
      </c>
      <c r="B44" s="22" t="s">
        <v>22</v>
      </c>
      <c r="C44" s="23" t="s">
        <v>620</v>
      </c>
      <c r="D44" s="24">
        <v>7.92</v>
      </c>
      <c r="E44" s="25">
        <v>7.0903614457831354</v>
      </c>
      <c r="F44" s="25">
        <v>1.1170093457943921</v>
      </c>
      <c r="G44" s="25">
        <v>8.3706066430714809</v>
      </c>
      <c r="H44" s="25">
        <v>36.341885614748151</v>
      </c>
      <c r="I44" s="25">
        <v>1.9279972513203336</v>
      </c>
      <c r="J44" s="26">
        <v>100</v>
      </c>
      <c r="K44" s="26">
        <v>44</v>
      </c>
    </row>
    <row r="45" spans="1:11" x14ac:dyDescent="0.2">
      <c r="A45" s="22" t="s">
        <v>10</v>
      </c>
      <c r="B45" s="22" t="s">
        <v>22</v>
      </c>
      <c r="C45" s="23" t="s">
        <v>644</v>
      </c>
      <c r="D45" s="24" t="s">
        <v>8</v>
      </c>
      <c r="E45" s="25">
        <v>11.084615384615384</v>
      </c>
      <c r="F45" s="25" t="s">
        <v>8</v>
      </c>
      <c r="G45" s="25">
        <v>13.230269840104025</v>
      </c>
      <c r="H45" s="25">
        <v>106.55254437869823</v>
      </c>
      <c r="I45" s="25">
        <v>1.6427579562986001</v>
      </c>
      <c r="J45" s="26">
        <v>162</v>
      </c>
      <c r="K45" s="26">
        <v>58</v>
      </c>
    </row>
    <row r="46" spans="1:11" x14ac:dyDescent="0.2">
      <c r="A46" s="22" t="s">
        <v>10</v>
      </c>
      <c r="B46" s="22" t="s">
        <v>22</v>
      </c>
      <c r="C46" s="23" t="s">
        <v>646</v>
      </c>
      <c r="D46" s="24" t="s">
        <v>8</v>
      </c>
      <c r="E46" s="25">
        <v>6.102409638554219</v>
      </c>
      <c r="F46" s="25" t="s">
        <v>8</v>
      </c>
      <c r="G46" s="25">
        <v>13.904851447057702</v>
      </c>
      <c r="H46" s="25">
        <v>100.80236609086951</v>
      </c>
      <c r="I46" s="25">
        <v>1.9180590819708494</v>
      </c>
      <c r="J46" s="26">
        <v>211</v>
      </c>
      <c r="K46" s="26">
        <v>17</v>
      </c>
    </row>
    <row r="47" spans="1:11" x14ac:dyDescent="0.2">
      <c r="A47" s="22" t="s">
        <v>10</v>
      </c>
      <c r="B47" s="22" t="s">
        <v>22</v>
      </c>
      <c r="C47" s="23" t="s">
        <v>912</v>
      </c>
      <c r="D47" s="24" t="s">
        <v>8</v>
      </c>
      <c r="E47" s="25">
        <v>7.4076923076923098</v>
      </c>
      <c r="F47" s="25" t="s">
        <v>8</v>
      </c>
      <c r="G47" s="25">
        <v>14.257287576328254</v>
      </c>
      <c r="H47" s="25">
        <v>115.57396449704143</v>
      </c>
      <c r="I47" s="25">
        <v>1.758789273334372</v>
      </c>
      <c r="J47" s="26">
        <v>204</v>
      </c>
      <c r="K47" s="26">
        <v>29</v>
      </c>
    </row>
    <row r="48" spans="1:11" x14ac:dyDescent="0.2">
      <c r="A48" s="22" t="s">
        <v>10</v>
      </c>
      <c r="B48" s="22" t="s">
        <v>241</v>
      </c>
      <c r="C48" s="23" t="s">
        <v>405</v>
      </c>
      <c r="D48" s="24">
        <v>8.4700000000000006</v>
      </c>
      <c r="E48" s="25">
        <v>9.6944444444444446</v>
      </c>
      <c r="F48" s="25">
        <v>0.87369627507163328</v>
      </c>
      <c r="G48" s="25">
        <v>18.834781055586085</v>
      </c>
      <c r="H48" s="25">
        <v>206.58239026063097</v>
      </c>
      <c r="I48" s="25">
        <v>1.7172275766792211</v>
      </c>
      <c r="J48" s="26">
        <v>214</v>
      </c>
      <c r="K48" s="26">
        <v>12</v>
      </c>
    </row>
    <row r="49" spans="1:12" x14ac:dyDescent="0.2">
      <c r="A49" s="22" t="s">
        <v>10</v>
      </c>
      <c r="B49" s="22" t="s">
        <v>241</v>
      </c>
      <c r="C49" s="23" t="s">
        <v>470</v>
      </c>
      <c r="D49" s="24">
        <v>8.1066666666666674</v>
      </c>
      <c r="E49" s="25">
        <v>16.706896551724135</v>
      </c>
      <c r="F49" s="25">
        <v>0.48522875816993477</v>
      </c>
      <c r="G49" s="25">
        <v>15.179447848597682</v>
      </c>
      <c r="H49" s="25">
        <v>169.03329369797859</v>
      </c>
      <c r="I49" s="25">
        <v>1.3631375922899163</v>
      </c>
      <c r="J49" s="26">
        <v>208</v>
      </c>
      <c r="K49" s="26">
        <v>29</v>
      </c>
    </row>
    <row r="50" spans="1:12" x14ac:dyDescent="0.2">
      <c r="A50" s="22" t="s">
        <v>10</v>
      </c>
      <c r="B50" s="22" t="s">
        <v>241</v>
      </c>
      <c r="C50" s="23" t="s">
        <v>501</v>
      </c>
      <c r="D50" s="24">
        <v>7.9</v>
      </c>
      <c r="E50" s="25">
        <v>11.277777777777777</v>
      </c>
      <c r="F50" s="25">
        <v>0.70049261083743852</v>
      </c>
      <c r="G50" s="25">
        <v>18.761286824375013</v>
      </c>
      <c r="H50" s="25">
        <v>196.8309327846365</v>
      </c>
      <c r="I50" s="25">
        <v>1.788265077682655</v>
      </c>
      <c r="J50" s="26">
        <v>225</v>
      </c>
      <c r="K50" s="26">
        <v>11</v>
      </c>
    </row>
    <row r="51" spans="1:12" x14ac:dyDescent="0.2">
      <c r="A51" s="22" t="s">
        <v>10</v>
      </c>
      <c r="B51" s="22" t="s">
        <v>241</v>
      </c>
      <c r="C51" s="23" t="s">
        <v>591</v>
      </c>
      <c r="D51" s="24" t="s">
        <v>8</v>
      </c>
      <c r="E51" s="25">
        <v>13.7</v>
      </c>
      <c r="F51" s="25" t="s">
        <v>8</v>
      </c>
      <c r="G51" s="25">
        <v>16.920247507031206</v>
      </c>
      <c r="H51" s="25">
        <v>209.36644970414201</v>
      </c>
      <c r="I51" s="25">
        <v>1.3674338754072677</v>
      </c>
      <c r="J51" s="26">
        <v>198</v>
      </c>
      <c r="K51" s="26">
        <v>30</v>
      </c>
    </row>
    <row r="52" spans="1:12" x14ac:dyDescent="0.2">
      <c r="A52" s="22" t="s">
        <v>10</v>
      </c>
      <c r="B52" s="22" t="s">
        <v>253</v>
      </c>
      <c r="C52" s="23" t="s">
        <v>708</v>
      </c>
      <c r="D52" s="24">
        <v>26.32</v>
      </c>
      <c r="E52" s="25">
        <v>31.982758620689651</v>
      </c>
      <c r="F52" s="25">
        <v>0.82294339622641521</v>
      </c>
      <c r="G52" s="25">
        <v>41.255571493392459</v>
      </c>
      <c r="H52" s="25">
        <v>858.31093935790727</v>
      </c>
      <c r="I52" s="25">
        <v>1.9829901976079671</v>
      </c>
      <c r="J52" s="26">
        <v>66</v>
      </c>
      <c r="K52" s="26">
        <v>77</v>
      </c>
    </row>
    <row r="53" spans="1:12" x14ac:dyDescent="0.2">
      <c r="A53" s="22" t="s">
        <v>10</v>
      </c>
      <c r="B53" s="22" t="s">
        <v>253</v>
      </c>
      <c r="C53" s="23" t="s">
        <v>717</v>
      </c>
      <c r="D53" s="24">
        <v>28.54</v>
      </c>
      <c r="E53" s="25">
        <v>38.482758620689658</v>
      </c>
      <c r="F53" s="25">
        <v>0.74163082437275973</v>
      </c>
      <c r="G53" s="25">
        <v>47.533994310697963</v>
      </c>
      <c r="H53" s="25">
        <v>1012.7339476813318</v>
      </c>
      <c r="I53" s="25">
        <v>2.2310702828739752</v>
      </c>
      <c r="J53" s="26">
        <v>73</v>
      </c>
      <c r="K53" s="26">
        <v>66</v>
      </c>
    </row>
    <row r="54" spans="1:12" x14ac:dyDescent="0.2">
      <c r="A54" s="22" t="s">
        <v>10</v>
      </c>
      <c r="B54" s="22" t="s">
        <v>23</v>
      </c>
      <c r="C54" s="23" t="s">
        <v>495</v>
      </c>
      <c r="D54" s="24">
        <v>7.15</v>
      </c>
      <c r="E54" s="25">
        <v>14.583333333333334</v>
      </c>
      <c r="F54" s="25">
        <v>0.49028571428571427</v>
      </c>
      <c r="G54" s="25">
        <v>16.529135041150752</v>
      </c>
      <c r="H54" s="25">
        <v>129.94208676268863</v>
      </c>
      <c r="I54" s="25">
        <v>2.1025697833186365</v>
      </c>
      <c r="J54" s="26">
        <v>144</v>
      </c>
      <c r="K54" s="26">
        <v>66</v>
      </c>
    </row>
    <row r="55" spans="1:12" x14ac:dyDescent="0.2">
      <c r="A55" s="22" t="s">
        <v>10</v>
      </c>
      <c r="B55" s="22" t="s">
        <v>23</v>
      </c>
      <c r="C55" s="23" t="s">
        <v>714</v>
      </c>
      <c r="D55" s="24">
        <v>6.74</v>
      </c>
      <c r="E55" s="25">
        <v>15.861111111111111</v>
      </c>
      <c r="F55" s="25">
        <v>0.42493870402802103</v>
      </c>
      <c r="G55" s="25">
        <v>19.324489865716483</v>
      </c>
      <c r="H55" s="25">
        <v>192.59589334705078</v>
      </c>
      <c r="I55" s="25">
        <v>1.9389609097077742</v>
      </c>
      <c r="J55" s="26">
        <v>120</v>
      </c>
      <c r="K55" s="26">
        <v>48</v>
      </c>
    </row>
    <row r="56" spans="1:12" x14ac:dyDescent="0.2">
      <c r="A56" s="22" t="s">
        <v>10</v>
      </c>
      <c r="B56" s="22" t="s">
        <v>24</v>
      </c>
      <c r="C56" s="23" t="s">
        <v>373</v>
      </c>
      <c r="D56" s="24">
        <v>10.129999999999999</v>
      </c>
      <c r="E56" s="25">
        <v>15.24074074074074</v>
      </c>
      <c r="F56" s="25">
        <v>0.66466585662211419</v>
      </c>
      <c r="G56" s="25">
        <v>18.889906633438883</v>
      </c>
      <c r="H56" s="25">
        <v>127.75150034293551</v>
      </c>
      <c r="I56" s="25">
        <v>2.7931458469150612</v>
      </c>
      <c r="J56" s="26">
        <v>133</v>
      </c>
      <c r="K56" s="26">
        <v>65</v>
      </c>
    </row>
    <row r="57" spans="1:12" x14ac:dyDescent="0.2">
      <c r="A57" s="22" t="s">
        <v>10</v>
      </c>
      <c r="B57" s="22" t="s">
        <v>24</v>
      </c>
      <c r="C57" s="23" t="s">
        <v>624</v>
      </c>
      <c r="D57" s="24">
        <v>10.5</v>
      </c>
      <c r="E57" s="25">
        <v>15.543103448275859</v>
      </c>
      <c r="F57" s="25">
        <v>0.67554076539101504</v>
      </c>
      <c r="G57" s="25">
        <v>18.452652816863107</v>
      </c>
      <c r="H57" s="25">
        <v>142.00271254458977</v>
      </c>
      <c r="I57" s="25">
        <v>2.3978443078878979</v>
      </c>
      <c r="J57" s="26">
        <v>101</v>
      </c>
      <c r="K57" s="26">
        <v>66</v>
      </c>
    </row>
    <row r="58" spans="1:12" x14ac:dyDescent="0.2">
      <c r="A58" s="22" t="s">
        <v>10</v>
      </c>
      <c r="B58" s="22" t="s">
        <v>25</v>
      </c>
      <c r="C58" s="23" t="s">
        <v>493</v>
      </c>
      <c r="D58" s="24">
        <v>7.02</v>
      </c>
      <c r="E58" s="25">
        <v>15.953703703703704</v>
      </c>
      <c r="F58" s="25">
        <v>0.44002321532211258</v>
      </c>
      <c r="G58" s="25">
        <v>16.305279984652241</v>
      </c>
      <c r="H58" s="25">
        <v>129.63318758573388</v>
      </c>
      <c r="I58" s="25">
        <v>2.0508803365038837</v>
      </c>
      <c r="J58" s="26">
        <v>130</v>
      </c>
      <c r="K58" s="26">
        <v>56</v>
      </c>
    </row>
    <row r="59" spans="1:12" x14ac:dyDescent="0.2">
      <c r="A59" s="22" t="s">
        <v>10</v>
      </c>
      <c r="B59" s="22" t="s">
        <v>254</v>
      </c>
      <c r="C59" s="23" t="s">
        <v>744</v>
      </c>
      <c r="D59" s="24">
        <v>8.31</v>
      </c>
      <c r="E59" s="25">
        <v>11.029197080291969</v>
      </c>
      <c r="F59" s="25">
        <v>0.75345466578424902</v>
      </c>
      <c r="G59" s="25">
        <v>14.90066645256768</v>
      </c>
      <c r="H59" s="25">
        <v>95.504342266503272</v>
      </c>
      <c r="I59" s="25">
        <v>2.3248143012294173</v>
      </c>
      <c r="J59" s="26">
        <v>132</v>
      </c>
      <c r="K59" s="26">
        <v>58</v>
      </c>
      <c r="L59" s="21" t="s">
        <v>923</v>
      </c>
    </row>
    <row r="60" spans="1:12" x14ac:dyDescent="0.2">
      <c r="A60" s="22" t="s">
        <v>10</v>
      </c>
      <c r="B60" s="22" t="s">
        <v>254</v>
      </c>
      <c r="C60" s="23" t="s">
        <v>814</v>
      </c>
      <c r="D60" s="24">
        <v>8.31</v>
      </c>
      <c r="E60" s="25">
        <v>9.7327586206896566</v>
      </c>
      <c r="F60" s="25">
        <v>0.85381753764393264</v>
      </c>
      <c r="G60" s="25">
        <v>1.3948568868531793E-2</v>
      </c>
      <c r="H60" s="25">
        <v>1.3376932223543401E-3</v>
      </c>
      <c r="I60" s="25">
        <v>0.1454463327082903</v>
      </c>
      <c r="J60" s="26">
        <v>104</v>
      </c>
      <c r="K60" s="26">
        <v>60</v>
      </c>
      <c r="L60" s="21" t="s">
        <v>923</v>
      </c>
    </row>
    <row r="61" spans="1:12" x14ac:dyDescent="0.2">
      <c r="A61" s="22" t="s">
        <v>10</v>
      </c>
      <c r="B61" s="22" t="s">
        <v>255</v>
      </c>
      <c r="C61" s="23" t="s">
        <v>834</v>
      </c>
      <c r="D61" s="24" t="s">
        <v>8</v>
      </c>
      <c r="E61" s="25">
        <v>34.676923076923075</v>
      </c>
      <c r="F61" s="25" t="s">
        <v>8</v>
      </c>
      <c r="G61" s="25">
        <v>33.651428190550632</v>
      </c>
      <c r="H61" s="25">
        <v>524.24272189349108</v>
      </c>
      <c r="I61" s="25">
        <v>2.1601036542265168</v>
      </c>
      <c r="J61" s="26">
        <v>110</v>
      </c>
      <c r="K61" s="26">
        <v>52</v>
      </c>
    </row>
    <row r="62" spans="1:12" x14ac:dyDescent="0.2">
      <c r="A62" s="22" t="s">
        <v>10</v>
      </c>
      <c r="B62" s="22" t="s">
        <v>26</v>
      </c>
      <c r="C62" s="23" t="s">
        <v>504</v>
      </c>
      <c r="D62" s="24">
        <v>7.12</v>
      </c>
      <c r="E62" s="25">
        <v>15.064814814814817</v>
      </c>
      <c r="F62" s="25">
        <v>0.47262446220036874</v>
      </c>
      <c r="G62" s="25">
        <v>15.741680645175837</v>
      </c>
      <c r="H62" s="25">
        <v>108.44170096021949</v>
      </c>
      <c r="I62" s="25">
        <v>2.285103491927023</v>
      </c>
      <c r="J62" s="26">
        <v>89</v>
      </c>
      <c r="K62" s="26">
        <v>78</v>
      </c>
    </row>
    <row r="63" spans="1:12" x14ac:dyDescent="0.2">
      <c r="A63" s="22" t="s">
        <v>10</v>
      </c>
      <c r="B63" s="22" t="s">
        <v>26</v>
      </c>
      <c r="C63" s="23" t="s">
        <v>779</v>
      </c>
      <c r="D63" s="24" t="s">
        <v>8</v>
      </c>
      <c r="E63" s="25">
        <v>13.431034482758625</v>
      </c>
      <c r="F63" s="25" t="s">
        <v>8</v>
      </c>
      <c r="G63" s="25">
        <v>16.446551388253042</v>
      </c>
      <c r="H63" s="25">
        <v>132.00754310344826</v>
      </c>
      <c r="I63" s="25">
        <v>2.0490423971793654</v>
      </c>
      <c r="J63" s="26">
        <v>103</v>
      </c>
      <c r="K63" s="26">
        <v>51</v>
      </c>
    </row>
    <row r="64" spans="1:12" x14ac:dyDescent="0.2">
      <c r="A64" s="22" t="s">
        <v>10</v>
      </c>
      <c r="B64" s="22" t="s">
        <v>27</v>
      </c>
      <c r="C64" s="23" t="s">
        <v>337</v>
      </c>
      <c r="D64" s="24">
        <v>4.0599999999999996</v>
      </c>
      <c r="E64" s="25">
        <v>14.007692307692309</v>
      </c>
      <c r="F64" s="25">
        <v>0.28984074684239425</v>
      </c>
      <c r="G64" s="25">
        <v>15.411260875980751</v>
      </c>
      <c r="H64" s="25">
        <v>128.9923372781065</v>
      </c>
      <c r="I64" s="25">
        <v>1.8412486105703456</v>
      </c>
      <c r="J64" s="26">
        <v>50</v>
      </c>
      <c r="K64" s="26">
        <v>32</v>
      </c>
    </row>
    <row r="65" spans="1:11" x14ac:dyDescent="0.2">
      <c r="A65" s="22" t="s">
        <v>10</v>
      </c>
      <c r="B65" s="22" t="s">
        <v>27</v>
      </c>
      <c r="C65" s="23" t="s">
        <v>552</v>
      </c>
      <c r="D65" s="24">
        <v>4.47</v>
      </c>
      <c r="E65" s="25">
        <v>15.02777777777778</v>
      </c>
      <c r="F65" s="25">
        <v>0.29744916820702394</v>
      </c>
      <c r="G65" s="25">
        <v>19.734336044591053</v>
      </c>
      <c r="H65" s="25">
        <v>224.9951560356653</v>
      </c>
      <c r="I65" s="25">
        <v>1.7308995712739372</v>
      </c>
      <c r="J65" s="26">
        <v>39</v>
      </c>
      <c r="K65" s="26">
        <v>27</v>
      </c>
    </row>
    <row r="66" spans="1:11" x14ac:dyDescent="0.2">
      <c r="A66" s="22" t="s">
        <v>10</v>
      </c>
      <c r="B66" s="22" t="s">
        <v>28</v>
      </c>
      <c r="C66" s="23" t="s">
        <v>389</v>
      </c>
      <c r="D66" s="24">
        <v>7.503333333333333</v>
      </c>
      <c r="E66" s="25">
        <v>10.469230769230771</v>
      </c>
      <c r="F66" s="25">
        <v>0.71670340435953939</v>
      </c>
      <c r="G66" s="25">
        <v>13.574561993414303</v>
      </c>
      <c r="H66" s="25">
        <v>113.76556213017751</v>
      </c>
      <c r="I66" s="25">
        <v>1.6197233140042551</v>
      </c>
      <c r="J66" s="26">
        <v>172</v>
      </c>
      <c r="K66" s="26">
        <v>32</v>
      </c>
    </row>
    <row r="67" spans="1:11" x14ac:dyDescent="0.2">
      <c r="A67" s="22" t="s">
        <v>10</v>
      </c>
      <c r="B67" s="22" t="s">
        <v>28</v>
      </c>
      <c r="C67" s="23" t="s">
        <v>573</v>
      </c>
      <c r="D67" s="24">
        <v>8.81</v>
      </c>
      <c r="E67" s="25">
        <v>10.879310344827587</v>
      </c>
      <c r="F67" s="25">
        <v>0.80979397781299522</v>
      </c>
      <c r="G67" s="25">
        <v>11.078156950076769</v>
      </c>
      <c r="H67" s="25">
        <v>82.974451710926147</v>
      </c>
      <c r="I67" s="25">
        <v>1.4790764974030388</v>
      </c>
      <c r="J67" s="26">
        <v>185</v>
      </c>
      <c r="K67" s="26">
        <v>32</v>
      </c>
    </row>
    <row r="68" spans="1:11" x14ac:dyDescent="0.2">
      <c r="A68" s="22" t="s">
        <v>10</v>
      </c>
      <c r="B68" s="22" t="s">
        <v>28</v>
      </c>
      <c r="C68" s="23" t="s">
        <v>574</v>
      </c>
      <c r="D68" s="24">
        <v>9.11</v>
      </c>
      <c r="E68" s="25">
        <v>9.89051094890511</v>
      </c>
      <c r="F68" s="25">
        <v>0.92108487084870838</v>
      </c>
      <c r="G68" s="25">
        <v>13.117744496308635</v>
      </c>
      <c r="H68" s="25">
        <v>108.42623474878789</v>
      </c>
      <c r="I68" s="25">
        <v>1.5870256960330271</v>
      </c>
      <c r="J68" s="26">
        <v>172</v>
      </c>
      <c r="K68" s="26">
        <v>37</v>
      </c>
    </row>
    <row r="69" spans="1:11" x14ac:dyDescent="0.2">
      <c r="A69" s="22" t="s">
        <v>10</v>
      </c>
      <c r="B69" s="22" t="s">
        <v>29</v>
      </c>
      <c r="C69" s="23" t="s">
        <v>658</v>
      </c>
      <c r="D69" s="24" t="s">
        <v>8</v>
      </c>
      <c r="E69" s="25">
        <v>15.592307692307694</v>
      </c>
      <c r="F69" s="25" t="s">
        <v>8</v>
      </c>
      <c r="G69" s="25">
        <v>16.054548167661551</v>
      </c>
      <c r="H69" s="25">
        <v>112.07204142011834</v>
      </c>
      <c r="I69" s="25">
        <v>2.2998467200357053</v>
      </c>
      <c r="J69" s="26">
        <v>90</v>
      </c>
      <c r="K69" s="26">
        <v>49</v>
      </c>
    </row>
    <row r="70" spans="1:11" x14ac:dyDescent="0.2">
      <c r="A70" s="22" t="s">
        <v>10</v>
      </c>
      <c r="B70" s="22" t="s">
        <v>29</v>
      </c>
      <c r="C70" s="23" t="s">
        <v>780</v>
      </c>
      <c r="D70" s="24" t="s">
        <v>8</v>
      </c>
      <c r="E70" s="25">
        <v>16.396551724137932</v>
      </c>
      <c r="F70" s="25" t="s">
        <v>8</v>
      </c>
      <c r="G70" s="25">
        <v>9.1534775765086757E-2</v>
      </c>
      <c r="H70" s="25">
        <v>4.4589774078478004E-4</v>
      </c>
      <c r="I70" s="25">
        <v>18.790440964375264</v>
      </c>
      <c r="J70" s="26">
        <v>106</v>
      </c>
      <c r="K70" s="26">
        <v>50</v>
      </c>
    </row>
    <row r="71" spans="1:11" x14ac:dyDescent="0.2">
      <c r="A71" s="22" t="s">
        <v>10</v>
      </c>
      <c r="B71" s="22" t="s">
        <v>30</v>
      </c>
      <c r="C71" s="23" t="s">
        <v>339</v>
      </c>
      <c r="D71" s="24">
        <v>8.3250000000000011</v>
      </c>
      <c r="E71" s="25">
        <v>12.492307692307691</v>
      </c>
      <c r="F71" s="25">
        <v>0.6664100985221677</v>
      </c>
      <c r="G71" s="25">
        <v>13.899022165825215</v>
      </c>
      <c r="H71" s="25">
        <v>79.331715976331367</v>
      </c>
      <c r="I71" s="25">
        <v>2.4351271718833964</v>
      </c>
      <c r="J71" s="26">
        <v>140</v>
      </c>
      <c r="K71" s="26">
        <v>64</v>
      </c>
    </row>
    <row r="72" spans="1:11" x14ac:dyDescent="0.2">
      <c r="A72" s="22" t="s">
        <v>10</v>
      </c>
      <c r="B72" s="22" t="s">
        <v>30</v>
      </c>
      <c r="C72" s="23" t="s">
        <v>449</v>
      </c>
      <c r="D72" s="24">
        <v>8.76</v>
      </c>
      <c r="E72" s="25">
        <v>11.138554216867467</v>
      </c>
      <c r="F72" s="25">
        <v>0.78645754461871298</v>
      </c>
      <c r="G72" s="25">
        <v>13.602454735908893</v>
      </c>
      <c r="H72" s="25">
        <v>74.505860792567859</v>
      </c>
      <c r="I72" s="25">
        <v>2.4833855065118198</v>
      </c>
      <c r="J72" s="26">
        <v>158</v>
      </c>
      <c r="K72" s="26">
        <v>74</v>
      </c>
    </row>
    <row r="73" spans="1:11" x14ac:dyDescent="0.2">
      <c r="A73" s="22" t="s">
        <v>10</v>
      </c>
      <c r="B73" s="22" t="s">
        <v>30</v>
      </c>
      <c r="C73" s="23" t="s">
        <v>500</v>
      </c>
      <c r="D73" s="24">
        <v>8.9499999999999993</v>
      </c>
      <c r="E73" s="25">
        <v>13.204379562043796</v>
      </c>
      <c r="F73" s="25">
        <v>0.67780541735765609</v>
      </c>
      <c r="G73" s="25">
        <v>14.481400596227424</v>
      </c>
      <c r="H73" s="25">
        <v>88.224812190313813</v>
      </c>
      <c r="I73" s="25">
        <v>2.3770066268436909</v>
      </c>
      <c r="J73" s="26">
        <v>121</v>
      </c>
      <c r="K73" s="26">
        <v>70</v>
      </c>
    </row>
    <row r="74" spans="1:11" x14ac:dyDescent="0.2">
      <c r="A74" s="22" t="s">
        <v>10</v>
      </c>
      <c r="B74" s="22" t="s">
        <v>30</v>
      </c>
      <c r="C74" s="23" t="s">
        <v>514</v>
      </c>
      <c r="D74" s="24">
        <v>8.5500000000000007</v>
      </c>
      <c r="E74" s="25">
        <v>11.978102189781019</v>
      </c>
      <c r="F74" s="25">
        <v>0.71380255941499104</v>
      </c>
      <c r="G74" s="25">
        <v>13.89813415523323</v>
      </c>
      <c r="H74" s="25">
        <v>81.331743832915976</v>
      </c>
      <c r="I74" s="25">
        <v>2.3749414914018718</v>
      </c>
      <c r="J74" s="26">
        <v>132</v>
      </c>
      <c r="K74" s="26">
        <v>66</v>
      </c>
    </row>
    <row r="75" spans="1:11" x14ac:dyDescent="0.2">
      <c r="A75" s="22" t="s">
        <v>10</v>
      </c>
      <c r="B75" s="22" t="s">
        <v>30</v>
      </c>
      <c r="C75" s="23" t="s">
        <v>544</v>
      </c>
      <c r="D75" s="24">
        <v>7.04</v>
      </c>
      <c r="E75" s="25">
        <v>12.540145985401461</v>
      </c>
      <c r="F75" s="25">
        <v>0.56139697322467985</v>
      </c>
      <c r="G75" s="25">
        <v>16.224432212442899</v>
      </c>
      <c r="H75" s="25">
        <v>109.13165325803186</v>
      </c>
      <c r="I75" s="25">
        <v>2.412060962677494</v>
      </c>
      <c r="J75" s="26">
        <v>113</v>
      </c>
      <c r="K75" s="26">
        <v>67</v>
      </c>
    </row>
    <row r="76" spans="1:11" x14ac:dyDescent="0.2">
      <c r="A76" s="22" t="s">
        <v>10</v>
      </c>
      <c r="B76" s="22" t="s">
        <v>256</v>
      </c>
      <c r="C76" s="23" t="s">
        <v>404</v>
      </c>
      <c r="D76" s="24">
        <v>9.2200000000000006</v>
      </c>
      <c r="E76" s="25">
        <v>15.75</v>
      </c>
      <c r="F76" s="25">
        <v>0.58539682539682547</v>
      </c>
      <c r="G76" s="25">
        <v>20.145207952899902</v>
      </c>
      <c r="H76" s="25">
        <v>199.61998456790121</v>
      </c>
      <c r="I76" s="25">
        <v>2.033009892992641</v>
      </c>
      <c r="J76" s="26">
        <v>128</v>
      </c>
      <c r="K76" s="26">
        <v>72</v>
      </c>
    </row>
    <row r="77" spans="1:11" x14ac:dyDescent="0.2">
      <c r="A77" s="22" t="s">
        <v>10</v>
      </c>
      <c r="B77" s="22" t="s">
        <v>256</v>
      </c>
      <c r="C77" s="23" t="s">
        <v>969</v>
      </c>
      <c r="D77" s="24" t="s">
        <v>8</v>
      </c>
      <c r="E77" s="25">
        <v>14.379310344827587</v>
      </c>
      <c r="F77" s="25" t="s">
        <v>8</v>
      </c>
      <c r="G77" s="25">
        <v>17.565645085567425</v>
      </c>
      <c r="H77" s="25">
        <v>164.84690844233054</v>
      </c>
      <c r="I77" s="25">
        <v>1.871748097599669</v>
      </c>
      <c r="J77" s="26">
        <v>122</v>
      </c>
      <c r="K77" s="26">
        <v>68</v>
      </c>
    </row>
    <row r="78" spans="1:11" x14ac:dyDescent="0.2">
      <c r="A78" s="22" t="s">
        <v>10</v>
      </c>
      <c r="B78" s="22" t="s">
        <v>256</v>
      </c>
      <c r="C78" s="23" t="s">
        <v>815</v>
      </c>
      <c r="D78" s="24" t="s">
        <v>8</v>
      </c>
      <c r="E78" s="25">
        <v>16.232758620689655</v>
      </c>
      <c r="F78" s="25" t="s">
        <v>8</v>
      </c>
      <c r="G78" s="25">
        <v>19.407183524557468</v>
      </c>
      <c r="H78" s="25">
        <v>187.34215219976215</v>
      </c>
      <c r="I78" s="25">
        <v>2.010432611846193</v>
      </c>
      <c r="J78" s="26">
        <v>141</v>
      </c>
      <c r="K78" s="26">
        <v>54</v>
      </c>
    </row>
    <row r="79" spans="1:11" x14ac:dyDescent="0.2">
      <c r="A79" s="22" t="s">
        <v>10</v>
      </c>
      <c r="B79" s="22" t="s">
        <v>31</v>
      </c>
      <c r="C79" s="23" t="s">
        <v>407</v>
      </c>
      <c r="D79" s="24">
        <v>4.7766666666666673</v>
      </c>
      <c r="E79" s="25">
        <v>10.605839416058394</v>
      </c>
      <c r="F79" s="25">
        <v>0.45038082128928658</v>
      </c>
      <c r="G79" s="25">
        <v>12.20039495786888</v>
      </c>
      <c r="H79" s="25">
        <v>82.285577281687893</v>
      </c>
      <c r="I79" s="25">
        <v>1.808939574166637</v>
      </c>
      <c r="J79" s="26">
        <v>130</v>
      </c>
      <c r="K79" s="26">
        <v>67</v>
      </c>
    </row>
    <row r="80" spans="1:11" x14ac:dyDescent="0.2">
      <c r="A80" s="22" t="s">
        <v>10</v>
      </c>
      <c r="B80" s="22" t="s">
        <v>31</v>
      </c>
      <c r="C80" s="23" t="s">
        <v>423</v>
      </c>
      <c r="D80" s="24">
        <v>4.12</v>
      </c>
      <c r="E80" s="25">
        <v>9.4759036144578328</v>
      </c>
      <c r="F80" s="25">
        <v>0.43478703115066747</v>
      </c>
      <c r="G80" s="25">
        <v>11.843882671040557</v>
      </c>
      <c r="H80" s="25">
        <v>75.975050805632165</v>
      </c>
      <c r="I80" s="25">
        <v>1.8463634474460369</v>
      </c>
      <c r="J80" s="26">
        <v>160</v>
      </c>
      <c r="K80" s="26">
        <v>47</v>
      </c>
    </row>
    <row r="81" spans="1:12" x14ac:dyDescent="0.2">
      <c r="A81" s="22" t="s">
        <v>10</v>
      </c>
      <c r="B81" s="22" t="s">
        <v>31</v>
      </c>
      <c r="C81" s="23" t="s">
        <v>530</v>
      </c>
      <c r="D81" s="24">
        <v>5.14</v>
      </c>
      <c r="E81" s="25">
        <v>12.452554744525548</v>
      </c>
      <c r="F81" s="25">
        <v>0.41276670574443136</v>
      </c>
      <c r="G81" s="25">
        <v>13.980447991819013</v>
      </c>
      <c r="H81" s="25">
        <v>103.19167243859556</v>
      </c>
      <c r="I81" s="25">
        <v>1.894076541576172</v>
      </c>
      <c r="J81" s="26">
        <v>132</v>
      </c>
      <c r="K81" s="26">
        <v>60</v>
      </c>
    </row>
    <row r="82" spans="1:12" x14ac:dyDescent="0.2">
      <c r="A82" s="22" t="s">
        <v>10</v>
      </c>
      <c r="B82" s="22" t="s">
        <v>31</v>
      </c>
      <c r="C82" s="23" t="s">
        <v>799</v>
      </c>
      <c r="D82" s="24" t="s">
        <v>8</v>
      </c>
      <c r="E82" s="25">
        <v>9.6084337349397604</v>
      </c>
      <c r="F82" s="25" t="s">
        <v>8</v>
      </c>
      <c r="G82" s="25">
        <v>11.777048083145294</v>
      </c>
      <c r="H82" s="25">
        <v>74.877376977790675</v>
      </c>
      <c r="I82" s="25">
        <v>1.8523466920302991</v>
      </c>
      <c r="J82" s="26">
        <v>172</v>
      </c>
      <c r="K82" s="26">
        <v>70</v>
      </c>
    </row>
    <row r="83" spans="1:12" x14ac:dyDescent="0.2">
      <c r="A83" s="22" t="s">
        <v>10</v>
      </c>
      <c r="B83" s="22" t="s">
        <v>32</v>
      </c>
      <c r="C83" s="23" t="s">
        <v>748</v>
      </c>
      <c r="D83" s="24" t="s">
        <v>8</v>
      </c>
      <c r="E83" s="25">
        <v>13.233576642335766</v>
      </c>
      <c r="F83" s="25" t="s">
        <v>8</v>
      </c>
      <c r="G83" s="25">
        <v>15.676282955419509</v>
      </c>
      <c r="H83" s="25">
        <v>93.63205285310886</v>
      </c>
      <c r="I83" s="25">
        <v>2.6245910434528801</v>
      </c>
      <c r="J83" s="26">
        <v>137</v>
      </c>
      <c r="K83" s="26">
        <v>49</v>
      </c>
    </row>
    <row r="84" spans="1:12" x14ac:dyDescent="0.2">
      <c r="A84" s="22" t="s">
        <v>10</v>
      </c>
      <c r="B84" s="22" t="s">
        <v>33</v>
      </c>
      <c r="C84" s="23" t="s">
        <v>468</v>
      </c>
      <c r="D84" s="24">
        <v>6.23</v>
      </c>
      <c r="E84" s="25">
        <v>11.053846153846155</v>
      </c>
      <c r="F84" s="25">
        <v>0.5636047320807237</v>
      </c>
      <c r="G84" s="25">
        <v>13.598889405722513</v>
      </c>
      <c r="H84" s="25">
        <v>96.839023668639044</v>
      </c>
      <c r="I84" s="25">
        <v>1.9096618910766738</v>
      </c>
      <c r="J84" s="26">
        <v>128</v>
      </c>
      <c r="K84" s="26">
        <v>66</v>
      </c>
    </row>
    <row r="85" spans="1:12" x14ac:dyDescent="0.2">
      <c r="A85" s="22" t="s">
        <v>10</v>
      </c>
      <c r="B85" s="22" t="s">
        <v>33</v>
      </c>
      <c r="C85" s="23" t="s">
        <v>902</v>
      </c>
      <c r="D85" s="24" t="s">
        <v>8</v>
      </c>
      <c r="E85" s="25">
        <v>10.321167883211681</v>
      </c>
      <c r="F85" s="25" t="s">
        <v>8</v>
      </c>
      <c r="G85" s="25">
        <v>11.87659519021995</v>
      </c>
      <c r="H85" s="25">
        <v>71.716420693697046</v>
      </c>
      <c r="I85" s="25">
        <v>1.9668231061725652</v>
      </c>
      <c r="J85" s="26">
        <v>116</v>
      </c>
      <c r="K85" s="26">
        <v>64</v>
      </c>
    </row>
    <row r="86" spans="1:12" x14ac:dyDescent="0.2">
      <c r="A86" s="22" t="s">
        <v>10</v>
      </c>
      <c r="B86" s="22" t="s">
        <v>34</v>
      </c>
      <c r="C86" s="23" t="s">
        <v>348</v>
      </c>
      <c r="D86" s="24">
        <v>8.3800000000000008</v>
      </c>
      <c r="E86" s="25">
        <v>11.400000000000002</v>
      </c>
      <c r="F86" s="25">
        <v>0.73508771929824557</v>
      </c>
      <c r="G86" s="25">
        <v>14.062216945907524</v>
      </c>
      <c r="H86" s="25">
        <v>100.88781065088757</v>
      </c>
      <c r="I86" s="25">
        <v>1.9600578519643892</v>
      </c>
      <c r="J86" s="26">
        <v>60</v>
      </c>
      <c r="K86" s="26">
        <v>36</v>
      </c>
    </row>
    <row r="87" spans="1:12" x14ac:dyDescent="0.2">
      <c r="A87" s="22" t="s">
        <v>10</v>
      </c>
      <c r="B87" s="22" t="s">
        <v>220</v>
      </c>
      <c r="C87" s="23" t="s">
        <v>616</v>
      </c>
      <c r="D87" s="24">
        <v>8.3800000000000008</v>
      </c>
      <c r="E87" s="25">
        <v>9.4638554216867483</v>
      </c>
      <c r="F87" s="25">
        <v>0.88547422024188416</v>
      </c>
      <c r="G87" s="25">
        <v>11.096339914625691</v>
      </c>
      <c r="H87" s="25">
        <v>61.02738060676441</v>
      </c>
      <c r="I87" s="25">
        <v>2.0175986299380417</v>
      </c>
      <c r="J87" s="26">
        <v>119</v>
      </c>
      <c r="K87" s="26">
        <v>38</v>
      </c>
      <c r="L87" s="21" t="s">
        <v>924</v>
      </c>
    </row>
    <row r="88" spans="1:12" x14ac:dyDescent="0.2">
      <c r="A88" s="22" t="s">
        <v>10</v>
      </c>
      <c r="B88" s="22" t="s">
        <v>220</v>
      </c>
      <c r="C88" s="23" t="s">
        <v>812</v>
      </c>
      <c r="D88" s="24">
        <v>8.3800000000000008</v>
      </c>
      <c r="E88" s="25">
        <v>10.240875912408756</v>
      </c>
      <c r="F88" s="25">
        <v>0.81828937990021422</v>
      </c>
      <c r="G88" s="25">
        <v>12.874098057530052</v>
      </c>
      <c r="H88" s="25">
        <v>83.367867227875749</v>
      </c>
      <c r="I88" s="25">
        <v>1.9880849337534654</v>
      </c>
      <c r="J88" s="26">
        <v>81</v>
      </c>
      <c r="K88" s="26">
        <v>30</v>
      </c>
      <c r="L88" s="21" t="s">
        <v>924</v>
      </c>
    </row>
    <row r="89" spans="1:12" x14ac:dyDescent="0.2">
      <c r="A89" s="22" t="s">
        <v>10</v>
      </c>
      <c r="B89" s="22" t="s">
        <v>35</v>
      </c>
      <c r="C89" s="23" t="s">
        <v>451</v>
      </c>
      <c r="D89" s="24">
        <v>10.49</v>
      </c>
      <c r="E89" s="25">
        <v>13.407692307692308</v>
      </c>
      <c r="F89" s="25">
        <v>0.78238668961560531</v>
      </c>
      <c r="G89" s="25">
        <v>15.925735933885516</v>
      </c>
      <c r="H89" s="25">
        <v>130.07233727810652</v>
      </c>
      <c r="I89" s="25">
        <v>1.949907800100265</v>
      </c>
      <c r="J89" s="26">
        <v>162</v>
      </c>
      <c r="K89" s="26">
        <v>61</v>
      </c>
    </row>
    <row r="90" spans="1:12" x14ac:dyDescent="0.2">
      <c r="A90" s="22" t="s">
        <v>10</v>
      </c>
      <c r="B90" s="22" t="s">
        <v>35</v>
      </c>
      <c r="C90" s="23" t="s">
        <v>808</v>
      </c>
      <c r="D90" s="24" t="s">
        <v>8</v>
      </c>
      <c r="E90" s="25">
        <v>12.364963503649635</v>
      </c>
      <c r="F90" s="25" t="s">
        <v>8</v>
      </c>
      <c r="G90" s="25">
        <v>14.014662527885125</v>
      </c>
      <c r="H90" s="25">
        <v>102.97104267675422</v>
      </c>
      <c r="I90" s="25">
        <v>1.9074368935651007</v>
      </c>
      <c r="J90" s="26">
        <v>168</v>
      </c>
      <c r="K90" s="26">
        <v>55</v>
      </c>
    </row>
    <row r="91" spans="1:12" x14ac:dyDescent="0.2">
      <c r="A91" s="22" t="s">
        <v>10</v>
      </c>
      <c r="B91" s="22" t="s">
        <v>36</v>
      </c>
      <c r="C91" s="23" t="s">
        <v>393</v>
      </c>
      <c r="D91" s="24">
        <v>5.41</v>
      </c>
      <c r="E91" s="25">
        <v>12.300000000000002</v>
      </c>
      <c r="F91" s="25">
        <v>0.43983739837398367</v>
      </c>
      <c r="G91" s="25">
        <v>14.652541304660495</v>
      </c>
      <c r="H91" s="25">
        <v>119.32461538461538</v>
      </c>
      <c r="I91" s="25">
        <v>1.7992680386419493</v>
      </c>
      <c r="J91" s="26">
        <v>152</v>
      </c>
      <c r="K91" s="26">
        <v>52</v>
      </c>
    </row>
    <row r="92" spans="1:12" x14ac:dyDescent="0.2">
      <c r="A92" s="22" t="s">
        <v>10</v>
      </c>
      <c r="B92" s="22" t="s">
        <v>37</v>
      </c>
      <c r="C92" s="23" t="s">
        <v>534</v>
      </c>
      <c r="D92" s="24">
        <v>8.33</v>
      </c>
      <c r="E92" s="25">
        <v>16.361111111111107</v>
      </c>
      <c r="F92" s="25">
        <v>0.50913412563667249</v>
      </c>
      <c r="G92" s="25">
        <v>20.668837458760173</v>
      </c>
      <c r="H92" s="25">
        <v>182.93544238683126</v>
      </c>
      <c r="I92" s="25">
        <v>2.3352546467911788</v>
      </c>
      <c r="J92" s="26">
        <v>34</v>
      </c>
      <c r="K92" s="26">
        <v>20</v>
      </c>
    </row>
    <row r="93" spans="1:12" x14ac:dyDescent="0.2">
      <c r="A93" s="22" t="s">
        <v>10</v>
      </c>
      <c r="B93" s="22" t="s">
        <v>38</v>
      </c>
      <c r="C93" s="23" t="s">
        <v>588</v>
      </c>
      <c r="D93" s="24">
        <v>9.89</v>
      </c>
      <c r="E93" s="25">
        <v>15.814814814814811</v>
      </c>
      <c r="F93" s="25">
        <v>0.62536299765807979</v>
      </c>
      <c r="G93" s="25">
        <v>17.452404304800599</v>
      </c>
      <c r="H93" s="25">
        <v>147.16199417009602</v>
      </c>
      <c r="I93" s="25">
        <v>2.0697355844890812</v>
      </c>
      <c r="J93" s="26">
        <v>126</v>
      </c>
      <c r="K93" s="26">
        <v>92</v>
      </c>
    </row>
    <row r="94" spans="1:12" x14ac:dyDescent="0.2">
      <c r="A94" s="22" t="s">
        <v>10</v>
      </c>
      <c r="B94" s="22" t="s">
        <v>38</v>
      </c>
      <c r="C94" s="23" t="s">
        <v>710</v>
      </c>
      <c r="D94" s="24">
        <v>9.08</v>
      </c>
      <c r="E94" s="25">
        <v>14.094890510948904</v>
      </c>
      <c r="F94" s="25">
        <v>0.64420507509062663</v>
      </c>
      <c r="G94" s="25">
        <v>16.597206033666112</v>
      </c>
      <c r="H94" s="25">
        <v>134.41808300921733</v>
      </c>
      <c r="I94" s="25">
        <v>2.0493317711209542</v>
      </c>
      <c r="J94" s="26">
        <v>113</v>
      </c>
      <c r="K94" s="26">
        <v>102</v>
      </c>
    </row>
    <row r="95" spans="1:12" x14ac:dyDescent="0.2">
      <c r="A95" s="22" t="s">
        <v>10</v>
      </c>
      <c r="B95" s="22" t="s">
        <v>38</v>
      </c>
      <c r="C95" s="23" t="s">
        <v>823</v>
      </c>
      <c r="D95" s="24" t="s">
        <v>8</v>
      </c>
      <c r="E95" s="25">
        <v>14.594059405940596</v>
      </c>
      <c r="F95" s="25" t="s">
        <v>8</v>
      </c>
      <c r="G95" s="25">
        <v>17.384667847562866</v>
      </c>
      <c r="H95" s="25">
        <v>149.13003627095384</v>
      </c>
      <c r="I95" s="25">
        <v>2.0265982878256095</v>
      </c>
      <c r="J95" s="26">
        <v>118</v>
      </c>
      <c r="K95" s="26">
        <v>81</v>
      </c>
    </row>
    <row r="96" spans="1:12" x14ac:dyDescent="0.2">
      <c r="A96" s="22" t="s">
        <v>10</v>
      </c>
      <c r="B96" s="22" t="s">
        <v>39</v>
      </c>
      <c r="C96" s="23" t="s">
        <v>419</v>
      </c>
      <c r="D96" s="24">
        <v>8.75</v>
      </c>
      <c r="E96" s="25">
        <v>14.323076923076924</v>
      </c>
      <c r="F96" s="25">
        <v>0.61090225563909772</v>
      </c>
      <c r="G96" s="25">
        <v>16.322607416561087</v>
      </c>
      <c r="H96" s="25">
        <v>120.13136094674556</v>
      </c>
      <c r="I96" s="25">
        <v>2.2178015030836353</v>
      </c>
      <c r="J96" s="26">
        <v>162</v>
      </c>
      <c r="K96" s="26">
        <v>88</v>
      </c>
    </row>
    <row r="97" spans="1:12" x14ac:dyDescent="0.2">
      <c r="A97" s="22" t="s">
        <v>10</v>
      </c>
      <c r="B97" s="22" t="s">
        <v>257</v>
      </c>
      <c r="C97" s="23" t="s">
        <v>630</v>
      </c>
      <c r="D97" s="24">
        <v>6.93</v>
      </c>
      <c r="E97" s="25">
        <v>12.611842105263156</v>
      </c>
      <c r="F97" s="25">
        <v>0.54948356807511745</v>
      </c>
      <c r="G97" s="25">
        <v>14.980012851103456</v>
      </c>
      <c r="H97" s="25">
        <v>105.93737015235456</v>
      </c>
      <c r="I97" s="25">
        <v>2.118240095034464</v>
      </c>
      <c r="J97" s="26">
        <v>72</v>
      </c>
      <c r="K97" s="26">
        <v>52</v>
      </c>
    </row>
    <row r="98" spans="1:12" x14ac:dyDescent="0.2">
      <c r="A98" s="22" t="s">
        <v>10</v>
      </c>
      <c r="B98" s="22" t="s">
        <v>257</v>
      </c>
      <c r="C98" s="23" t="s">
        <v>841</v>
      </c>
      <c r="D98" s="24" t="s">
        <v>8</v>
      </c>
      <c r="E98" s="25">
        <v>15.112068965517242</v>
      </c>
      <c r="F98" s="25" t="s">
        <v>8</v>
      </c>
      <c r="G98" s="25">
        <v>18.57685816052026</v>
      </c>
      <c r="H98" s="25">
        <v>175.26196492271106</v>
      </c>
      <c r="I98" s="25">
        <v>1.9690504968849003</v>
      </c>
      <c r="J98" s="26">
        <v>100</v>
      </c>
      <c r="K98" s="26">
        <v>76</v>
      </c>
    </row>
    <row r="99" spans="1:12" x14ac:dyDescent="0.2">
      <c r="A99" s="22" t="s">
        <v>10</v>
      </c>
      <c r="B99" s="22" t="s">
        <v>40</v>
      </c>
      <c r="C99" s="23" t="s">
        <v>391</v>
      </c>
      <c r="D99" s="24">
        <f>AVERAGE(6.77,6.96)</f>
        <v>6.8650000000000002</v>
      </c>
      <c r="E99" s="25">
        <v>12.407692307692306</v>
      </c>
      <c r="F99" s="25">
        <v>0.55328580285182893</v>
      </c>
      <c r="G99" s="25">
        <v>15.225143736774911</v>
      </c>
      <c r="H99" s="25">
        <v>114.78473372781065</v>
      </c>
      <c r="I99" s="25">
        <v>2.0194758856620787</v>
      </c>
      <c r="J99" s="26">
        <v>61</v>
      </c>
      <c r="K99" s="26">
        <v>49</v>
      </c>
    </row>
    <row r="100" spans="1:12" x14ac:dyDescent="0.2">
      <c r="A100" s="22" t="s">
        <v>10</v>
      </c>
      <c r="B100" s="22" t="s">
        <v>40</v>
      </c>
      <c r="C100" s="23" t="s">
        <v>518</v>
      </c>
      <c r="D100" s="24">
        <v>6.96</v>
      </c>
      <c r="E100" s="25">
        <v>15.423357664233578</v>
      </c>
      <c r="F100" s="25">
        <v>0.45126360624704209</v>
      </c>
      <c r="G100" s="25">
        <v>15.00823783040444</v>
      </c>
      <c r="H100" s="25">
        <v>105.44184559646226</v>
      </c>
      <c r="I100" s="25">
        <v>2.1362221184559802</v>
      </c>
      <c r="J100" s="26">
        <v>58</v>
      </c>
      <c r="K100" s="26">
        <v>52</v>
      </c>
    </row>
    <row r="101" spans="1:12" x14ac:dyDescent="0.2">
      <c r="A101" s="22" t="s">
        <v>211</v>
      </c>
      <c r="B101" s="22" t="s">
        <v>258</v>
      </c>
      <c r="C101" s="23" t="s">
        <v>766</v>
      </c>
      <c r="D101" s="24">
        <v>15.63</v>
      </c>
      <c r="E101" s="25">
        <v>44.327586206896548</v>
      </c>
      <c r="F101" s="25">
        <f>D101/E101</f>
        <v>0.3526021003500584</v>
      </c>
      <c r="G101" s="25">
        <v>35.776201506092178</v>
      </c>
      <c r="H101" s="25">
        <v>516.55068370986919</v>
      </c>
      <c r="I101" s="25">
        <v>2.4778528701423879</v>
      </c>
      <c r="J101" s="26">
        <v>52</v>
      </c>
      <c r="K101" s="26">
        <v>27</v>
      </c>
      <c r="L101" s="21" t="s">
        <v>990</v>
      </c>
    </row>
    <row r="102" spans="1:12" x14ac:dyDescent="0.2">
      <c r="A102" s="28" t="s">
        <v>211</v>
      </c>
      <c r="B102" s="22" t="s">
        <v>226</v>
      </c>
      <c r="C102" s="23" t="s">
        <v>370</v>
      </c>
      <c r="D102" s="24">
        <v>19.398499999999999</v>
      </c>
      <c r="E102" s="25">
        <v>40.461538461538467</v>
      </c>
      <c r="F102" s="25">
        <v>0.47943060836501888</v>
      </c>
      <c r="G102" s="25">
        <v>34.868531475171046</v>
      </c>
      <c r="H102" s="25">
        <v>486.64295857988168</v>
      </c>
      <c r="I102" s="25">
        <v>2.4983706551163833</v>
      </c>
      <c r="J102" s="26">
        <v>54</v>
      </c>
      <c r="K102" s="26">
        <v>41</v>
      </c>
    </row>
    <row r="103" spans="1:12" x14ac:dyDescent="0.2">
      <c r="A103" s="28" t="s">
        <v>211</v>
      </c>
      <c r="B103" s="22" t="s">
        <v>226</v>
      </c>
      <c r="C103" s="23" t="s">
        <v>509</v>
      </c>
      <c r="D103" s="24">
        <v>19.010000000000002</v>
      </c>
      <c r="E103" s="25">
        <v>35.892307692307696</v>
      </c>
      <c r="F103" s="25">
        <v>0.52963994856408059</v>
      </c>
      <c r="G103" s="25">
        <v>32.861758943202304</v>
      </c>
      <c r="H103" s="25">
        <v>414.62887573964497</v>
      </c>
      <c r="I103" s="25">
        <v>2.6044862382407432</v>
      </c>
      <c r="J103" s="26">
        <v>70</v>
      </c>
      <c r="K103" s="26">
        <v>46</v>
      </c>
    </row>
    <row r="104" spans="1:12" x14ac:dyDescent="0.2">
      <c r="A104" s="28" t="s">
        <v>211</v>
      </c>
      <c r="B104" s="22" t="s">
        <v>226</v>
      </c>
      <c r="C104" s="23" t="s">
        <v>756</v>
      </c>
      <c r="D104" s="24">
        <v>18.25</v>
      </c>
      <c r="E104" s="30">
        <v>40.227144120247566</v>
      </c>
      <c r="F104" s="25">
        <v>0.45367376678411059</v>
      </c>
      <c r="G104" s="30">
        <v>34.502163974821848</v>
      </c>
      <c r="H104" s="30">
        <v>472.60750600979856</v>
      </c>
      <c r="I104" s="25">
        <v>2.5187905477760526</v>
      </c>
      <c r="J104" s="30">
        <v>58.666666666666664</v>
      </c>
      <c r="K104" s="30">
        <v>38</v>
      </c>
      <c r="L104" s="21" t="s">
        <v>970</v>
      </c>
    </row>
    <row r="105" spans="1:12" x14ac:dyDescent="0.2">
      <c r="A105" s="22" t="s">
        <v>10</v>
      </c>
      <c r="B105" s="22" t="s">
        <v>41</v>
      </c>
      <c r="C105" s="23" t="s">
        <v>570</v>
      </c>
      <c r="D105" s="24">
        <v>8.3699999999999992</v>
      </c>
      <c r="E105" s="25">
        <v>14.54615384615385</v>
      </c>
      <c r="F105" s="25">
        <v>0.57540983606557361</v>
      </c>
      <c r="G105" s="25">
        <v>16.634896579976481</v>
      </c>
      <c r="H105" s="25">
        <v>124.64760355029586</v>
      </c>
      <c r="I105" s="25">
        <v>2.2200168823531015</v>
      </c>
      <c r="J105" s="26">
        <v>62</v>
      </c>
      <c r="K105" s="26">
        <v>54</v>
      </c>
    </row>
    <row r="106" spans="1:12" x14ac:dyDescent="0.2">
      <c r="A106" s="22" t="s">
        <v>10</v>
      </c>
      <c r="B106" s="22" t="s">
        <v>259</v>
      </c>
      <c r="C106" s="23" t="s">
        <v>738</v>
      </c>
      <c r="D106" s="24" t="s">
        <v>8</v>
      </c>
      <c r="E106" s="25">
        <v>13.788321167883211</v>
      </c>
      <c r="F106" s="25" t="s">
        <v>8</v>
      </c>
      <c r="G106" s="25">
        <v>14.19466262654386</v>
      </c>
      <c r="H106" s="25">
        <v>62.472507858703182</v>
      </c>
      <c r="I106" s="25">
        <v>3.2252338506582179</v>
      </c>
      <c r="J106" s="26">
        <v>43</v>
      </c>
      <c r="K106" s="26">
        <v>30</v>
      </c>
    </row>
    <row r="107" spans="1:12" x14ac:dyDescent="0.2">
      <c r="A107" s="22" t="s">
        <v>10</v>
      </c>
      <c r="B107" s="22" t="s">
        <v>42</v>
      </c>
      <c r="C107" s="23" t="s">
        <v>364</v>
      </c>
      <c r="D107" s="24">
        <v>9.4149999999999991</v>
      </c>
      <c r="E107" s="25">
        <v>20.384615384615383</v>
      </c>
      <c r="F107" s="25">
        <v>0.46186792452830189</v>
      </c>
      <c r="G107" s="25">
        <v>32.899451514010593</v>
      </c>
      <c r="H107" s="25">
        <v>667.42224852071013</v>
      </c>
      <c r="I107" s="25">
        <v>1.6217228483493502</v>
      </c>
      <c r="J107" s="26">
        <v>56</v>
      </c>
      <c r="K107" s="26">
        <v>45</v>
      </c>
    </row>
    <row r="108" spans="1:12" x14ac:dyDescent="0.2">
      <c r="A108" s="22" t="s">
        <v>10</v>
      </c>
      <c r="B108" s="22" t="s">
        <v>42</v>
      </c>
      <c r="C108" s="23" t="s">
        <v>379</v>
      </c>
      <c r="D108" s="24">
        <v>9.08</v>
      </c>
      <c r="E108" s="25">
        <v>18.969230769230769</v>
      </c>
      <c r="F108" s="25">
        <v>0.47866991078669913</v>
      </c>
      <c r="G108" s="25">
        <v>33.894696933867863</v>
      </c>
      <c r="H108" s="25">
        <v>678.93242603550289</v>
      </c>
      <c r="I108" s="25">
        <v>1.6921425994443158</v>
      </c>
      <c r="J108" s="26">
        <v>36</v>
      </c>
      <c r="K108" s="26">
        <v>40</v>
      </c>
    </row>
    <row r="109" spans="1:12" x14ac:dyDescent="0.2">
      <c r="A109" s="22" t="s">
        <v>10</v>
      </c>
      <c r="B109" s="22" t="s">
        <v>42</v>
      </c>
      <c r="C109" s="23" t="s">
        <v>769</v>
      </c>
      <c r="D109" s="24">
        <v>9</v>
      </c>
      <c r="E109" s="25">
        <v>19.263888888888889</v>
      </c>
      <c r="F109" s="25">
        <v>0.46719538572458541</v>
      </c>
      <c r="G109" s="25">
        <v>33.427088605871646</v>
      </c>
      <c r="H109" s="25">
        <v>678.4038387345679</v>
      </c>
      <c r="I109" s="25">
        <v>1.6470576799049863</v>
      </c>
      <c r="J109" s="26">
        <v>42</v>
      </c>
      <c r="K109" s="26">
        <v>72</v>
      </c>
    </row>
    <row r="110" spans="1:12" x14ac:dyDescent="0.2">
      <c r="A110" s="22" t="s">
        <v>10</v>
      </c>
      <c r="B110" s="22" t="s">
        <v>43</v>
      </c>
      <c r="C110" s="23" t="s">
        <v>567</v>
      </c>
      <c r="D110" s="24">
        <v>6.56</v>
      </c>
      <c r="E110" s="25">
        <v>8.5912408759124084</v>
      </c>
      <c r="F110" s="25">
        <v>0.76356839422259981</v>
      </c>
      <c r="G110" s="25">
        <v>12.682917254678932</v>
      </c>
      <c r="H110" s="25">
        <v>51.664872928765519</v>
      </c>
      <c r="I110" s="25">
        <v>3.1134575770817845</v>
      </c>
      <c r="J110" s="26">
        <v>62</v>
      </c>
      <c r="K110" s="26">
        <v>129</v>
      </c>
    </row>
    <row r="111" spans="1:12" x14ac:dyDescent="0.2">
      <c r="A111" s="22" t="s">
        <v>10</v>
      </c>
      <c r="B111" s="22" t="s">
        <v>43</v>
      </c>
      <c r="C111" s="23" t="s">
        <v>603</v>
      </c>
      <c r="D111" s="24" t="s">
        <v>8</v>
      </c>
      <c r="E111" s="25">
        <v>9.6566265060240966</v>
      </c>
      <c r="F111" s="25" t="s">
        <v>8</v>
      </c>
      <c r="G111" s="25">
        <v>12.438636244543151</v>
      </c>
      <c r="H111" s="25">
        <v>49.392437218754537</v>
      </c>
      <c r="I111" s="25">
        <v>3.1324567147562168</v>
      </c>
      <c r="J111" s="26">
        <v>64</v>
      </c>
      <c r="K111" s="26">
        <v>98</v>
      </c>
    </row>
    <row r="112" spans="1:12" x14ac:dyDescent="0.2">
      <c r="A112" s="22" t="s">
        <v>10</v>
      </c>
      <c r="B112" s="22" t="s">
        <v>43</v>
      </c>
      <c r="C112" s="23" t="s">
        <v>901</v>
      </c>
      <c r="D112" s="24" t="s">
        <v>8</v>
      </c>
      <c r="E112" s="25">
        <v>8.4156626506024086</v>
      </c>
      <c r="F112" s="25" t="s">
        <v>8</v>
      </c>
      <c r="G112" s="25">
        <v>10.936838086042808</v>
      </c>
      <c r="H112" s="25">
        <v>45.559878066482803</v>
      </c>
      <c r="I112" s="25">
        <v>2.6254334382934554</v>
      </c>
      <c r="J112" s="26">
        <v>61</v>
      </c>
      <c r="K112" s="26">
        <v>113</v>
      </c>
    </row>
    <row r="113" spans="1:11" x14ac:dyDescent="0.2">
      <c r="A113" s="22" t="s">
        <v>10</v>
      </c>
      <c r="B113" s="22" t="s">
        <v>44</v>
      </c>
      <c r="C113" s="23" t="s">
        <v>526</v>
      </c>
      <c r="D113" s="24">
        <v>3.04</v>
      </c>
      <c r="E113" s="25">
        <v>5.0421686746987966</v>
      </c>
      <c r="F113" s="25">
        <v>0.60291517323775368</v>
      </c>
      <c r="G113" s="25">
        <v>7.2924477960177665</v>
      </c>
      <c r="H113" s="25">
        <v>25.441392074321382</v>
      </c>
      <c r="I113" s="25">
        <v>2.0902863609935891</v>
      </c>
      <c r="J113" s="26">
        <v>132</v>
      </c>
      <c r="K113" s="26">
        <v>37</v>
      </c>
    </row>
    <row r="114" spans="1:11" x14ac:dyDescent="0.2">
      <c r="A114" s="22" t="s">
        <v>10</v>
      </c>
      <c r="B114" s="22" t="s">
        <v>44</v>
      </c>
      <c r="C114" s="23" t="s">
        <v>761</v>
      </c>
      <c r="D114" s="24" t="s">
        <v>8</v>
      </c>
      <c r="E114" s="25">
        <v>6.8832116788321152</v>
      </c>
      <c r="F114" s="25" t="s">
        <v>8</v>
      </c>
      <c r="G114" s="25">
        <v>12.381391709653309</v>
      </c>
      <c r="H114" s="25">
        <v>121.0386275241089</v>
      </c>
      <c r="I114" s="25">
        <v>1.2665284116621125</v>
      </c>
      <c r="J114" s="26">
        <v>165</v>
      </c>
      <c r="K114" s="26">
        <v>31</v>
      </c>
    </row>
    <row r="115" spans="1:11" x14ac:dyDescent="0.2">
      <c r="A115" s="22" t="s">
        <v>10</v>
      </c>
      <c r="B115" s="22" t="s">
        <v>45</v>
      </c>
      <c r="C115" s="23" t="s">
        <v>408</v>
      </c>
      <c r="D115" s="24">
        <v>3.2250000000000001</v>
      </c>
      <c r="E115" s="25">
        <v>3.3433734939759052</v>
      </c>
      <c r="F115" s="25">
        <v>0.96459459459459418</v>
      </c>
      <c r="G115" s="25">
        <v>3.0251875497326712</v>
      </c>
      <c r="H115" s="25">
        <v>11.398207286979241</v>
      </c>
      <c r="I115" s="25">
        <v>0.80291220194881774</v>
      </c>
      <c r="J115" s="26">
        <v>126</v>
      </c>
      <c r="K115" s="26">
        <v>42</v>
      </c>
    </row>
    <row r="116" spans="1:11" x14ac:dyDescent="0.2">
      <c r="A116" s="22" t="s">
        <v>10</v>
      </c>
      <c r="B116" s="22" t="s">
        <v>45</v>
      </c>
      <c r="C116" s="23" t="s">
        <v>639</v>
      </c>
      <c r="D116" s="24">
        <v>3.27</v>
      </c>
      <c r="E116" s="25">
        <v>2.8975903614457845</v>
      </c>
      <c r="F116" s="25">
        <v>1.128523908523908</v>
      </c>
      <c r="G116" s="25">
        <v>6.177149380200655</v>
      </c>
      <c r="H116" s="25">
        <v>24.92843663811874</v>
      </c>
      <c r="I116" s="25">
        <v>1.5306685701648124</v>
      </c>
      <c r="J116" s="26">
        <v>135</v>
      </c>
      <c r="K116" s="26">
        <v>46</v>
      </c>
    </row>
    <row r="117" spans="1:11" x14ac:dyDescent="0.2">
      <c r="A117" s="22" t="s">
        <v>10</v>
      </c>
      <c r="B117" s="22" t="s">
        <v>46</v>
      </c>
      <c r="C117" s="23" t="s">
        <v>341</v>
      </c>
      <c r="D117" s="24">
        <v>2.5100000000000002</v>
      </c>
      <c r="E117" s="25">
        <v>6.6084337349397604</v>
      </c>
      <c r="F117" s="25">
        <v>0.37981768459434817</v>
      </c>
      <c r="G117" s="25">
        <v>6.8443346247613475</v>
      </c>
      <c r="H117" s="25">
        <v>28.341050950791114</v>
      </c>
      <c r="I117" s="25">
        <v>1.6528997649749972</v>
      </c>
      <c r="J117" s="26">
        <v>134</v>
      </c>
      <c r="K117" s="26">
        <v>29</v>
      </c>
    </row>
    <row r="118" spans="1:11" x14ac:dyDescent="0.2">
      <c r="A118" s="22" t="s">
        <v>10</v>
      </c>
      <c r="B118" s="22" t="s">
        <v>46</v>
      </c>
      <c r="C118" s="23" t="s">
        <v>358</v>
      </c>
      <c r="D118" s="24">
        <v>2.96</v>
      </c>
      <c r="E118" s="25">
        <v>6.4578313253012052</v>
      </c>
      <c r="F118" s="25">
        <v>0.45835820895522383</v>
      </c>
      <c r="G118" s="25">
        <v>7.4748431987202046</v>
      </c>
      <c r="H118" s="25">
        <v>31.713946146029901</v>
      </c>
      <c r="I118" s="25">
        <v>1.761788980411956</v>
      </c>
      <c r="J118" s="26">
        <v>142</v>
      </c>
      <c r="K118" s="26">
        <v>28</v>
      </c>
    </row>
    <row r="119" spans="1:11" x14ac:dyDescent="0.2">
      <c r="A119" s="22" t="s">
        <v>10</v>
      </c>
      <c r="B119" s="22" t="s">
        <v>46</v>
      </c>
      <c r="C119" s="23" t="s">
        <v>413</v>
      </c>
      <c r="D119" s="24">
        <v>2.2599999999999998</v>
      </c>
      <c r="E119" s="25">
        <v>5.6445783132530138</v>
      </c>
      <c r="F119" s="25">
        <v>0.40038420490928478</v>
      </c>
      <c r="G119" s="25">
        <v>7.0387244999908471</v>
      </c>
      <c r="H119" s="25">
        <v>27.442789229205978</v>
      </c>
      <c r="I119" s="25">
        <v>1.8053428233178497</v>
      </c>
      <c r="J119" s="26">
        <v>146</v>
      </c>
      <c r="K119" s="26">
        <v>30</v>
      </c>
    </row>
    <row r="120" spans="1:11" x14ac:dyDescent="0.2">
      <c r="A120" s="22" t="s">
        <v>10</v>
      </c>
      <c r="B120" s="22" t="s">
        <v>46</v>
      </c>
      <c r="C120" s="23" t="s">
        <v>414</v>
      </c>
      <c r="D120" s="24">
        <v>1.53</v>
      </c>
      <c r="E120" s="25">
        <v>5.9156626506024086</v>
      </c>
      <c r="F120" s="25">
        <v>0.25863543788187376</v>
      </c>
      <c r="G120" s="25">
        <v>6.9451760523626671</v>
      </c>
      <c r="H120" s="25">
        <v>27.210426041515461</v>
      </c>
      <c r="I120" s="25">
        <v>1.7726833943988276</v>
      </c>
      <c r="J120" s="26">
        <v>144</v>
      </c>
      <c r="K120" s="26">
        <v>30</v>
      </c>
    </row>
    <row r="121" spans="1:11" x14ac:dyDescent="0.2">
      <c r="A121" s="22" t="s">
        <v>10</v>
      </c>
      <c r="B121" s="22" t="s">
        <v>46</v>
      </c>
      <c r="C121" s="23" t="s">
        <v>428</v>
      </c>
      <c r="D121" s="24" t="s">
        <v>8</v>
      </c>
      <c r="E121" s="25">
        <v>5.0301204819277121</v>
      </c>
      <c r="F121" s="25" t="s">
        <v>8</v>
      </c>
      <c r="G121" s="25">
        <v>3.1938536347107851</v>
      </c>
      <c r="H121" s="25">
        <v>13.193859776455218</v>
      </c>
      <c r="I121" s="25">
        <v>0.77314002216081645</v>
      </c>
      <c r="J121" s="26">
        <v>156</v>
      </c>
      <c r="K121" s="26">
        <v>34</v>
      </c>
    </row>
    <row r="122" spans="1:11" x14ac:dyDescent="0.2">
      <c r="A122" s="22" t="s">
        <v>10</v>
      </c>
      <c r="B122" s="22" t="s">
        <v>46</v>
      </c>
      <c r="C122" s="23" t="s">
        <v>476</v>
      </c>
      <c r="D122" s="24">
        <v>2.79</v>
      </c>
      <c r="E122" s="25">
        <v>6.5602409638554224</v>
      </c>
      <c r="F122" s="25">
        <v>0.42528925619834707</v>
      </c>
      <c r="G122" s="25">
        <v>7.1864347630293022</v>
      </c>
      <c r="H122" s="25">
        <v>30.058861953839454</v>
      </c>
      <c r="I122" s="25">
        <v>1.7181237494149164</v>
      </c>
      <c r="J122" s="26">
        <v>124</v>
      </c>
      <c r="K122" s="26">
        <v>28</v>
      </c>
    </row>
    <row r="123" spans="1:11" x14ac:dyDescent="0.2">
      <c r="A123" s="22" t="s">
        <v>10</v>
      </c>
      <c r="B123" s="22" t="s">
        <v>47</v>
      </c>
      <c r="C123" s="23" t="s">
        <v>474</v>
      </c>
      <c r="D123" s="24">
        <v>3.29</v>
      </c>
      <c r="E123" s="25">
        <v>4.7771084337349397</v>
      </c>
      <c r="F123" s="25">
        <v>0.68870113493064311</v>
      </c>
      <c r="G123" s="25">
        <v>8.2677686744630776</v>
      </c>
      <c r="H123" s="25">
        <v>37.806684569603718</v>
      </c>
      <c r="I123" s="25">
        <v>1.8080400234140248</v>
      </c>
      <c r="J123" s="26">
        <v>116</v>
      </c>
      <c r="K123" s="26">
        <v>56</v>
      </c>
    </row>
    <row r="124" spans="1:11" x14ac:dyDescent="0.2">
      <c r="A124" s="22" t="s">
        <v>10</v>
      </c>
      <c r="B124" s="22" t="s">
        <v>219</v>
      </c>
      <c r="C124" s="23" t="s">
        <v>618</v>
      </c>
      <c r="D124" s="24" t="s">
        <v>8</v>
      </c>
      <c r="E124" s="25">
        <v>8.2831325301204846</v>
      </c>
      <c r="F124" s="25" t="s">
        <v>8</v>
      </c>
      <c r="G124" s="25">
        <v>9.4040300980628881</v>
      </c>
      <c r="H124" s="25">
        <v>53.404213238496155</v>
      </c>
      <c r="I124" s="25">
        <v>1.6559701327370966</v>
      </c>
      <c r="J124" s="26">
        <v>170</v>
      </c>
      <c r="K124" s="26">
        <v>38</v>
      </c>
    </row>
    <row r="125" spans="1:11" x14ac:dyDescent="0.2">
      <c r="A125" s="22" t="s">
        <v>10</v>
      </c>
      <c r="B125" s="22" t="s">
        <v>48</v>
      </c>
      <c r="C125" s="23" t="s">
        <v>347</v>
      </c>
      <c r="D125" s="24">
        <v>7.7</v>
      </c>
      <c r="E125" s="25">
        <v>11.37956204379562</v>
      </c>
      <c r="F125" s="25">
        <v>0.67665169980756901</v>
      </c>
      <c r="G125" s="25">
        <v>14.655786555181272</v>
      </c>
      <c r="H125" s="25">
        <v>104.63242580851404</v>
      </c>
      <c r="I125" s="25">
        <v>2.0528251915340214</v>
      </c>
      <c r="J125" s="26">
        <v>44</v>
      </c>
      <c r="K125" s="26">
        <v>19</v>
      </c>
    </row>
    <row r="126" spans="1:11" x14ac:dyDescent="0.2">
      <c r="A126" s="22" t="s">
        <v>10</v>
      </c>
      <c r="B126" s="22" t="s">
        <v>48</v>
      </c>
      <c r="C126" s="23" t="s">
        <v>610</v>
      </c>
      <c r="D126" s="24" t="s">
        <v>8</v>
      </c>
      <c r="E126" s="25">
        <v>11.150602409638552</v>
      </c>
      <c r="F126" s="25" t="s">
        <v>8</v>
      </c>
      <c r="G126" s="25">
        <v>14.657151422093929</v>
      </c>
      <c r="H126" s="25">
        <v>98.654013644941216</v>
      </c>
      <c r="I126" s="25">
        <v>2.1776315009683973</v>
      </c>
      <c r="J126" s="26">
        <v>53</v>
      </c>
      <c r="K126" s="26">
        <v>36</v>
      </c>
    </row>
    <row r="127" spans="1:11" x14ac:dyDescent="0.2">
      <c r="A127" s="22" t="s">
        <v>10</v>
      </c>
      <c r="B127" s="22" t="s">
        <v>48</v>
      </c>
      <c r="C127" s="23" t="s">
        <v>612</v>
      </c>
      <c r="D127" s="24" t="s">
        <v>8</v>
      </c>
      <c r="E127" s="25">
        <v>10.39156626506024</v>
      </c>
      <c r="F127" s="25" t="s">
        <v>8</v>
      </c>
      <c r="G127" s="25">
        <v>14.402285199722229</v>
      </c>
      <c r="H127" s="25">
        <v>88.363387284076055</v>
      </c>
      <c r="I127" s="25">
        <v>2.3474181485063794</v>
      </c>
      <c r="J127" s="26">
        <v>46</v>
      </c>
      <c r="K127" s="26">
        <v>26</v>
      </c>
    </row>
    <row r="128" spans="1:11" x14ac:dyDescent="0.2">
      <c r="A128" s="22" t="s">
        <v>10</v>
      </c>
      <c r="B128" s="22" t="s">
        <v>48</v>
      </c>
      <c r="C128" s="23" t="s">
        <v>755</v>
      </c>
      <c r="D128" s="24" t="s">
        <v>8</v>
      </c>
      <c r="E128" s="25">
        <v>10.138686131386862</v>
      </c>
      <c r="F128" s="25" t="s">
        <v>8</v>
      </c>
      <c r="G128" s="25">
        <v>11.457160848272988</v>
      </c>
      <c r="H128" s="25">
        <v>104.7041398049976</v>
      </c>
      <c r="I128" s="25">
        <v>1.2536900159599416</v>
      </c>
      <c r="J128" s="26">
        <v>136</v>
      </c>
      <c r="K128" s="26">
        <v>40</v>
      </c>
    </row>
    <row r="129" spans="1:11" x14ac:dyDescent="0.2">
      <c r="A129" s="22" t="s">
        <v>211</v>
      </c>
      <c r="B129" s="22" t="s">
        <v>260</v>
      </c>
      <c r="C129" s="23" t="s">
        <v>706</v>
      </c>
      <c r="D129" s="24">
        <v>83.54</v>
      </c>
      <c r="E129" s="25">
        <v>53.472222222222207</v>
      </c>
      <c r="F129" s="25">
        <v>1.5623064935064941</v>
      </c>
      <c r="G129" s="25">
        <v>52.97657294188847</v>
      </c>
      <c r="H129" s="25">
        <v>1013.8441358024691</v>
      </c>
      <c r="I129" s="25">
        <v>2.7681940266349119</v>
      </c>
      <c r="J129" s="26">
        <v>60</v>
      </c>
      <c r="K129" s="26">
        <v>48</v>
      </c>
    </row>
    <row r="130" spans="1:11" x14ac:dyDescent="0.2">
      <c r="A130" s="22" t="s">
        <v>10</v>
      </c>
      <c r="B130" s="22" t="s">
        <v>49</v>
      </c>
      <c r="C130" s="23" t="s">
        <v>482</v>
      </c>
      <c r="D130" s="24">
        <v>11.09</v>
      </c>
      <c r="E130" s="25">
        <v>18.816091954022987</v>
      </c>
      <c r="F130" s="25">
        <v>0.58938912645082475</v>
      </c>
      <c r="G130" s="25">
        <v>27.518327843966325</v>
      </c>
      <c r="H130" s="25">
        <v>474.57028669573265</v>
      </c>
      <c r="I130" s="25">
        <v>1.5956716814289791</v>
      </c>
      <c r="J130" s="26">
        <v>40</v>
      </c>
      <c r="K130" s="26">
        <v>34</v>
      </c>
    </row>
    <row r="131" spans="1:11" x14ac:dyDescent="0.2">
      <c r="A131" s="22" t="s">
        <v>10</v>
      </c>
      <c r="B131" s="22" t="s">
        <v>50</v>
      </c>
      <c r="C131" s="23" t="s">
        <v>453</v>
      </c>
      <c r="D131" s="24">
        <v>5.05</v>
      </c>
      <c r="E131" s="25">
        <v>10.30722891566265</v>
      </c>
      <c r="F131" s="25">
        <v>0.48994739918176505</v>
      </c>
      <c r="G131" s="25">
        <v>11.286283883968807</v>
      </c>
      <c r="H131" s="25">
        <v>67.617524314123969</v>
      </c>
      <c r="I131" s="25">
        <v>1.8838341865013652</v>
      </c>
      <c r="J131" s="26">
        <v>84</v>
      </c>
      <c r="K131" s="26">
        <v>50</v>
      </c>
    </row>
    <row r="132" spans="1:11" x14ac:dyDescent="0.2">
      <c r="A132" s="22" t="s">
        <v>10</v>
      </c>
      <c r="B132" s="22" t="s">
        <v>50</v>
      </c>
      <c r="C132" s="23" t="s">
        <v>891</v>
      </c>
      <c r="D132" s="24" t="s">
        <v>8</v>
      </c>
      <c r="E132" s="25">
        <v>10.584337349397591</v>
      </c>
      <c r="F132" s="25" t="s">
        <v>8</v>
      </c>
      <c r="G132" s="25">
        <v>11.15921212703504</v>
      </c>
      <c r="H132" s="25">
        <v>62.097075047176659</v>
      </c>
      <c r="I132" s="25">
        <v>2.0053765044739857</v>
      </c>
      <c r="J132" s="26">
        <v>72</v>
      </c>
      <c r="K132" s="26">
        <v>42</v>
      </c>
    </row>
    <row r="133" spans="1:11" x14ac:dyDescent="0.2">
      <c r="A133" s="22" t="s">
        <v>10</v>
      </c>
      <c r="B133" s="22" t="s">
        <v>51</v>
      </c>
      <c r="C133" s="23" t="s">
        <v>329</v>
      </c>
      <c r="D133" s="24">
        <v>6.52</v>
      </c>
      <c r="E133" s="25">
        <v>13.346153846153848</v>
      </c>
      <c r="F133" s="25">
        <v>0.48853025936599415</v>
      </c>
      <c r="G133" s="25">
        <v>14.103348126657535</v>
      </c>
      <c r="H133" s="25">
        <v>102.99428994082839</v>
      </c>
      <c r="I133" s="25">
        <v>1.9312180169984945</v>
      </c>
      <c r="J133" s="26">
        <v>90</v>
      </c>
      <c r="K133" s="26">
        <v>44</v>
      </c>
    </row>
    <row r="134" spans="1:11" x14ac:dyDescent="0.2">
      <c r="A134" s="22" t="s">
        <v>10</v>
      </c>
      <c r="B134" s="22" t="s">
        <v>51</v>
      </c>
      <c r="C134" s="23" t="s">
        <v>440</v>
      </c>
      <c r="D134" s="24">
        <v>6.080000000000001</v>
      </c>
      <c r="E134" s="25">
        <v>13.376923076923076</v>
      </c>
      <c r="F134" s="25">
        <v>0.45451408855664188</v>
      </c>
      <c r="G134" s="25">
        <v>14.896112766342682</v>
      </c>
      <c r="H134" s="25">
        <v>104.80751479289941</v>
      </c>
      <c r="I134" s="25">
        <v>2.1171590222901697</v>
      </c>
      <c r="J134" s="26">
        <v>120</v>
      </c>
      <c r="K134" s="26">
        <v>68</v>
      </c>
    </row>
    <row r="135" spans="1:11" x14ac:dyDescent="0.2">
      <c r="A135" s="22" t="s">
        <v>10</v>
      </c>
      <c r="B135" s="22" t="s">
        <v>51</v>
      </c>
      <c r="C135" s="23" t="s">
        <v>446</v>
      </c>
      <c r="D135" s="24" t="s">
        <v>8</v>
      </c>
      <c r="E135" s="25">
        <v>12.837349397590364</v>
      </c>
      <c r="F135" s="25" t="s">
        <v>8</v>
      </c>
      <c r="G135" s="25">
        <v>13.881758900142689</v>
      </c>
      <c r="H135" s="25">
        <v>91.291588038902603</v>
      </c>
      <c r="I135" s="25">
        <v>2.1108541794625486</v>
      </c>
      <c r="J135" s="26">
        <v>115</v>
      </c>
      <c r="K135" s="26">
        <v>60</v>
      </c>
    </row>
    <row r="136" spans="1:11" x14ac:dyDescent="0.2">
      <c r="A136" s="22" t="s">
        <v>10</v>
      </c>
      <c r="B136" s="22" t="s">
        <v>51</v>
      </c>
      <c r="C136" s="23" t="s">
        <v>448</v>
      </c>
      <c r="D136" s="24">
        <v>5.44</v>
      </c>
      <c r="E136" s="25">
        <v>11.150602409638552</v>
      </c>
      <c r="F136" s="25">
        <v>0.48786601836844962</v>
      </c>
      <c r="G136" s="25">
        <v>13.854772784431812</v>
      </c>
      <c r="H136" s="25">
        <v>93.237389316301346</v>
      </c>
      <c r="I136" s="25">
        <v>2.0587741711325633</v>
      </c>
      <c r="J136" s="26">
        <v>156</v>
      </c>
      <c r="K136" s="26">
        <v>46</v>
      </c>
    </row>
    <row r="137" spans="1:11" x14ac:dyDescent="0.2">
      <c r="A137" s="22" t="s">
        <v>10</v>
      </c>
      <c r="B137" s="22" t="s">
        <v>51</v>
      </c>
      <c r="C137" s="23" t="s">
        <v>694</v>
      </c>
      <c r="D137" s="24" t="s">
        <v>8</v>
      </c>
      <c r="E137" s="25">
        <v>10.343373493975903</v>
      </c>
      <c r="F137" s="25" t="s">
        <v>8</v>
      </c>
      <c r="G137" s="25">
        <v>11.173175940617874</v>
      </c>
      <c r="H137" s="25">
        <v>62.80975105240239</v>
      </c>
      <c r="I137" s="25">
        <v>1.9875872537028174</v>
      </c>
      <c r="J137" s="26">
        <v>124</v>
      </c>
      <c r="K137" s="26">
        <v>60</v>
      </c>
    </row>
    <row r="138" spans="1:11" x14ac:dyDescent="0.2">
      <c r="A138" s="22" t="s">
        <v>10</v>
      </c>
      <c r="B138" s="22" t="s">
        <v>261</v>
      </c>
      <c r="C138" s="23" t="s">
        <v>742</v>
      </c>
      <c r="D138" s="24" t="s">
        <v>8</v>
      </c>
      <c r="E138" s="25">
        <v>13.24817518248175</v>
      </c>
      <c r="F138" s="25" t="s">
        <v>8</v>
      </c>
      <c r="G138" s="25">
        <v>14.51303918280586</v>
      </c>
      <c r="H138" s="25">
        <v>102.44030049549788</v>
      </c>
      <c r="I138" s="25">
        <v>2.0561078530896642</v>
      </c>
      <c r="J138" s="26">
        <v>90</v>
      </c>
      <c r="K138" s="26">
        <v>59</v>
      </c>
    </row>
    <row r="139" spans="1:11" x14ac:dyDescent="0.2">
      <c r="A139" s="22" t="s">
        <v>10</v>
      </c>
      <c r="B139" s="22" t="s">
        <v>261</v>
      </c>
      <c r="C139" s="23" t="s">
        <v>758</v>
      </c>
      <c r="D139" s="24">
        <v>6.21</v>
      </c>
      <c r="E139" s="25">
        <v>12.773722627737223</v>
      </c>
      <c r="F139" s="25">
        <v>0.48615428571428582</v>
      </c>
      <c r="G139" s="25">
        <v>16.6821559836003</v>
      </c>
      <c r="H139" s="25">
        <v>141.18685065799991</v>
      </c>
      <c r="I139" s="25">
        <v>1.9711065652656983</v>
      </c>
      <c r="J139" s="26">
        <v>107</v>
      </c>
      <c r="K139" s="26">
        <v>70</v>
      </c>
    </row>
    <row r="140" spans="1:11" x14ac:dyDescent="0.2">
      <c r="A140" s="22" t="s">
        <v>10</v>
      </c>
      <c r="B140" s="22" t="s">
        <v>52</v>
      </c>
      <c r="C140" s="23" t="s">
        <v>460</v>
      </c>
      <c r="D140" s="24">
        <v>4.8879999999999999</v>
      </c>
      <c r="E140" s="25">
        <v>11.238461538461539</v>
      </c>
      <c r="F140" s="25">
        <v>0.43493497604380554</v>
      </c>
      <c r="G140" s="25">
        <v>12.809614883239222</v>
      </c>
      <c r="H140" s="25">
        <v>79.877721893491128</v>
      </c>
      <c r="I140" s="25">
        <v>2.0542177414085017</v>
      </c>
      <c r="J140" s="26">
        <v>108</v>
      </c>
      <c r="K140" s="26">
        <v>66</v>
      </c>
    </row>
    <row r="141" spans="1:11" x14ac:dyDescent="0.2">
      <c r="A141" s="22" t="s">
        <v>10</v>
      </c>
      <c r="B141" s="22" t="s">
        <v>53</v>
      </c>
      <c r="C141" s="23" t="s">
        <v>335</v>
      </c>
      <c r="D141" s="24">
        <v>7.5</v>
      </c>
      <c r="E141" s="25">
        <v>14.046296296296294</v>
      </c>
      <c r="F141" s="25">
        <v>0.53394858272907064</v>
      </c>
      <c r="G141" s="25">
        <v>17.731732774978155</v>
      </c>
      <c r="H141" s="25">
        <v>130.17944101508914</v>
      </c>
      <c r="I141" s="25">
        <v>2.415238110960936</v>
      </c>
      <c r="J141" s="26">
        <v>69</v>
      </c>
      <c r="K141" s="26">
        <v>40</v>
      </c>
    </row>
    <row r="142" spans="1:11" x14ac:dyDescent="0.2">
      <c r="A142" s="22" t="s">
        <v>10</v>
      </c>
      <c r="B142" s="22" t="s">
        <v>54</v>
      </c>
      <c r="C142" s="23" t="s">
        <v>333</v>
      </c>
      <c r="D142" s="24">
        <v>9.2149999999999999</v>
      </c>
      <c r="E142" s="25">
        <v>17.898148148148149</v>
      </c>
      <c r="F142" s="25">
        <v>0.5148577340920848</v>
      </c>
      <c r="G142" s="25">
        <v>18.400580952612195</v>
      </c>
      <c r="H142" s="25">
        <v>115.39531893004116</v>
      </c>
      <c r="I142" s="25">
        <v>2.9340997757361453</v>
      </c>
      <c r="J142" s="26">
        <v>71</v>
      </c>
      <c r="K142" s="26">
        <v>63</v>
      </c>
    </row>
    <row r="143" spans="1:11" x14ac:dyDescent="0.2">
      <c r="A143" s="22" t="s">
        <v>10</v>
      </c>
      <c r="B143" s="22" t="s">
        <v>55</v>
      </c>
      <c r="C143" s="23" t="s">
        <v>331</v>
      </c>
      <c r="D143" s="24">
        <v>6.01</v>
      </c>
      <c r="E143" s="25">
        <v>12.357664233576642</v>
      </c>
      <c r="F143" s="25">
        <v>0.48633786178381572</v>
      </c>
      <c r="G143" s="25">
        <v>13.717703097592098</v>
      </c>
      <c r="H143" s="25">
        <v>72.269007405828759</v>
      </c>
      <c r="I143" s="25">
        <v>2.6038184974228775</v>
      </c>
      <c r="J143" s="26">
        <v>47</v>
      </c>
      <c r="K143" s="26">
        <v>26</v>
      </c>
    </row>
    <row r="144" spans="1:11" x14ac:dyDescent="0.2">
      <c r="A144" s="22" t="s">
        <v>10</v>
      </c>
      <c r="B144" s="22" t="s">
        <v>55</v>
      </c>
      <c r="C144" s="23" t="s">
        <v>338</v>
      </c>
      <c r="D144" s="24">
        <v>6.59</v>
      </c>
      <c r="E144" s="25">
        <v>12.7</v>
      </c>
      <c r="F144" s="25">
        <v>0.51889763779527565</v>
      </c>
      <c r="G144" s="25">
        <v>14.381366474844</v>
      </c>
      <c r="H144" s="25">
        <v>77.613639053254445</v>
      </c>
      <c r="I144" s="25">
        <v>2.664785522321087</v>
      </c>
      <c r="J144" s="26">
        <v>46</v>
      </c>
      <c r="K144" s="26">
        <v>24</v>
      </c>
    </row>
    <row r="145" spans="1:12" x14ac:dyDescent="0.2">
      <c r="A145" s="22" t="s">
        <v>10</v>
      </c>
      <c r="B145" s="22" t="s">
        <v>55</v>
      </c>
      <c r="C145" s="23" t="s">
        <v>539</v>
      </c>
      <c r="D145" s="24">
        <v>6.3900000000000006</v>
      </c>
      <c r="E145" s="25">
        <v>13.083333333333332</v>
      </c>
      <c r="F145" s="25">
        <v>0.48840764331210201</v>
      </c>
      <c r="G145" s="25">
        <v>18.063561157298658</v>
      </c>
      <c r="H145" s="25">
        <v>130.23576817558299</v>
      </c>
      <c r="I145" s="25">
        <v>2.5053965301111734</v>
      </c>
      <c r="J145" s="26">
        <v>66</v>
      </c>
      <c r="K145" s="26">
        <v>36</v>
      </c>
    </row>
    <row r="146" spans="1:12" x14ac:dyDescent="0.2">
      <c r="A146" s="22" t="s">
        <v>10</v>
      </c>
      <c r="B146" s="22" t="s">
        <v>56</v>
      </c>
      <c r="C146" s="23" t="s">
        <v>693</v>
      </c>
      <c r="D146" s="24">
        <v>6.77</v>
      </c>
      <c r="E146" s="25">
        <v>17.663793103448278</v>
      </c>
      <c r="F146" s="25">
        <v>0.38326988775012194</v>
      </c>
      <c r="G146" s="25">
        <v>19.139405797652472</v>
      </c>
      <c r="H146" s="25">
        <v>142.71310196195006</v>
      </c>
      <c r="I146" s="25">
        <v>2.5668060553044381</v>
      </c>
      <c r="J146" s="26">
        <v>94</v>
      </c>
      <c r="K146" s="26">
        <v>65</v>
      </c>
      <c r="L146" s="21" t="s">
        <v>925</v>
      </c>
    </row>
    <row r="147" spans="1:12" x14ac:dyDescent="0.2">
      <c r="A147" s="22" t="s">
        <v>10</v>
      </c>
      <c r="B147" s="22" t="s">
        <v>56</v>
      </c>
      <c r="C147" s="23" t="s">
        <v>892</v>
      </c>
      <c r="D147" s="24">
        <v>6.77</v>
      </c>
      <c r="E147" s="25">
        <v>16.292307692307695</v>
      </c>
      <c r="F147" s="25">
        <v>0.41553352219074591</v>
      </c>
      <c r="G147" s="25">
        <v>16.246794783563121</v>
      </c>
      <c r="H147" s="25">
        <v>92.349674556213017</v>
      </c>
      <c r="I147" s="25">
        <v>2.85824873782899</v>
      </c>
      <c r="J147" s="26">
        <v>74</v>
      </c>
      <c r="K147" s="26">
        <v>51</v>
      </c>
    </row>
    <row r="148" spans="1:12" x14ac:dyDescent="0.2">
      <c r="A148" s="22" t="s">
        <v>10</v>
      </c>
      <c r="B148" s="22" t="s">
        <v>57</v>
      </c>
      <c r="C148" s="23" t="s">
        <v>378</v>
      </c>
      <c r="D148" s="24">
        <v>7.14</v>
      </c>
      <c r="E148" s="25">
        <v>10.592307692307692</v>
      </c>
      <c r="F148" s="25">
        <v>0.67407407407407405</v>
      </c>
      <c r="G148" s="25">
        <v>15.419426383625739</v>
      </c>
      <c r="H148" s="25">
        <v>79.3739349112426</v>
      </c>
      <c r="I148" s="25">
        <v>2.9954255167760011</v>
      </c>
      <c r="J148" s="26">
        <v>86</v>
      </c>
      <c r="K148" s="26">
        <v>139</v>
      </c>
    </row>
    <row r="149" spans="1:12" x14ac:dyDescent="0.2">
      <c r="A149" s="22" t="s">
        <v>10</v>
      </c>
      <c r="B149" s="22" t="s">
        <v>262</v>
      </c>
      <c r="C149" s="23" t="s">
        <v>674</v>
      </c>
      <c r="D149" s="24">
        <v>7.74</v>
      </c>
      <c r="E149" s="25">
        <v>10.524096385542171</v>
      </c>
      <c r="F149" s="25">
        <v>0.73545506582713205</v>
      </c>
      <c r="G149" s="25">
        <v>13.672210315094052</v>
      </c>
      <c r="H149" s="25">
        <v>64.097764552184643</v>
      </c>
      <c r="I149" s="25">
        <v>2.9163159777276992</v>
      </c>
      <c r="J149" s="26">
        <v>71</v>
      </c>
      <c r="K149" s="26">
        <v>121</v>
      </c>
      <c r="L149" s="21" t="s">
        <v>926</v>
      </c>
    </row>
    <row r="150" spans="1:12" x14ac:dyDescent="0.2">
      <c r="A150" s="22" t="s">
        <v>10</v>
      </c>
      <c r="B150" s="22" t="s">
        <v>263</v>
      </c>
      <c r="C150" s="23" t="s">
        <v>872</v>
      </c>
      <c r="D150" s="24">
        <v>7.74</v>
      </c>
      <c r="E150" s="25">
        <v>12.223076923076922</v>
      </c>
      <c r="F150" s="25">
        <v>0.63322844556324742</v>
      </c>
      <c r="G150" s="25">
        <v>17.301998873882606</v>
      </c>
      <c r="H150" s="25">
        <v>96.199142011834326</v>
      </c>
      <c r="I150" s="25">
        <v>3.1118693864754858</v>
      </c>
      <c r="J150" s="26">
        <v>100</v>
      </c>
      <c r="K150" s="26">
        <v>74</v>
      </c>
      <c r="L150" s="21" t="s">
        <v>926</v>
      </c>
    </row>
    <row r="151" spans="1:12" x14ac:dyDescent="0.2">
      <c r="A151" s="22" t="s">
        <v>10</v>
      </c>
      <c r="B151" s="22" t="s">
        <v>58</v>
      </c>
      <c r="C151" s="23" t="s">
        <v>325</v>
      </c>
      <c r="D151" s="24">
        <v>8.56</v>
      </c>
      <c r="E151" s="25">
        <v>11.530769230769231</v>
      </c>
      <c r="F151" s="25">
        <v>0.74236157438292205</v>
      </c>
      <c r="G151" s="25">
        <v>16.127070480124374</v>
      </c>
      <c r="H151" s="25">
        <v>97.361508875739645</v>
      </c>
      <c r="I151" s="25">
        <v>2.6713061996896172</v>
      </c>
      <c r="J151" s="26">
        <v>62</v>
      </c>
      <c r="K151" s="26">
        <v>166</v>
      </c>
    </row>
    <row r="152" spans="1:12" x14ac:dyDescent="0.2">
      <c r="A152" s="22" t="s">
        <v>10</v>
      </c>
      <c r="B152" s="22" t="s">
        <v>58</v>
      </c>
      <c r="C152" s="23" t="s">
        <v>434</v>
      </c>
      <c r="D152" s="24">
        <v>8.8000000000000007</v>
      </c>
      <c r="E152" s="25">
        <v>11.9051724137931</v>
      </c>
      <c r="F152" s="25">
        <v>0.73917451122375122</v>
      </c>
      <c r="G152" s="25">
        <v>16.179432056926302</v>
      </c>
      <c r="H152" s="25">
        <v>89.478411117717002</v>
      </c>
      <c r="I152" s="25">
        <v>2.9255550966400921</v>
      </c>
      <c r="J152" s="26">
        <v>98</v>
      </c>
      <c r="K152" s="26">
        <v>155</v>
      </c>
    </row>
    <row r="153" spans="1:12" x14ac:dyDescent="0.2">
      <c r="A153" s="22" t="s">
        <v>10</v>
      </c>
      <c r="B153" s="22" t="s">
        <v>59</v>
      </c>
      <c r="C153" s="23" t="s">
        <v>403</v>
      </c>
      <c r="D153" s="24">
        <v>7.84</v>
      </c>
      <c r="E153" s="25">
        <v>10.392307692307693</v>
      </c>
      <c r="F153" s="25">
        <v>0.75440414507772013</v>
      </c>
      <c r="G153" s="25">
        <v>15.12993088351962</v>
      </c>
      <c r="H153" s="25">
        <v>76.892396449704137</v>
      </c>
      <c r="I153" s="25">
        <v>2.9770799078920058</v>
      </c>
      <c r="J153" s="26">
        <v>120</v>
      </c>
      <c r="K153" s="26">
        <v>146</v>
      </c>
    </row>
    <row r="154" spans="1:12" x14ac:dyDescent="0.2">
      <c r="A154" s="22" t="s">
        <v>10</v>
      </c>
      <c r="B154" s="22" t="s">
        <v>59</v>
      </c>
      <c r="C154" s="23" t="s">
        <v>521</v>
      </c>
      <c r="D154" s="24">
        <v>7.89</v>
      </c>
      <c r="E154" s="25">
        <v>11.712962962962964</v>
      </c>
      <c r="F154" s="25">
        <v>0.67361264822134381</v>
      </c>
      <c r="G154" s="25">
        <v>17.249652587002309</v>
      </c>
      <c r="H154" s="25">
        <v>107.0798182441701</v>
      </c>
      <c r="I154" s="25">
        <v>2.7787730615472488</v>
      </c>
      <c r="J154" s="26">
        <v>103</v>
      </c>
      <c r="K154" s="26">
        <v>152</v>
      </c>
    </row>
    <row r="155" spans="1:12" x14ac:dyDescent="0.2">
      <c r="A155" s="22" t="s">
        <v>10</v>
      </c>
      <c r="B155" s="22" t="s">
        <v>60</v>
      </c>
      <c r="C155" s="23" t="s">
        <v>490</v>
      </c>
      <c r="D155" s="24">
        <v>9.77</v>
      </c>
      <c r="E155" s="25">
        <v>12.083333333333332</v>
      </c>
      <c r="F155" s="25">
        <v>0.80855172413793108</v>
      </c>
      <c r="G155" s="25">
        <v>18.413058591597689</v>
      </c>
      <c r="H155" s="25">
        <v>116.39068930041151</v>
      </c>
      <c r="I155" s="25">
        <v>2.9129540235175049</v>
      </c>
      <c r="J155" s="26">
        <v>94</v>
      </c>
      <c r="K155" s="26">
        <v>130</v>
      </c>
    </row>
    <row r="156" spans="1:12" x14ac:dyDescent="0.2">
      <c r="A156" s="22" t="s">
        <v>10</v>
      </c>
      <c r="B156" s="22" t="s">
        <v>61</v>
      </c>
      <c r="C156" s="23" t="s">
        <v>418</v>
      </c>
      <c r="D156" s="24">
        <v>6.9133333333333331</v>
      </c>
      <c r="E156" s="25">
        <v>10.644578313253012</v>
      </c>
      <c r="F156" s="25">
        <v>0.64946991133748344</v>
      </c>
      <c r="G156" s="25">
        <v>13.225904666376618</v>
      </c>
      <c r="H156" s="25">
        <v>59.699629844679926</v>
      </c>
      <c r="I156" s="25">
        <v>2.9300777023104279</v>
      </c>
      <c r="J156" s="26">
        <v>112</v>
      </c>
      <c r="K156" s="26">
        <v>132</v>
      </c>
    </row>
    <row r="157" spans="1:12" x14ac:dyDescent="0.2">
      <c r="A157" s="22" t="s">
        <v>10</v>
      </c>
      <c r="B157" s="22" t="s">
        <v>61</v>
      </c>
      <c r="C157" s="23" t="s">
        <v>420</v>
      </c>
      <c r="D157" s="24">
        <v>7.37</v>
      </c>
      <c r="E157" s="25">
        <v>9.9518072289156621</v>
      </c>
      <c r="F157" s="25">
        <v>0.74056900726392261</v>
      </c>
      <c r="G157" s="25">
        <v>13.097910450070401</v>
      </c>
      <c r="H157" s="25">
        <v>58.230040644505735</v>
      </c>
      <c r="I157" s="25">
        <v>2.9461641492817749</v>
      </c>
      <c r="J157" s="26">
        <v>109</v>
      </c>
      <c r="K157" s="26">
        <v>122</v>
      </c>
    </row>
    <row r="158" spans="1:12" x14ac:dyDescent="0.2">
      <c r="A158" s="22" t="s">
        <v>10</v>
      </c>
      <c r="B158" s="22" t="s">
        <v>61</v>
      </c>
      <c r="C158" s="23" t="s">
        <v>558</v>
      </c>
      <c r="D158" s="24">
        <v>7</v>
      </c>
      <c r="E158" s="25">
        <v>9.6034482758620694</v>
      </c>
      <c r="F158" s="25">
        <v>0.72890484739676842</v>
      </c>
      <c r="G158" s="25">
        <v>13.004192640051464</v>
      </c>
      <c r="H158" s="25">
        <v>57.288627956136878</v>
      </c>
      <c r="I158" s="25">
        <v>2.9518777504856155</v>
      </c>
      <c r="J158" s="26">
        <v>103</v>
      </c>
      <c r="K158" s="26">
        <v>134</v>
      </c>
    </row>
    <row r="159" spans="1:12" x14ac:dyDescent="0.2">
      <c r="A159" s="22" t="s">
        <v>10</v>
      </c>
      <c r="B159" s="22" t="s">
        <v>62</v>
      </c>
      <c r="C159" s="23" t="s">
        <v>471</v>
      </c>
      <c r="D159" s="24">
        <v>7.4350000000000005</v>
      </c>
      <c r="E159" s="25">
        <v>8.9518072289156638</v>
      </c>
      <c r="F159" s="25">
        <v>0.83055854643337812</v>
      </c>
      <c r="G159" s="25">
        <v>9.9622124720304939</v>
      </c>
      <c r="H159" s="25">
        <v>34.658858324865733</v>
      </c>
      <c r="I159" s="25">
        <v>2.8635010538323726</v>
      </c>
      <c r="J159" s="26">
        <v>146</v>
      </c>
      <c r="K159" s="26">
        <v>123</v>
      </c>
    </row>
    <row r="160" spans="1:12" x14ac:dyDescent="0.2">
      <c r="A160" s="22" t="s">
        <v>10</v>
      </c>
      <c r="B160" s="22" t="s">
        <v>62</v>
      </c>
      <c r="C160" s="23" t="s">
        <v>496</v>
      </c>
      <c r="D160" s="24">
        <v>7.96</v>
      </c>
      <c r="E160" s="25">
        <v>10.160919540229887</v>
      </c>
      <c r="F160" s="25">
        <v>0.78339366515837083</v>
      </c>
      <c r="G160" s="25">
        <v>11.388222912188123</v>
      </c>
      <c r="H160" s="25">
        <v>42.484426608534818</v>
      </c>
      <c r="I160" s="25">
        <v>3.0526861593945203</v>
      </c>
      <c r="J160" s="26">
        <v>117</v>
      </c>
      <c r="K160" s="26">
        <v>143</v>
      </c>
    </row>
    <row r="161" spans="1:12" x14ac:dyDescent="0.2">
      <c r="A161" s="22" t="s">
        <v>10</v>
      </c>
      <c r="B161" s="22" t="s">
        <v>63</v>
      </c>
      <c r="C161" s="23" t="s">
        <v>631</v>
      </c>
      <c r="D161" s="24">
        <v>6.01</v>
      </c>
      <c r="E161" s="25">
        <v>10.463855421686748</v>
      </c>
      <c r="F161" s="25">
        <v>0.57435808865860671</v>
      </c>
      <c r="G161" s="25">
        <v>12.275024731984381</v>
      </c>
      <c r="H161" s="25">
        <v>49.131314414283636</v>
      </c>
      <c r="I161" s="25">
        <v>3.066806454643173</v>
      </c>
      <c r="J161" s="26">
        <v>154</v>
      </c>
      <c r="K161" s="26">
        <v>109</v>
      </c>
    </row>
    <row r="162" spans="1:12" x14ac:dyDescent="0.2">
      <c r="A162" s="22" t="s">
        <v>10</v>
      </c>
      <c r="B162" s="22" t="s">
        <v>63</v>
      </c>
      <c r="C162" s="23" t="s">
        <v>719</v>
      </c>
      <c r="D162" s="24">
        <v>7.74</v>
      </c>
      <c r="E162" s="25">
        <v>9.0060240963855431</v>
      </c>
      <c r="F162" s="25">
        <v>0.85942474916387956</v>
      </c>
      <c r="G162" s="25">
        <v>10.83050349499073</v>
      </c>
      <c r="H162" s="25">
        <v>40.097927856002329</v>
      </c>
      <c r="I162" s="25">
        <v>2.9253333582784524</v>
      </c>
      <c r="J162" s="26">
        <v>145</v>
      </c>
      <c r="K162" s="26">
        <v>112</v>
      </c>
      <c r="L162" s="21" t="s">
        <v>926</v>
      </c>
    </row>
    <row r="163" spans="1:12" x14ac:dyDescent="0.2">
      <c r="A163" s="22" t="s">
        <v>10</v>
      </c>
      <c r="B163" s="22" t="s">
        <v>64</v>
      </c>
      <c r="C163" s="23" t="s">
        <v>668</v>
      </c>
      <c r="D163" s="24">
        <v>7.74</v>
      </c>
      <c r="E163" s="25">
        <v>10.130769230769232</v>
      </c>
      <c r="F163" s="25">
        <v>0.764009111617312</v>
      </c>
      <c r="G163" s="25">
        <v>13.106712938684687</v>
      </c>
      <c r="H163" s="25">
        <v>61.101094674556215</v>
      </c>
      <c r="I163" s="25">
        <v>2.8115032140106631</v>
      </c>
      <c r="J163" s="26">
        <v>109</v>
      </c>
      <c r="K163" s="26">
        <v>107</v>
      </c>
      <c r="L163" s="21" t="s">
        <v>926</v>
      </c>
    </row>
    <row r="164" spans="1:12" x14ac:dyDescent="0.2">
      <c r="A164" s="22" t="s">
        <v>10</v>
      </c>
      <c r="B164" s="22" t="s">
        <v>64</v>
      </c>
      <c r="C164" s="23" t="s">
        <v>873</v>
      </c>
      <c r="D164" s="24">
        <v>7.74</v>
      </c>
      <c r="E164" s="25">
        <v>11.146153846153847</v>
      </c>
      <c r="F164" s="25">
        <v>0.69440993788819871</v>
      </c>
      <c r="G164" s="25">
        <v>15.03262937524164</v>
      </c>
      <c r="H164" s="25">
        <v>75.051715976331366</v>
      </c>
      <c r="I164" s="25">
        <v>3.0109897287977252</v>
      </c>
      <c r="J164" s="26">
        <v>160</v>
      </c>
      <c r="K164" s="26">
        <v>95</v>
      </c>
      <c r="L164" s="21" t="s">
        <v>926</v>
      </c>
    </row>
    <row r="165" spans="1:12" x14ac:dyDescent="0.2">
      <c r="A165" s="22" t="s">
        <v>10</v>
      </c>
      <c r="B165" s="22" t="s">
        <v>65</v>
      </c>
      <c r="C165" s="23" t="s">
        <v>670</v>
      </c>
      <c r="D165" s="24">
        <v>7.74</v>
      </c>
      <c r="E165" s="25">
        <v>7.933734939759038</v>
      </c>
      <c r="F165" s="25">
        <v>0.97558086560364443</v>
      </c>
      <c r="G165" s="25">
        <v>11.816222212825345</v>
      </c>
      <c r="H165" s="25">
        <v>45.168765423138339</v>
      </c>
      <c r="I165" s="25">
        <v>3.0911428743930904</v>
      </c>
      <c r="J165" s="26">
        <v>151</v>
      </c>
      <c r="K165" s="26">
        <v>110</v>
      </c>
      <c r="L165" s="21" t="s">
        <v>926</v>
      </c>
    </row>
    <row r="166" spans="1:12" x14ac:dyDescent="0.2">
      <c r="A166" s="22" t="s">
        <v>10</v>
      </c>
      <c r="B166" s="22" t="s">
        <v>65</v>
      </c>
      <c r="C166" s="23" t="s">
        <v>733</v>
      </c>
      <c r="D166" s="24">
        <v>7.74</v>
      </c>
      <c r="E166" s="25">
        <v>9.0060240963855414</v>
      </c>
      <c r="F166" s="25">
        <v>0.85942474916387968</v>
      </c>
      <c r="G166" s="25">
        <v>13.254002213796802</v>
      </c>
      <c r="H166" s="25">
        <v>61.868358978081005</v>
      </c>
      <c r="I166" s="25">
        <v>2.8393928267204758</v>
      </c>
      <c r="J166" s="26">
        <v>141</v>
      </c>
      <c r="K166" s="26">
        <v>122</v>
      </c>
      <c r="L166" s="21" t="s">
        <v>926</v>
      </c>
    </row>
    <row r="167" spans="1:12" x14ac:dyDescent="0.2">
      <c r="A167" s="22" t="s">
        <v>10</v>
      </c>
      <c r="B167" s="22" t="s">
        <v>66</v>
      </c>
      <c r="C167" s="23" t="s">
        <v>672</v>
      </c>
      <c r="D167" s="24">
        <v>7.74</v>
      </c>
      <c r="E167" s="25">
        <v>9.7409638554216862</v>
      </c>
      <c r="F167" s="25">
        <v>0.79458256029684604</v>
      </c>
      <c r="G167" s="25">
        <v>12.566619948520668</v>
      </c>
      <c r="H167" s="25">
        <v>49.759943388009873</v>
      </c>
      <c r="I167" s="25">
        <v>3.173635783689615</v>
      </c>
      <c r="J167" s="26">
        <v>140</v>
      </c>
      <c r="K167" s="26">
        <v>97</v>
      </c>
      <c r="L167" s="21" t="s">
        <v>926</v>
      </c>
    </row>
    <row r="168" spans="1:12" x14ac:dyDescent="0.2">
      <c r="A168" s="22" t="s">
        <v>10</v>
      </c>
      <c r="B168" s="22" t="s">
        <v>67</v>
      </c>
      <c r="C168" s="23" t="s">
        <v>394</v>
      </c>
      <c r="D168" s="24">
        <v>5.25</v>
      </c>
      <c r="E168" s="25">
        <v>8.7873563218390807</v>
      </c>
      <c r="F168" s="25">
        <v>0.59744931327665141</v>
      </c>
      <c r="G168" s="25">
        <v>12.319932465624515</v>
      </c>
      <c r="H168" s="25">
        <v>49.200819130664556</v>
      </c>
      <c r="I168" s="25">
        <v>3.0849229472066071</v>
      </c>
      <c r="J168" s="26">
        <v>176</v>
      </c>
      <c r="K168" s="26">
        <v>86</v>
      </c>
    </row>
    <row r="169" spans="1:12" x14ac:dyDescent="0.2">
      <c r="A169" s="22" t="s">
        <v>10</v>
      </c>
      <c r="B169" s="22" t="s">
        <v>264</v>
      </c>
      <c r="C169" s="23" t="s">
        <v>718</v>
      </c>
      <c r="D169" s="24">
        <v>11.4</v>
      </c>
      <c r="E169" s="25">
        <v>14.448275862068966</v>
      </c>
      <c r="F169" s="25">
        <v>0.78902147971360381</v>
      </c>
      <c r="G169" s="25">
        <v>17.9656546047879</v>
      </c>
      <c r="H169" s="25">
        <v>117.14042063020213</v>
      </c>
      <c r="I169" s="25">
        <v>2.7553661122445958</v>
      </c>
      <c r="J169" s="26">
        <v>80</v>
      </c>
      <c r="K169" s="26">
        <v>133</v>
      </c>
    </row>
    <row r="170" spans="1:12" x14ac:dyDescent="0.2">
      <c r="A170" s="22" t="s">
        <v>10</v>
      </c>
      <c r="B170" s="22" t="s">
        <v>264</v>
      </c>
      <c r="C170" s="23" t="s">
        <v>850</v>
      </c>
      <c r="D170" s="24" t="s">
        <v>8</v>
      </c>
      <c r="E170" s="25">
        <v>13.306569343065693</v>
      </c>
      <c r="F170" s="25" t="s">
        <v>8</v>
      </c>
      <c r="G170" s="25">
        <v>16.430460647130861</v>
      </c>
      <c r="H170" s="25">
        <v>98.31320262134372</v>
      </c>
      <c r="I170" s="25">
        <v>2.7459184512244517</v>
      </c>
      <c r="J170" s="26">
        <v>111</v>
      </c>
      <c r="K170" s="26">
        <v>112</v>
      </c>
    </row>
    <row r="171" spans="1:12" x14ac:dyDescent="0.2">
      <c r="A171" s="22" t="s">
        <v>10</v>
      </c>
      <c r="B171" s="22" t="s">
        <v>68</v>
      </c>
      <c r="C171" s="23" t="s">
        <v>494</v>
      </c>
      <c r="D171" s="24">
        <v>10.029999999999999</v>
      </c>
      <c r="E171" s="25">
        <v>17.00925925925926</v>
      </c>
      <c r="F171" s="25">
        <v>0.58967882416984208</v>
      </c>
      <c r="G171" s="25">
        <v>17.958444886104758</v>
      </c>
      <c r="H171" s="25">
        <v>139.26873285322358</v>
      </c>
      <c r="I171" s="25">
        <v>2.3157081716766497</v>
      </c>
      <c r="J171" s="26">
        <v>110</v>
      </c>
      <c r="K171" s="26">
        <v>52</v>
      </c>
    </row>
    <row r="172" spans="1:12" x14ac:dyDescent="0.2">
      <c r="A172" s="22" t="s">
        <v>10</v>
      </c>
      <c r="B172" s="22" t="s">
        <v>68</v>
      </c>
      <c r="C172" s="23" t="s">
        <v>635</v>
      </c>
      <c r="D172" s="24">
        <v>9.14</v>
      </c>
      <c r="E172" s="25">
        <v>16.474137931034484</v>
      </c>
      <c r="F172" s="25">
        <v>0.55480900052328619</v>
      </c>
      <c r="G172" s="25">
        <v>21.221298934267509</v>
      </c>
      <c r="H172" s="25">
        <v>194.30859839476815</v>
      </c>
      <c r="I172" s="25">
        <v>2.3176716428297235</v>
      </c>
      <c r="J172" s="26">
        <v>106</v>
      </c>
      <c r="K172" s="26">
        <v>42</v>
      </c>
    </row>
    <row r="173" spans="1:12" x14ac:dyDescent="0.2">
      <c r="A173" s="22" t="s">
        <v>10</v>
      </c>
      <c r="B173" s="22" t="s">
        <v>69</v>
      </c>
      <c r="C173" s="23" t="s">
        <v>542</v>
      </c>
      <c r="D173" s="24">
        <v>9.6449999999999996</v>
      </c>
      <c r="E173" s="25">
        <v>15.851851851851851</v>
      </c>
      <c r="F173" s="25">
        <v>0.60844626168224303</v>
      </c>
      <c r="G173" s="25">
        <v>20.545523575918743</v>
      </c>
      <c r="H173" s="25">
        <v>182.55482681755831</v>
      </c>
      <c r="I173" s="25">
        <v>2.3122836375643461</v>
      </c>
      <c r="J173" s="26">
        <v>106</v>
      </c>
      <c r="K173" s="26">
        <v>77</v>
      </c>
    </row>
    <row r="174" spans="1:12" x14ac:dyDescent="0.2">
      <c r="A174" s="22" t="s">
        <v>10</v>
      </c>
      <c r="B174" s="22" t="s">
        <v>265</v>
      </c>
      <c r="C174" s="23" t="s">
        <v>377</v>
      </c>
      <c r="D174" s="24">
        <v>10.175000000000001</v>
      </c>
      <c r="E174" s="25">
        <v>14.37962962962963</v>
      </c>
      <c r="F174" s="25">
        <v>0.70759819703799098</v>
      </c>
      <c r="G174" s="25">
        <v>17.974897837208317</v>
      </c>
      <c r="H174" s="25">
        <v>155.78755144032922</v>
      </c>
      <c r="I174" s="25">
        <v>2.0739587295062591</v>
      </c>
      <c r="J174" s="26">
        <v>100</v>
      </c>
      <c r="K174" s="26">
        <v>68</v>
      </c>
    </row>
    <row r="175" spans="1:12" x14ac:dyDescent="0.2">
      <c r="A175" s="22" t="s">
        <v>10</v>
      </c>
      <c r="B175" s="22" t="s">
        <v>265</v>
      </c>
      <c r="C175" s="23" t="s">
        <v>383</v>
      </c>
      <c r="D175" s="24">
        <v>9.9600000000000009</v>
      </c>
      <c r="E175" s="25">
        <v>13.935185185185183</v>
      </c>
      <c r="F175" s="25">
        <v>0.71473754152823932</v>
      </c>
      <c r="G175" s="25">
        <v>17.873976353033566</v>
      </c>
      <c r="H175" s="25">
        <v>152.80949931412894</v>
      </c>
      <c r="I175" s="25">
        <v>2.0907013772229779</v>
      </c>
      <c r="J175" s="26">
        <v>96</v>
      </c>
      <c r="K175" s="26">
        <v>60</v>
      </c>
    </row>
    <row r="176" spans="1:12" x14ac:dyDescent="0.2">
      <c r="A176" s="22" t="s">
        <v>10</v>
      </c>
      <c r="B176" s="22" t="s">
        <v>265</v>
      </c>
      <c r="C176" s="23" t="s">
        <v>830</v>
      </c>
      <c r="D176" s="24" t="s">
        <v>8</v>
      </c>
      <c r="E176" s="25">
        <v>19.767241379310345</v>
      </c>
      <c r="F176" s="25" t="s">
        <v>8</v>
      </c>
      <c r="G176" s="25">
        <v>16.732768214115815</v>
      </c>
      <c r="H176" s="25">
        <v>124.31476664684897</v>
      </c>
      <c r="I176" s="25">
        <v>2.2522306855363543</v>
      </c>
      <c r="J176" s="26">
        <v>85</v>
      </c>
      <c r="K176" s="26">
        <v>51</v>
      </c>
    </row>
    <row r="177" spans="1:12" ht="15" x14ac:dyDescent="0.25">
      <c r="A177" s="22" t="s">
        <v>10</v>
      </c>
      <c r="B177" s="8" t="s">
        <v>221</v>
      </c>
      <c r="C177" s="23" t="s">
        <v>609</v>
      </c>
      <c r="D177" s="24" t="s">
        <v>8</v>
      </c>
      <c r="E177" s="25">
        <v>5.6084337349397586</v>
      </c>
      <c r="F177" s="25" t="s">
        <v>8</v>
      </c>
      <c r="G177" s="25">
        <v>8.6085519920446814</v>
      </c>
      <c r="H177" s="25">
        <v>40.817408186964727</v>
      </c>
      <c r="I177" s="25">
        <v>1.8155774874359367</v>
      </c>
      <c r="J177" s="26">
        <v>134</v>
      </c>
      <c r="K177" s="26">
        <v>27</v>
      </c>
    </row>
    <row r="178" spans="1:12" ht="15" x14ac:dyDescent="0.25">
      <c r="A178" s="22" t="s">
        <v>10</v>
      </c>
      <c r="B178" s="8" t="s">
        <v>221</v>
      </c>
      <c r="C178" s="23" t="s">
        <v>728</v>
      </c>
      <c r="D178" s="24" t="s">
        <v>8</v>
      </c>
      <c r="E178" s="25">
        <v>7.2289156626506035</v>
      </c>
      <c r="F178" s="25" t="s">
        <v>8</v>
      </c>
      <c r="G178" s="25">
        <v>8.5337858844581227</v>
      </c>
      <c r="H178" s="25">
        <v>42.311238931630136</v>
      </c>
      <c r="I178" s="25">
        <v>1.7211857501845771</v>
      </c>
      <c r="J178" s="26">
        <v>134</v>
      </c>
      <c r="K178" s="26">
        <v>33</v>
      </c>
    </row>
    <row r="179" spans="1:12" x14ac:dyDescent="0.2">
      <c r="A179" s="22" t="s">
        <v>10</v>
      </c>
      <c r="B179" s="22" t="s">
        <v>221</v>
      </c>
      <c r="C179" s="23" t="s">
        <v>800</v>
      </c>
      <c r="D179" s="24" t="s">
        <v>8</v>
      </c>
      <c r="E179" s="25">
        <v>7.9578313253012043</v>
      </c>
      <c r="F179" s="25" t="s">
        <v>8</v>
      </c>
      <c r="G179" s="25">
        <v>8.5256332470259988</v>
      </c>
      <c r="H179" s="25">
        <v>39.760251850776598</v>
      </c>
      <c r="I179" s="25">
        <v>1.8281177527645707</v>
      </c>
      <c r="J179" s="26">
        <v>150</v>
      </c>
      <c r="K179" s="26">
        <v>38</v>
      </c>
    </row>
    <row r="180" spans="1:12" x14ac:dyDescent="0.2">
      <c r="A180" s="22" t="s">
        <v>10</v>
      </c>
      <c r="B180" s="22" t="s">
        <v>70</v>
      </c>
      <c r="C180" s="23" t="s">
        <v>416</v>
      </c>
      <c r="D180" s="24">
        <v>7.07</v>
      </c>
      <c r="E180" s="25">
        <v>15.025862068965518</v>
      </c>
      <c r="F180" s="25">
        <v>0.47052208835341364</v>
      </c>
      <c r="G180" s="25">
        <v>17.456435837338532</v>
      </c>
      <c r="H180" s="25">
        <v>123.63752229488705</v>
      </c>
      <c r="I180" s="25">
        <v>2.4646818092675318</v>
      </c>
      <c r="J180" s="26">
        <v>92</v>
      </c>
      <c r="K180" s="26">
        <v>73</v>
      </c>
    </row>
    <row r="181" spans="1:12" x14ac:dyDescent="0.2">
      <c r="A181" s="22" t="s">
        <v>10</v>
      </c>
      <c r="B181" s="22" t="s">
        <v>70</v>
      </c>
      <c r="C181" s="23" t="s">
        <v>531</v>
      </c>
      <c r="D181" s="24">
        <v>6.99</v>
      </c>
      <c r="E181" s="25">
        <v>14.138888888888888</v>
      </c>
      <c r="F181" s="25">
        <v>0.49438113948919454</v>
      </c>
      <c r="G181" s="25">
        <v>16.648163696945971</v>
      </c>
      <c r="H181" s="25">
        <v>111.15809327846365</v>
      </c>
      <c r="I181" s="25">
        <v>2.4933978831931656</v>
      </c>
      <c r="J181" s="26">
        <v>105</v>
      </c>
      <c r="K181" s="26">
        <v>72</v>
      </c>
    </row>
    <row r="182" spans="1:12" x14ac:dyDescent="0.2">
      <c r="A182" s="22" t="s">
        <v>10</v>
      </c>
      <c r="B182" s="22" t="s">
        <v>266</v>
      </c>
      <c r="C182" s="23" t="s">
        <v>676</v>
      </c>
      <c r="D182" s="24" t="s">
        <v>8</v>
      </c>
      <c r="E182" s="25">
        <v>10.54819277108434</v>
      </c>
      <c r="F182" s="25" t="s">
        <v>8</v>
      </c>
      <c r="G182" s="25">
        <v>13.317533015409335</v>
      </c>
      <c r="H182" s="25">
        <v>62.737897372623024</v>
      </c>
      <c r="I182" s="25">
        <v>2.8269465991684783</v>
      </c>
      <c r="J182" s="26">
        <v>86</v>
      </c>
      <c r="K182" s="26">
        <v>82</v>
      </c>
    </row>
    <row r="183" spans="1:12" ht="15" x14ac:dyDescent="0.25">
      <c r="A183" s="22" t="s">
        <v>10</v>
      </c>
      <c r="B183" s="8" t="s">
        <v>267</v>
      </c>
      <c r="C183" s="23" t="s">
        <v>754</v>
      </c>
      <c r="D183" s="24">
        <v>5.45</v>
      </c>
      <c r="E183" s="25">
        <v>27.236111111111111</v>
      </c>
      <c r="F183" s="25">
        <v>0.20010198878123409</v>
      </c>
      <c r="G183" s="25">
        <v>34.842638428650737</v>
      </c>
      <c r="H183" s="25">
        <v>662.75810185185185</v>
      </c>
      <c r="I183" s="25">
        <v>1.8317534697464326</v>
      </c>
      <c r="J183" s="26">
        <v>72</v>
      </c>
      <c r="K183" s="26">
        <v>102</v>
      </c>
      <c r="L183" s="21" t="s">
        <v>927</v>
      </c>
    </row>
    <row r="184" spans="1:12" ht="15" x14ac:dyDescent="0.25">
      <c r="A184" s="22" t="s">
        <v>10</v>
      </c>
      <c r="B184" s="8" t="s">
        <v>267</v>
      </c>
      <c r="C184" s="23" t="s">
        <v>831</v>
      </c>
      <c r="D184" s="24">
        <v>5.45</v>
      </c>
      <c r="E184" s="25">
        <v>20.969230769230769</v>
      </c>
      <c r="F184" s="25">
        <v>0.2599046221570066</v>
      </c>
      <c r="G184" s="25">
        <v>30.428471959714155</v>
      </c>
      <c r="H184" s="25">
        <v>511.73278106508877</v>
      </c>
      <c r="I184" s="25">
        <v>1.8093269379304113</v>
      </c>
      <c r="J184" s="26">
        <v>68</v>
      </c>
      <c r="K184" s="26">
        <v>83</v>
      </c>
      <c r="L184" s="21" t="s">
        <v>927</v>
      </c>
    </row>
    <row r="185" spans="1:12" ht="15" x14ac:dyDescent="0.25">
      <c r="A185" s="22" t="s">
        <v>10</v>
      </c>
      <c r="B185" s="8" t="s">
        <v>267</v>
      </c>
      <c r="C185" s="23" t="s">
        <v>893</v>
      </c>
      <c r="D185" s="24">
        <v>5.45</v>
      </c>
      <c r="E185" s="25">
        <v>26.630769230769232</v>
      </c>
      <c r="F185" s="25">
        <v>0.20465049104563834</v>
      </c>
      <c r="G185" s="25">
        <v>35.632105520471292</v>
      </c>
      <c r="H185" s="25">
        <v>687.64591715976326</v>
      </c>
      <c r="I185" s="25">
        <v>1.8463673122151603</v>
      </c>
      <c r="J185" s="26">
        <v>80</v>
      </c>
      <c r="K185" s="26">
        <v>104</v>
      </c>
      <c r="L185" s="21" t="s">
        <v>927</v>
      </c>
    </row>
    <row r="186" spans="1:12" x14ac:dyDescent="0.2">
      <c r="A186" s="22" t="s">
        <v>10</v>
      </c>
      <c r="B186" s="22" t="s">
        <v>71</v>
      </c>
      <c r="C186" s="23" t="s">
        <v>351</v>
      </c>
      <c r="D186" s="24">
        <v>5.72</v>
      </c>
      <c r="E186" s="25">
        <v>19.770114942528732</v>
      </c>
      <c r="F186" s="25">
        <v>0.28932558139534886</v>
      </c>
      <c r="G186" s="25">
        <v>27.741128262615291</v>
      </c>
      <c r="H186" s="25">
        <v>448.96888624653189</v>
      </c>
      <c r="I186" s="25">
        <v>1.7140835832002324</v>
      </c>
      <c r="J186" s="26">
        <v>59</v>
      </c>
      <c r="K186" s="26">
        <v>115</v>
      </c>
    </row>
    <row r="187" spans="1:12" x14ac:dyDescent="0.2">
      <c r="A187" s="22" t="s">
        <v>10</v>
      </c>
      <c r="B187" s="22" t="s">
        <v>72</v>
      </c>
      <c r="C187" s="23" t="s">
        <v>568</v>
      </c>
      <c r="D187" s="24">
        <v>4.91</v>
      </c>
      <c r="E187" s="25">
        <v>17.275862068965516</v>
      </c>
      <c r="F187" s="25">
        <v>0.28421157684630743</v>
      </c>
      <c r="G187" s="25">
        <v>23.807667820541532</v>
      </c>
      <c r="H187" s="25">
        <v>341.07035275465716</v>
      </c>
      <c r="I187" s="25">
        <v>1.6618420289991309</v>
      </c>
      <c r="J187" s="26">
        <v>106</v>
      </c>
      <c r="K187" s="26">
        <v>90</v>
      </c>
    </row>
    <row r="188" spans="1:12" x14ac:dyDescent="0.2">
      <c r="A188" s="22" t="s">
        <v>10</v>
      </c>
      <c r="B188" s="22" t="s">
        <v>73</v>
      </c>
      <c r="C188" s="23" t="s">
        <v>321</v>
      </c>
      <c r="D188" s="24">
        <v>5.72</v>
      </c>
      <c r="E188" s="25">
        <v>25.61538461538462</v>
      </c>
      <c r="F188" s="25">
        <v>0.22330330330330325</v>
      </c>
      <c r="G188" s="25">
        <v>37.546582408262921</v>
      </c>
      <c r="H188" s="25">
        <v>818.02165680473377</v>
      </c>
      <c r="I188" s="25">
        <v>1.7233600587630806</v>
      </c>
      <c r="J188" s="26">
        <v>48</v>
      </c>
      <c r="K188" s="26">
        <v>58</v>
      </c>
    </row>
    <row r="189" spans="1:12" x14ac:dyDescent="0.2">
      <c r="A189" s="22" t="s">
        <v>10</v>
      </c>
      <c r="B189" s="22" t="s">
        <v>74</v>
      </c>
      <c r="C189" s="23" t="s">
        <v>342</v>
      </c>
      <c r="D189" s="24">
        <v>5.7650000000000006</v>
      </c>
      <c r="E189" s="25">
        <v>9.1751824817518219</v>
      </c>
      <c r="F189" s="25">
        <v>0.62832537788385068</v>
      </c>
      <c r="G189" s="25">
        <v>12.852974897590265</v>
      </c>
      <c r="H189" s="25">
        <v>64.116282167403696</v>
      </c>
      <c r="I189" s="25">
        <v>2.576552447111033</v>
      </c>
      <c r="J189" s="26">
        <v>72</v>
      </c>
      <c r="K189" s="26">
        <v>46</v>
      </c>
    </row>
    <row r="190" spans="1:12" x14ac:dyDescent="0.2">
      <c r="A190" s="22" t="s">
        <v>10</v>
      </c>
      <c r="B190" s="22" t="s">
        <v>74</v>
      </c>
      <c r="C190" s="23" t="s">
        <v>401</v>
      </c>
      <c r="D190" s="24">
        <v>5.73</v>
      </c>
      <c r="E190" s="25">
        <v>9.9854014598540157</v>
      </c>
      <c r="F190" s="25">
        <v>0.57383771929824556</v>
      </c>
      <c r="G190" s="25">
        <v>11.458131995894382</v>
      </c>
      <c r="H190" s="25">
        <v>55.713064095050356</v>
      </c>
      <c r="I190" s="25">
        <v>2.3565171108045821</v>
      </c>
      <c r="J190" s="26">
        <v>54</v>
      </c>
      <c r="K190" s="26">
        <v>51</v>
      </c>
    </row>
    <row r="191" spans="1:12" x14ac:dyDescent="0.2">
      <c r="A191" s="22" t="s">
        <v>10</v>
      </c>
      <c r="B191" s="22" t="s">
        <v>268</v>
      </c>
      <c r="C191" s="23" t="s">
        <v>770</v>
      </c>
      <c r="D191" s="24" t="s">
        <v>8</v>
      </c>
      <c r="E191" s="25">
        <v>20.494252873563216</v>
      </c>
      <c r="F191" s="25" t="s">
        <v>8</v>
      </c>
      <c r="G191" s="25">
        <v>29.292430795027119</v>
      </c>
      <c r="H191" s="25">
        <v>430.14149821640905</v>
      </c>
      <c r="I191" s="25">
        <v>1.9948005608372159</v>
      </c>
      <c r="J191" s="26">
        <v>98</v>
      </c>
      <c r="K191" s="26">
        <v>44</v>
      </c>
    </row>
    <row r="192" spans="1:12" x14ac:dyDescent="0.2">
      <c r="A192" s="22" t="s">
        <v>10</v>
      </c>
      <c r="B192" s="22" t="s">
        <v>75</v>
      </c>
      <c r="C192" s="23" t="s">
        <v>590</v>
      </c>
      <c r="D192" s="24" t="s">
        <v>8</v>
      </c>
      <c r="E192" s="25">
        <v>14.953703703703702</v>
      </c>
      <c r="F192" s="25" t="s">
        <v>8</v>
      </c>
      <c r="G192" s="25">
        <v>17.904544309264196</v>
      </c>
      <c r="H192" s="25">
        <v>184.64017489711932</v>
      </c>
      <c r="I192" s="25">
        <v>1.7362023573744261</v>
      </c>
      <c r="J192" s="26">
        <v>156</v>
      </c>
      <c r="K192" s="26">
        <v>62</v>
      </c>
    </row>
    <row r="193" spans="1:12" x14ac:dyDescent="0.2">
      <c r="A193" s="22" t="s">
        <v>10</v>
      </c>
      <c r="B193" s="22" t="s">
        <v>75</v>
      </c>
      <c r="C193" s="23" t="s">
        <v>743</v>
      </c>
      <c r="D193" s="24" t="s">
        <v>8</v>
      </c>
      <c r="E193" s="25">
        <v>14.678832116788325</v>
      </c>
      <c r="F193" s="25" t="s">
        <v>8</v>
      </c>
      <c r="G193" s="25">
        <v>15.718656922781715</v>
      </c>
      <c r="H193" s="25">
        <v>152.33025201129522</v>
      </c>
      <c r="I193" s="25">
        <v>1.6219770675479022</v>
      </c>
      <c r="J193" s="26">
        <v>109</v>
      </c>
      <c r="K193" s="26">
        <v>55</v>
      </c>
    </row>
    <row r="194" spans="1:12" x14ac:dyDescent="0.2">
      <c r="A194" s="22" t="s">
        <v>10</v>
      </c>
      <c r="B194" s="22" t="s">
        <v>75</v>
      </c>
      <c r="C194" s="23" t="s">
        <v>865</v>
      </c>
      <c r="D194" s="24" t="s">
        <v>8</v>
      </c>
      <c r="E194" s="25">
        <v>13.663793103448278</v>
      </c>
      <c r="F194" s="25" t="s">
        <v>8</v>
      </c>
      <c r="G194" s="25">
        <v>15.884943449031434</v>
      </c>
      <c r="H194" s="25">
        <v>149.70648781212842</v>
      </c>
      <c r="I194" s="25">
        <v>1.6855076360857897</v>
      </c>
      <c r="J194" s="26">
        <v>128</v>
      </c>
      <c r="K194" s="26">
        <v>58</v>
      </c>
    </row>
    <row r="195" spans="1:12" x14ac:dyDescent="0.2">
      <c r="A195" s="22" t="s">
        <v>10</v>
      </c>
      <c r="B195" s="22" t="s">
        <v>76</v>
      </c>
      <c r="C195" s="23" t="s">
        <v>349</v>
      </c>
      <c r="D195" s="24">
        <v>10.88</v>
      </c>
      <c r="E195" s="25">
        <v>17.787037037037038</v>
      </c>
      <c r="F195" s="25">
        <v>0.61168141592920355</v>
      </c>
      <c r="G195" s="25">
        <v>19.4776719512117</v>
      </c>
      <c r="H195" s="25">
        <v>202.00643004115227</v>
      </c>
      <c r="I195" s="25">
        <v>1.878057567582045</v>
      </c>
      <c r="J195" s="26">
        <v>119</v>
      </c>
      <c r="K195" s="26">
        <v>60</v>
      </c>
    </row>
    <row r="196" spans="1:12" x14ac:dyDescent="0.2">
      <c r="A196" s="22" t="s">
        <v>10</v>
      </c>
      <c r="B196" s="22" t="s">
        <v>76</v>
      </c>
      <c r="C196" s="23" t="s">
        <v>852</v>
      </c>
      <c r="D196" s="24" t="s">
        <v>8</v>
      </c>
      <c r="E196" s="25">
        <v>16.448275862068964</v>
      </c>
      <c r="F196" s="25" t="s">
        <v>8</v>
      </c>
      <c r="G196" s="25">
        <v>20.444983549564064</v>
      </c>
      <c r="H196" s="25">
        <v>238.1693668252081</v>
      </c>
      <c r="I196" s="25">
        <v>1.7550424637468698</v>
      </c>
      <c r="J196" s="26">
        <v>144</v>
      </c>
      <c r="K196" s="26">
        <v>59</v>
      </c>
    </row>
    <row r="197" spans="1:12" x14ac:dyDescent="0.2">
      <c r="A197" s="22" t="s">
        <v>10</v>
      </c>
      <c r="B197" s="22" t="s">
        <v>77</v>
      </c>
      <c r="C197" s="23" t="s">
        <v>585</v>
      </c>
      <c r="D197" s="24" t="s">
        <v>8</v>
      </c>
      <c r="E197" s="25">
        <v>19.459770114942529</v>
      </c>
      <c r="F197" s="25" t="s">
        <v>8</v>
      </c>
      <c r="G197" s="25">
        <v>24.654266941415372</v>
      </c>
      <c r="H197" s="25">
        <v>312.04505218655038</v>
      </c>
      <c r="I197" s="25">
        <v>1.9479010295448789</v>
      </c>
      <c r="J197" s="26">
        <v>84</v>
      </c>
      <c r="K197" s="26">
        <v>61</v>
      </c>
    </row>
    <row r="198" spans="1:12" x14ac:dyDescent="0.2">
      <c r="A198" s="22" t="s">
        <v>10</v>
      </c>
      <c r="B198" s="22" t="s">
        <v>269</v>
      </c>
      <c r="C198" s="23" t="s">
        <v>785</v>
      </c>
      <c r="D198" s="24">
        <v>8.48</v>
      </c>
      <c r="E198" s="30">
        <v>19.001356960408685</v>
      </c>
      <c r="F198" s="25">
        <v>0.44628391633655257</v>
      </c>
      <c r="G198" s="30">
        <v>22.792745623939318</v>
      </c>
      <c r="H198" s="30">
        <v>284.33697009121028</v>
      </c>
      <c r="I198" s="25">
        <v>1.8270900646896377</v>
      </c>
      <c r="J198" s="31">
        <v>112</v>
      </c>
      <c r="K198" s="31">
        <v>56</v>
      </c>
      <c r="L198" s="21" t="s">
        <v>928</v>
      </c>
    </row>
    <row r="199" spans="1:12" x14ac:dyDescent="0.2">
      <c r="A199" s="22" t="s">
        <v>10</v>
      </c>
      <c r="B199" s="22" t="s">
        <v>315</v>
      </c>
      <c r="C199" s="23" t="s">
        <v>835</v>
      </c>
      <c r="D199" s="24">
        <v>8.48</v>
      </c>
      <c r="E199" s="25">
        <v>22.310344827586203</v>
      </c>
      <c r="F199" s="25">
        <v>0.38009273570324587</v>
      </c>
      <c r="G199" s="25">
        <v>26.594060053566139</v>
      </c>
      <c r="H199" s="25">
        <v>385.12703131193024</v>
      </c>
      <c r="I199" s="25">
        <v>1.8363915607883057</v>
      </c>
      <c r="J199" s="26">
        <v>104</v>
      </c>
      <c r="K199" s="26">
        <v>45</v>
      </c>
    </row>
    <row r="200" spans="1:12" x14ac:dyDescent="0.2">
      <c r="A200" s="22" t="s">
        <v>10</v>
      </c>
      <c r="B200" s="22" t="s">
        <v>78</v>
      </c>
      <c r="C200" s="23" t="s">
        <v>541</v>
      </c>
      <c r="D200" s="24">
        <v>5.53</v>
      </c>
      <c r="E200" s="25">
        <v>13.842592592592592</v>
      </c>
      <c r="F200" s="25">
        <v>0.39949163879598665</v>
      </c>
      <c r="G200" s="25">
        <v>16.842556382104874</v>
      </c>
      <c r="H200" s="25">
        <v>132.40573559670781</v>
      </c>
      <c r="I200" s="25">
        <v>2.1424427288286969</v>
      </c>
      <c r="J200" s="26">
        <v>131</v>
      </c>
      <c r="K200" s="26">
        <v>57</v>
      </c>
    </row>
    <row r="201" spans="1:12" x14ac:dyDescent="0.2">
      <c r="A201" s="22" t="s">
        <v>10</v>
      </c>
      <c r="B201" s="22" t="s">
        <v>79</v>
      </c>
      <c r="C201" s="23" t="s">
        <v>525</v>
      </c>
      <c r="D201" s="24">
        <v>2.06</v>
      </c>
      <c r="E201" s="25">
        <v>7.5574712643678161</v>
      </c>
      <c r="F201" s="25">
        <v>0.27257794676806085</v>
      </c>
      <c r="G201" s="25">
        <v>9.8462924031695014</v>
      </c>
      <c r="H201" s="25">
        <v>54.512419077817412</v>
      </c>
      <c r="I201" s="25">
        <v>1.7784841643207283</v>
      </c>
      <c r="J201" s="26">
        <v>164</v>
      </c>
      <c r="K201" s="26">
        <v>32</v>
      </c>
    </row>
    <row r="202" spans="1:12" x14ac:dyDescent="0.2">
      <c r="A202" s="22" t="s">
        <v>10</v>
      </c>
      <c r="B202" s="22" t="s">
        <v>270</v>
      </c>
      <c r="C202" s="23" t="s">
        <v>874</v>
      </c>
      <c r="D202" s="24">
        <v>5.22</v>
      </c>
      <c r="E202" s="25">
        <v>11.939655172413794</v>
      </c>
      <c r="F202" s="25">
        <v>0.43719855595667867</v>
      </c>
      <c r="G202" s="25">
        <v>16.51033991117945</v>
      </c>
      <c r="H202" s="25">
        <v>129.8539313317479</v>
      </c>
      <c r="I202" s="25">
        <v>2.0992150271236296</v>
      </c>
      <c r="J202" s="26">
        <v>49</v>
      </c>
      <c r="K202" s="26">
        <v>39</v>
      </c>
      <c r="L202" s="21" t="s">
        <v>929</v>
      </c>
    </row>
    <row r="203" spans="1:12" x14ac:dyDescent="0.2">
      <c r="A203" s="22" t="s">
        <v>10</v>
      </c>
      <c r="B203" s="22" t="s">
        <v>80</v>
      </c>
      <c r="C203" s="23" t="s">
        <v>350</v>
      </c>
      <c r="D203" s="24">
        <v>5.22</v>
      </c>
      <c r="E203" s="25">
        <v>12.376923076923076</v>
      </c>
      <c r="F203" s="25">
        <v>0.42175264139216906</v>
      </c>
      <c r="G203" s="25">
        <v>14.21609291377475</v>
      </c>
      <c r="H203" s="25">
        <v>110.44937869822485</v>
      </c>
      <c r="I203" s="25">
        <v>1.8297730608811906</v>
      </c>
      <c r="J203" s="26">
        <v>64</v>
      </c>
      <c r="K203" s="26">
        <v>44</v>
      </c>
    </row>
    <row r="204" spans="1:12" x14ac:dyDescent="0.2">
      <c r="A204" s="22" t="s">
        <v>10</v>
      </c>
      <c r="B204" s="22" t="s">
        <v>81</v>
      </c>
      <c r="C204" s="23" t="s">
        <v>352</v>
      </c>
      <c r="D204" s="24">
        <v>9.8000000000000007</v>
      </c>
      <c r="E204" s="25">
        <v>13.638888888888888</v>
      </c>
      <c r="F204" s="25">
        <v>0.71853360488798379</v>
      </c>
      <c r="G204" s="25">
        <v>18.624814239352993</v>
      </c>
      <c r="H204" s="25">
        <v>171.82317386831278</v>
      </c>
      <c r="I204" s="25">
        <v>2.0188412170541188</v>
      </c>
      <c r="J204" s="26">
        <v>50</v>
      </c>
      <c r="K204" s="26">
        <v>34</v>
      </c>
    </row>
    <row r="205" spans="1:12" x14ac:dyDescent="0.2">
      <c r="A205" s="22" t="s">
        <v>10</v>
      </c>
      <c r="B205" s="22" t="s">
        <v>81</v>
      </c>
      <c r="C205" s="23" t="s">
        <v>366</v>
      </c>
      <c r="D205" s="24">
        <v>9.8699999999999992</v>
      </c>
      <c r="E205" s="25">
        <v>13.870370370370368</v>
      </c>
      <c r="F205" s="25">
        <v>0.71158878504672907</v>
      </c>
      <c r="G205" s="25">
        <v>18.902985446379617</v>
      </c>
      <c r="H205" s="25">
        <v>164.13773148148147</v>
      </c>
      <c r="I205" s="25">
        <v>2.1769696434872068</v>
      </c>
      <c r="J205" s="26">
        <v>96</v>
      </c>
      <c r="K205" s="26">
        <v>58</v>
      </c>
    </row>
    <row r="206" spans="1:12" x14ac:dyDescent="0.2">
      <c r="A206" s="22" t="s">
        <v>10</v>
      </c>
      <c r="B206" s="22" t="s">
        <v>82</v>
      </c>
      <c r="C206" s="23" t="s">
        <v>571</v>
      </c>
      <c r="D206" s="24">
        <v>9.02</v>
      </c>
      <c r="E206" s="25">
        <v>13.583333333333332</v>
      </c>
      <c r="F206" s="25">
        <v>0.66404907975460126</v>
      </c>
      <c r="G206" s="25">
        <v>18.247141656863711</v>
      </c>
      <c r="H206" s="25">
        <v>154.5182184499314</v>
      </c>
      <c r="I206" s="25">
        <v>2.1548150243108033</v>
      </c>
      <c r="J206" s="26">
        <v>42</v>
      </c>
      <c r="K206" s="26">
        <v>15</v>
      </c>
    </row>
    <row r="207" spans="1:12" x14ac:dyDescent="0.2">
      <c r="A207" s="22" t="s">
        <v>10</v>
      </c>
      <c r="B207" s="22" t="s">
        <v>82</v>
      </c>
      <c r="C207" s="23" t="s">
        <v>642</v>
      </c>
      <c r="D207" s="24">
        <v>8.2899999999999991</v>
      </c>
      <c r="E207" s="25">
        <v>12.961538461538462</v>
      </c>
      <c r="F207" s="25">
        <v>0.63958456973293765</v>
      </c>
      <c r="G207" s="25">
        <v>17.878953232926406</v>
      </c>
      <c r="H207" s="25">
        <v>157.81384615384616</v>
      </c>
      <c r="I207" s="25">
        <v>2.0255318306706074</v>
      </c>
      <c r="J207" s="26">
        <v>46</v>
      </c>
      <c r="K207" s="26">
        <v>16</v>
      </c>
    </row>
    <row r="208" spans="1:12" x14ac:dyDescent="0.2">
      <c r="A208" s="22" t="s">
        <v>10</v>
      </c>
      <c r="B208" s="22" t="s">
        <v>83</v>
      </c>
      <c r="C208" s="23" t="s">
        <v>458</v>
      </c>
      <c r="D208" s="24">
        <v>7.49</v>
      </c>
      <c r="E208" s="25">
        <v>15.176923076923076</v>
      </c>
      <c r="F208" s="25">
        <v>0.4935124176381146</v>
      </c>
      <c r="G208" s="25">
        <v>15.812113635636649</v>
      </c>
      <c r="H208" s="25">
        <v>119.83701183431953</v>
      </c>
      <c r="I208" s="25">
        <v>2.0863582444124629</v>
      </c>
      <c r="J208" s="26">
        <v>70</v>
      </c>
      <c r="K208" s="26">
        <v>45</v>
      </c>
    </row>
    <row r="209" spans="1:12" x14ac:dyDescent="0.2">
      <c r="A209" s="22" t="s">
        <v>10</v>
      </c>
      <c r="B209" s="22" t="s">
        <v>83</v>
      </c>
      <c r="C209" s="23" t="s">
        <v>572</v>
      </c>
      <c r="D209" s="24">
        <v>7.39</v>
      </c>
      <c r="E209" s="25">
        <v>13.240875912408756</v>
      </c>
      <c r="F209" s="25">
        <v>0.5581201764057333</v>
      </c>
      <c r="G209" s="25">
        <v>15.354952538392684</v>
      </c>
      <c r="H209" s="25">
        <v>110.9047365336459</v>
      </c>
      <c r="I209" s="25">
        <v>2.1259197291791363</v>
      </c>
      <c r="J209" s="26">
        <v>60</v>
      </c>
      <c r="K209" s="26">
        <v>34</v>
      </c>
    </row>
    <row r="210" spans="1:12" x14ac:dyDescent="0.2">
      <c r="A210" s="22" t="s">
        <v>10</v>
      </c>
      <c r="B210" s="22" t="s">
        <v>84</v>
      </c>
      <c r="C210" s="23" t="s">
        <v>640</v>
      </c>
      <c r="D210" s="24">
        <v>5.45</v>
      </c>
      <c r="E210" s="25">
        <v>10.644578313253012</v>
      </c>
      <c r="F210" s="25">
        <v>0.51199773627617429</v>
      </c>
      <c r="G210" s="25">
        <v>12.563502288570458</v>
      </c>
      <c r="H210" s="25">
        <v>78.583774858470022</v>
      </c>
      <c r="I210" s="25">
        <v>2.0085773435952783</v>
      </c>
      <c r="J210" s="26">
        <v>53</v>
      </c>
      <c r="K210" s="26">
        <v>20</v>
      </c>
    </row>
    <row r="211" spans="1:12" x14ac:dyDescent="0.2">
      <c r="A211" s="22" t="s">
        <v>10</v>
      </c>
      <c r="B211" s="22" t="s">
        <v>85</v>
      </c>
      <c r="C211" s="23" t="s">
        <v>688</v>
      </c>
      <c r="D211" s="24">
        <v>7.06</v>
      </c>
      <c r="E211" s="25">
        <v>13.415384615384616</v>
      </c>
      <c r="F211" s="25">
        <v>0.52626146788990824</v>
      </c>
      <c r="G211" s="25">
        <v>16.993970343896155</v>
      </c>
      <c r="H211" s="25">
        <v>133.55852071005918</v>
      </c>
      <c r="I211" s="25">
        <v>2.1623107721907475</v>
      </c>
      <c r="J211" s="26">
        <v>58</v>
      </c>
      <c r="K211" s="26">
        <v>27</v>
      </c>
      <c r="L211" s="21" t="s">
        <v>931</v>
      </c>
    </row>
    <row r="212" spans="1:12" x14ac:dyDescent="0.2">
      <c r="A212" s="22" t="s">
        <v>10</v>
      </c>
      <c r="B212" s="22" t="s">
        <v>271</v>
      </c>
      <c r="C212" s="23" t="s">
        <v>686</v>
      </c>
      <c r="D212" s="24">
        <v>7.06</v>
      </c>
      <c r="E212" s="25">
        <v>14.315384615384614</v>
      </c>
      <c r="F212" s="25">
        <v>0.49317571198280497</v>
      </c>
      <c r="G212" s="25">
        <v>17.374120912261645</v>
      </c>
      <c r="H212" s="25">
        <v>147.64689349112427</v>
      </c>
      <c r="I212" s="25">
        <v>2.0444729336078691</v>
      </c>
      <c r="J212" s="26">
        <v>86</v>
      </c>
      <c r="K212" s="26">
        <v>43</v>
      </c>
      <c r="L212" s="21" t="s">
        <v>931</v>
      </c>
    </row>
    <row r="213" spans="1:12" x14ac:dyDescent="0.2">
      <c r="A213" s="22" t="s">
        <v>10</v>
      </c>
      <c r="B213" s="22" t="s">
        <v>271</v>
      </c>
      <c r="C213" s="23" t="s">
        <v>875</v>
      </c>
      <c r="D213" s="24">
        <v>7.06</v>
      </c>
      <c r="E213" s="25">
        <v>14.577586206896552</v>
      </c>
      <c r="F213" s="25">
        <v>0.48430514488468357</v>
      </c>
      <c r="G213" s="25">
        <v>16.690500254669541</v>
      </c>
      <c r="H213" s="25">
        <v>139.32331302021404</v>
      </c>
      <c r="I213" s="25">
        <v>1.9994701009636962</v>
      </c>
      <c r="J213" s="26">
        <v>56</v>
      </c>
      <c r="K213" s="26">
        <v>28</v>
      </c>
      <c r="L213" s="21" t="s">
        <v>931</v>
      </c>
    </row>
    <row r="214" spans="1:12" x14ac:dyDescent="0.2">
      <c r="A214" s="22" t="s">
        <v>10</v>
      </c>
      <c r="B214" s="22" t="s">
        <v>86</v>
      </c>
      <c r="C214" s="23" t="s">
        <v>508</v>
      </c>
      <c r="D214" s="24">
        <v>7.1</v>
      </c>
      <c r="E214" s="25">
        <v>13.592592592592592</v>
      </c>
      <c r="F214" s="25">
        <v>0.5223433242506812</v>
      </c>
      <c r="G214" s="25">
        <v>15.087342579540302</v>
      </c>
      <c r="H214" s="25">
        <v>126.35305212620028</v>
      </c>
      <c r="I214" s="25">
        <v>1.8015228147006461</v>
      </c>
      <c r="J214" s="26">
        <v>64</v>
      </c>
      <c r="K214" s="26">
        <v>42</v>
      </c>
    </row>
    <row r="215" spans="1:12" x14ac:dyDescent="0.2">
      <c r="A215" s="22" t="s">
        <v>10</v>
      </c>
      <c r="B215" s="22" t="s">
        <v>86</v>
      </c>
      <c r="C215" s="23" t="s">
        <v>690</v>
      </c>
      <c r="D215" s="24" t="s">
        <v>8</v>
      </c>
      <c r="E215" s="25">
        <v>13.9</v>
      </c>
      <c r="F215" s="25" t="s">
        <v>8</v>
      </c>
      <c r="G215" s="25">
        <v>15.338515018390245</v>
      </c>
      <c r="H215" s="25">
        <v>125.57991124260354</v>
      </c>
      <c r="I215" s="25">
        <v>1.8734687788946827</v>
      </c>
      <c r="J215" s="26">
        <v>58</v>
      </c>
      <c r="K215" s="26">
        <v>22</v>
      </c>
    </row>
    <row r="216" spans="1:12" x14ac:dyDescent="0.2">
      <c r="A216" s="22" t="s">
        <v>10</v>
      </c>
      <c r="B216" s="22" t="s">
        <v>213</v>
      </c>
      <c r="C216" s="23" t="s">
        <v>596</v>
      </c>
      <c r="D216" s="24">
        <v>7.06</v>
      </c>
      <c r="E216" s="25">
        <v>11.423076923076923</v>
      </c>
      <c r="F216" s="25">
        <v>0.61804713804713796</v>
      </c>
      <c r="G216" s="25">
        <v>12.789742870906498</v>
      </c>
      <c r="H216" s="25">
        <v>89.132988165680473</v>
      </c>
      <c r="I216" s="25">
        <v>1.8352074363292472</v>
      </c>
      <c r="J216" s="26">
        <v>61</v>
      </c>
      <c r="K216" s="26">
        <v>36</v>
      </c>
      <c r="L216" s="21" t="s">
        <v>931</v>
      </c>
    </row>
    <row r="217" spans="1:12" x14ac:dyDescent="0.2">
      <c r="A217" s="22" t="s">
        <v>10</v>
      </c>
      <c r="B217" s="22" t="s">
        <v>213</v>
      </c>
      <c r="C217" s="23" t="s">
        <v>843</v>
      </c>
      <c r="D217" s="24">
        <v>7.06</v>
      </c>
      <c r="E217" s="25">
        <v>13.394160583941604</v>
      </c>
      <c r="F217" s="25">
        <v>0.52709536784741151</v>
      </c>
      <c r="G217" s="25">
        <v>12.564968094320918</v>
      </c>
      <c r="H217" s="25">
        <v>90.630827428206089</v>
      </c>
      <c r="I217" s="25">
        <v>1.7419947239957316</v>
      </c>
      <c r="J217" s="26">
        <v>64</v>
      </c>
      <c r="K217" s="26">
        <v>33</v>
      </c>
      <c r="L217" s="21" t="s">
        <v>931</v>
      </c>
    </row>
    <row r="218" spans="1:12" x14ac:dyDescent="0.2">
      <c r="A218" s="28" t="s">
        <v>211</v>
      </c>
      <c r="B218" s="22" t="s">
        <v>238</v>
      </c>
      <c r="C218" s="23" t="s">
        <v>551</v>
      </c>
      <c r="D218" s="24">
        <v>43.66</v>
      </c>
      <c r="E218" s="25">
        <v>52.777777777777779</v>
      </c>
      <c r="F218" s="25">
        <v>0.82724210526315778</v>
      </c>
      <c r="G218" s="25">
        <v>42.180380109971779</v>
      </c>
      <c r="H218" s="25">
        <v>686.84297839506178</v>
      </c>
      <c r="I218" s="25">
        <v>2.5903802210792097</v>
      </c>
      <c r="J218" s="26">
        <v>57</v>
      </c>
      <c r="K218" s="26">
        <v>36</v>
      </c>
    </row>
    <row r="219" spans="1:12" ht="15" x14ac:dyDescent="0.25">
      <c r="A219" s="22" t="s">
        <v>10</v>
      </c>
      <c r="B219" s="8" t="s">
        <v>272</v>
      </c>
      <c r="C219" s="23" t="s">
        <v>669</v>
      </c>
      <c r="D219" s="24">
        <v>7.27</v>
      </c>
      <c r="E219" s="25">
        <v>14.853448275862069</v>
      </c>
      <c r="F219" s="25">
        <v>0.48944863609982586</v>
      </c>
      <c r="G219" s="25">
        <v>19.044895051359411</v>
      </c>
      <c r="H219" s="25">
        <v>153.74383174791916</v>
      </c>
      <c r="I219" s="25">
        <v>2.3591712486520828</v>
      </c>
      <c r="J219" s="26">
        <v>80</v>
      </c>
      <c r="K219" s="26">
        <v>37</v>
      </c>
      <c r="L219" s="21" t="s">
        <v>922</v>
      </c>
    </row>
    <row r="220" spans="1:12" ht="15" x14ac:dyDescent="0.25">
      <c r="A220" s="22" t="s">
        <v>10</v>
      </c>
      <c r="B220" s="8" t="s">
        <v>272</v>
      </c>
      <c r="C220" s="23" t="s">
        <v>675</v>
      </c>
      <c r="D220" s="24">
        <v>7.27</v>
      </c>
      <c r="E220" s="25">
        <v>14.438461538461535</v>
      </c>
      <c r="F220" s="25">
        <v>0.50351624933404382</v>
      </c>
      <c r="G220" s="25">
        <v>17.37695234087618</v>
      </c>
      <c r="H220" s="25">
        <v>135.86085798816566</v>
      </c>
      <c r="I220" s="25">
        <v>2.2225567917684184</v>
      </c>
      <c r="J220" s="26">
        <v>67</v>
      </c>
      <c r="K220" s="26">
        <v>36</v>
      </c>
      <c r="L220" s="21" t="s">
        <v>922</v>
      </c>
    </row>
    <row r="221" spans="1:12" x14ac:dyDescent="0.2">
      <c r="A221" s="22" t="s">
        <v>10</v>
      </c>
      <c r="B221" s="22" t="s">
        <v>273</v>
      </c>
      <c r="C221" s="23" t="s">
        <v>696</v>
      </c>
      <c r="D221" s="24">
        <v>7.27</v>
      </c>
      <c r="E221" s="29" t="s">
        <v>8</v>
      </c>
      <c r="F221" s="25" t="s">
        <v>8</v>
      </c>
      <c r="G221" s="29" t="s">
        <v>8</v>
      </c>
      <c r="H221" s="29" t="s">
        <v>8</v>
      </c>
      <c r="I221" s="25" t="s">
        <v>8</v>
      </c>
      <c r="J221" s="29" t="s">
        <v>8</v>
      </c>
      <c r="K221" s="29" t="s">
        <v>8</v>
      </c>
      <c r="L221" s="21" t="s">
        <v>922</v>
      </c>
    </row>
    <row r="222" spans="1:12" x14ac:dyDescent="0.2">
      <c r="A222" s="22" t="s">
        <v>10</v>
      </c>
      <c r="B222" s="22" t="s">
        <v>273</v>
      </c>
      <c r="C222" s="23" t="s">
        <v>713</v>
      </c>
      <c r="D222" s="24">
        <v>7.27</v>
      </c>
      <c r="E222" s="25">
        <v>12.824074074074074</v>
      </c>
      <c r="F222" s="25">
        <v>0.56690252707581223</v>
      </c>
      <c r="G222" s="25">
        <v>18.136831928960639</v>
      </c>
      <c r="H222" s="25">
        <v>195.40183470507546</v>
      </c>
      <c r="I222" s="25">
        <v>1.6834267340214586</v>
      </c>
      <c r="J222" s="26">
        <v>114</v>
      </c>
      <c r="K222" s="26">
        <v>57</v>
      </c>
      <c r="L222" s="21" t="s">
        <v>922</v>
      </c>
    </row>
    <row r="223" spans="1:12" x14ac:dyDescent="0.2">
      <c r="A223" s="22" t="s">
        <v>10</v>
      </c>
      <c r="B223" s="22" t="s">
        <v>274</v>
      </c>
      <c r="C223" s="23" t="s">
        <v>601</v>
      </c>
      <c r="D223" s="24">
        <v>7.27</v>
      </c>
      <c r="E223" s="25">
        <v>9.4578313253012034</v>
      </c>
      <c r="F223" s="25">
        <v>0.76867515923566887</v>
      </c>
      <c r="G223" s="25">
        <v>12.512988883976487</v>
      </c>
      <c r="H223" s="25">
        <v>84.645122659311937</v>
      </c>
      <c r="I223" s="25">
        <v>1.8497804231522852</v>
      </c>
      <c r="J223" s="26">
        <v>73</v>
      </c>
      <c r="K223" s="26">
        <v>45</v>
      </c>
      <c r="L223" s="21" t="s">
        <v>922</v>
      </c>
    </row>
    <row r="224" spans="1:12" x14ac:dyDescent="0.2">
      <c r="A224" s="22" t="s">
        <v>10</v>
      </c>
      <c r="B224" s="22" t="s">
        <v>274</v>
      </c>
      <c r="C224" s="23" t="s">
        <v>725</v>
      </c>
      <c r="D224" s="24">
        <v>7.27</v>
      </c>
      <c r="E224" s="25">
        <v>10.078313253012048</v>
      </c>
      <c r="F224" s="25">
        <v>0.72135086670651516</v>
      </c>
      <c r="G224" s="25">
        <v>11.095757082926186</v>
      </c>
      <c r="H224" s="25">
        <v>60.566627957613591</v>
      </c>
      <c r="I224" s="25">
        <v>2.0327336917199172</v>
      </c>
      <c r="J224" s="26">
        <v>110</v>
      </c>
      <c r="K224" s="26">
        <v>47</v>
      </c>
      <c r="L224" s="21" t="s">
        <v>922</v>
      </c>
    </row>
    <row r="225" spans="1:12" x14ac:dyDescent="0.2">
      <c r="A225" s="22" t="s">
        <v>10</v>
      </c>
      <c r="B225" s="22" t="s">
        <v>87</v>
      </c>
      <c r="C225" s="23" t="s">
        <v>502</v>
      </c>
      <c r="D225" s="24">
        <v>9.59</v>
      </c>
      <c r="E225" s="25">
        <v>13.787037037037036</v>
      </c>
      <c r="F225" s="25">
        <v>0.69558092679650774</v>
      </c>
      <c r="G225" s="25">
        <v>16.048647364225424</v>
      </c>
      <c r="H225" s="25">
        <v>148.14784807956104</v>
      </c>
      <c r="I225" s="25">
        <v>1.7385273263162122</v>
      </c>
      <c r="J225" s="26">
        <v>87</v>
      </c>
      <c r="K225" s="26">
        <v>71</v>
      </c>
    </row>
    <row r="226" spans="1:12" x14ac:dyDescent="0.2">
      <c r="A226" s="22" t="s">
        <v>10</v>
      </c>
      <c r="B226" s="22" t="s">
        <v>87</v>
      </c>
      <c r="C226" s="23" t="s">
        <v>847</v>
      </c>
      <c r="D226" s="24" t="s">
        <v>8</v>
      </c>
      <c r="E226" s="25">
        <v>10.007299270072991</v>
      </c>
      <c r="F226" s="25" t="s">
        <v>8</v>
      </c>
      <c r="G226" s="25">
        <v>15.217535340466412</v>
      </c>
      <c r="H226" s="25">
        <v>139.87442058713836</v>
      </c>
      <c r="I226" s="25">
        <v>1.655580633444552</v>
      </c>
      <c r="J226" s="26">
        <v>90</v>
      </c>
      <c r="K226" s="26">
        <v>60</v>
      </c>
    </row>
    <row r="227" spans="1:12" x14ac:dyDescent="0.2">
      <c r="A227" s="22" t="s">
        <v>10</v>
      </c>
      <c r="B227" s="22" t="s">
        <v>87</v>
      </c>
      <c r="C227" s="23" t="s">
        <v>884</v>
      </c>
      <c r="D227" s="24" t="s">
        <v>8</v>
      </c>
      <c r="E227" s="25">
        <v>13.21551724137931</v>
      </c>
      <c r="F227" s="25" t="s">
        <v>8</v>
      </c>
      <c r="G227" s="25">
        <v>17.25911799957397</v>
      </c>
      <c r="H227" s="25">
        <v>168.11898038049941</v>
      </c>
      <c r="I227" s="25">
        <v>1.771823463650805</v>
      </c>
      <c r="J227" s="26">
        <v>99</v>
      </c>
      <c r="K227" s="26">
        <v>62</v>
      </c>
    </row>
    <row r="228" spans="1:12" x14ac:dyDescent="0.2">
      <c r="A228" s="22" t="s">
        <v>10</v>
      </c>
      <c r="B228" s="22" t="s">
        <v>88</v>
      </c>
      <c r="C228" s="23" t="s">
        <v>450</v>
      </c>
      <c r="D228" s="24">
        <v>9.1999999999999993</v>
      </c>
      <c r="E228" s="25">
        <v>13.300000000000002</v>
      </c>
      <c r="F228" s="25">
        <v>0.69172932330827053</v>
      </c>
      <c r="G228" s="25">
        <v>15.085317471615674</v>
      </c>
      <c r="H228" s="25">
        <v>126.53254437869823</v>
      </c>
      <c r="I228" s="25">
        <v>1.7984843688778618</v>
      </c>
      <c r="J228" s="26">
        <v>138</v>
      </c>
      <c r="K228" s="26">
        <v>62</v>
      </c>
    </row>
    <row r="229" spans="1:12" x14ac:dyDescent="0.2">
      <c r="A229" s="22" t="s">
        <v>10</v>
      </c>
      <c r="B229" s="22" t="s">
        <v>88</v>
      </c>
      <c r="C229" s="23" t="s">
        <v>673</v>
      </c>
      <c r="D229" s="24" t="s">
        <v>8</v>
      </c>
      <c r="E229" s="25">
        <v>11.776923076923078</v>
      </c>
      <c r="F229" s="25" t="s">
        <v>8</v>
      </c>
      <c r="G229" s="25">
        <v>13.969418163705168</v>
      </c>
      <c r="H229" s="25">
        <v>111.96825443786983</v>
      </c>
      <c r="I229" s="25">
        <v>1.7428568911087192</v>
      </c>
      <c r="J229" s="26">
        <v>120</v>
      </c>
      <c r="K229" s="26">
        <v>60</v>
      </c>
    </row>
    <row r="230" spans="1:12" x14ac:dyDescent="0.2">
      <c r="A230" s="22" t="s">
        <v>10</v>
      </c>
      <c r="B230" s="22" t="s">
        <v>88</v>
      </c>
      <c r="C230" s="23" t="s">
        <v>707</v>
      </c>
      <c r="D230" s="24">
        <v>9.3000000000000007</v>
      </c>
      <c r="E230" s="30">
        <v>12.392659297263142</v>
      </c>
      <c r="F230" s="25">
        <v>0.75044425711387541</v>
      </c>
      <c r="G230" s="30">
        <v>15.192820435026547</v>
      </c>
      <c r="H230" s="30">
        <v>114.65029618307841</v>
      </c>
      <c r="I230" s="25">
        <v>2.0132681768425118</v>
      </c>
      <c r="J230" s="31">
        <v>112.5625</v>
      </c>
      <c r="K230" s="31">
        <v>58.59375</v>
      </c>
    </row>
    <row r="231" spans="1:12" x14ac:dyDescent="0.2">
      <c r="A231" s="22" t="s">
        <v>10</v>
      </c>
      <c r="B231" s="22" t="s">
        <v>88</v>
      </c>
      <c r="C231" s="23" t="s">
        <v>848</v>
      </c>
      <c r="D231" s="24" t="s">
        <v>8</v>
      </c>
      <c r="E231" s="25">
        <v>14.431034482758625</v>
      </c>
      <c r="F231" s="25" t="s">
        <v>8</v>
      </c>
      <c r="G231" s="25">
        <v>17.976492379279559</v>
      </c>
      <c r="H231" s="25">
        <v>164.83204518430441</v>
      </c>
      <c r="I231" s="25">
        <v>1.9605063924370174</v>
      </c>
      <c r="J231" s="26">
        <v>106</v>
      </c>
      <c r="K231" s="26">
        <v>57</v>
      </c>
    </row>
    <row r="232" spans="1:12" x14ac:dyDescent="0.2">
      <c r="A232" s="22" t="s">
        <v>10</v>
      </c>
      <c r="B232" s="22" t="s">
        <v>89</v>
      </c>
      <c r="C232" s="23" t="s">
        <v>638</v>
      </c>
      <c r="D232" s="24">
        <v>7.27</v>
      </c>
      <c r="E232" s="25">
        <v>6.9277108433734949</v>
      </c>
      <c r="F232" s="25">
        <v>1.0494086956521738</v>
      </c>
      <c r="G232" s="25">
        <v>9.7712135562895384</v>
      </c>
      <c r="H232" s="25">
        <v>46.484976048773405</v>
      </c>
      <c r="I232" s="25">
        <v>2.053924138036332</v>
      </c>
      <c r="J232" s="26">
        <v>144</v>
      </c>
      <c r="K232" s="26">
        <v>31</v>
      </c>
      <c r="L232" s="21" t="s">
        <v>922</v>
      </c>
    </row>
    <row r="233" spans="1:12" x14ac:dyDescent="0.2">
      <c r="A233" s="22" t="s">
        <v>10</v>
      </c>
      <c r="B233" s="22" t="s">
        <v>89</v>
      </c>
      <c r="C233" s="23" t="s">
        <v>739</v>
      </c>
      <c r="D233" s="24">
        <v>7.27</v>
      </c>
      <c r="E233" s="25">
        <v>11.832116788321169</v>
      </c>
      <c r="F233" s="25">
        <v>0.61442936458975927</v>
      </c>
      <c r="G233" s="25">
        <v>13.935770308179881</v>
      </c>
      <c r="H233" s="25">
        <v>94.672092279823119</v>
      </c>
      <c r="I233" s="25">
        <v>2.0513510307592289</v>
      </c>
      <c r="J233" s="26">
        <v>172</v>
      </c>
      <c r="K233" s="26">
        <v>51</v>
      </c>
      <c r="L233" s="21" t="s">
        <v>922</v>
      </c>
    </row>
    <row r="234" spans="1:12" x14ac:dyDescent="0.2">
      <c r="A234" s="22" t="s">
        <v>10</v>
      </c>
      <c r="B234" s="22" t="s">
        <v>90</v>
      </c>
      <c r="C234" s="23" t="s">
        <v>390</v>
      </c>
      <c r="D234" s="24">
        <v>6.82</v>
      </c>
      <c r="E234" s="25">
        <v>14.839416058394161</v>
      </c>
      <c r="F234" s="25">
        <v>0.45958681751106739</v>
      </c>
      <c r="G234" s="25">
        <v>16.098380531536954</v>
      </c>
      <c r="H234" s="25">
        <v>134.69817251851458</v>
      </c>
      <c r="I234" s="25">
        <v>1.9239893971282063</v>
      </c>
      <c r="J234" s="26">
        <v>112</v>
      </c>
      <c r="K234" s="26">
        <v>63</v>
      </c>
    </row>
    <row r="235" spans="1:12" x14ac:dyDescent="0.2">
      <c r="A235" s="22" t="s">
        <v>10</v>
      </c>
      <c r="B235" s="22" t="s">
        <v>90</v>
      </c>
      <c r="C235" s="23" t="s">
        <v>885</v>
      </c>
      <c r="D235" s="24" t="s">
        <v>8</v>
      </c>
      <c r="E235" s="25">
        <v>13.215517241379311</v>
      </c>
      <c r="F235" s="25" t="s">
        <v>8</v>
      </c>
      <c r="G235" s="25">
        <v>15.962942331282012</v>
      </c>
      <c r="H235" s="25">
        <v>131.21466260404279</v>
      </c>
      <c r="I235" s="25">
        <v>1.9419744929023213</v>
      </c>
      <c r="J235" s="26">
        <v>131</v>
      </c>
      <c r="K235" s="26">
        <v>48</v>
      </c>
    </row>
    <row r="236" spans="1:12" x14ac:dyDescent="0.2">
      <c r="A236" s="22" t="s">
        <v>10</v>
      </c>
      <c r="B236" s="22" t="s">
        <v>91</v>
      </c>
      <c r="C236" s="23" t="s">
        <v>447</v>
      </c>
      <c r="D236" s="24">
        <v>8.94</v>
      </c>
      <c r="E236" s="25">
        <v>14.189655172413792</v>
      </c>
      <c r="F236" s="25">
        <v>0.63003645200486025</v>
      </c>
      <c r="G236" s="25">
        <v>15.716074323933011</v>
      </c>
      <c r="H236" s="25">
        <v>114.11697384066588</v>
      </c>
      <c r="I236" s="25">
        <v>2.1644018750466474</v>
      </c>
      <c r="J236" s="26">
        <v>103</v>
      </c>
      <c r="K236" s="26">
        <v>81</v>
      </c>
    </row>
    <row r="237" spans="1:12" x14ac:dyDescent="0.2">
      <c r="A237" s="22" t="s">
        <v>10</v>
      </c>
      <c r="B237" s="22" t="s">
        <v>91</v>
      </c>
      <c r="C237" s="23" t="s">
        <v>899</v>
      </c>
      <c r="D237" s="24" t="s">
        <v>8</v>
      </c>
      <c r="E237" s="25">
        <v>14.54615384615385</v>
      </c>
      <c r="F237" s="25" t="s">
        <v>8</v>
      </c>
      <c r="G237" s="25">
        <v>16.634896579976481</v>
      </c>
      <c r="H237" s="25">
        <v>124.64760355029586</v>
      </c>
      <c r="I237" s="25">
        <v>2.2200168823531015</v>
      </c>
      <c r="J237" s="26">
        <v>62</v>
      </c>
      <c r="K237" s="26">
        <v>54</v>
      </c>
    </row>
    <row r="238" spans="1:12" x14ac:dyDescent="0.2">
      <c r="A238" s="22" t="s">
        <v>10</v>
      </c>
      <c r="B238" s="22" t="s">
        <v>92</v>
      </c>
      <c r="C238" s="23" t="s">
        <v>532</v>
      </c>
      <c r="D238" s="24">
        <v>8.41</v>
      </c>
      <c r="E238" s="25">
        <v>14.694444444444445</v>
      </c>
      <c r="F238" s="25">
        <v>0.57232514177693761</v>
      </c>
      <c r="G238" s="25">
        <v>19.276681839536639</v>
      </c>
      <c r="H238" s="25">
        <v>128.66032235939645</v>
      </c>
      <c r="I238" s="25">
        <v>2.8881511870048828</v>
      </c>
      <c r="J238" s="26">
        <v>132</v>
      </c>
      <c r="K238" s="26">
        <v>75</v>
      </c>
    </row>
    <row r="239" spans="1:12" x14ac:dyDescent="0.2">
      <c r="A239" s="22" t="s">
        <v>10</v>
      </c>
      <c r="B239" s="22" t="s">
        <v>92</v>
      </c>
      <c r="C239" s="23" t="s">
        <v>900</v>
      </c>
      <c r="D239" s="24" t="s">
        <v>8</v>
      </c>
      <c r="E239" s="25">
        <v>18.008620689655171</v>
      </c>
      <c r="F239" s="25" t="s">
        <v>8</v>
      </c>
      <c r="G239" s="25">
        <v>19.148734630873214</v>
      </c>
      <c r="H239" s="25">
        <v>131.46064952437573</v>
      </c>
      <c r="I239" s="25">
        <v>2.7892303840748456</v>
      </c>
      <c r="J239" s="26">
        <v>124</v>
      </c>
      <c r="K239" s="26">
        <v>69</v>
      </c>
    </row>
    <row r="240" spans="1:12" x14ac:dyDescent="0.2">
      <c r="A240" s="22" t="s">
        <v>10</v>
      </c>
      <c r="B240" s="22" t="s">
        <v>93</v>
      </c>
      <c r="C240" s="23" t="s">
        <v>599</v>
      </c>
      <c r="D240" s="24">
        <v>6.82</v>
      </c>
      <c r="E240" s="25">
        <v>9.6506024096385552</v>
      </c>
      <c r="F240" s="25">
        <v>0.70669163545568037</v>
      </c>
      <c r="G240" s="25">
        <v>12.195109014883679</v>
      </c>
      <c r="H240" s="25">
        <v>66.02396937146176</v>
      </c>
      <c r="I240" s="25">
        <v>2.2525256403196545</v>
      </c>
      <c r="J240" s="26">
        <v>116</v>
      </c>
      <c r="K240" s="26">
        <v>78</v>
      </c>
    </row>
    <row r="241" spans="1:12" x14ac:dyDescent="0.2">
      <c r="A241" s="22" t="s">
        <v>10</v>
      </c>
      <c r="B241" s="22" t="s">
        <v>93</v>
      </c>
      <c r="C241" s="23" t="s">
        <v>828</v>
      </c>
      <c r="D241" s="24" t="s">
        <v>8</v>
      </c>
      <c r="E241" s="25">
        <v>11.291970802919709</v>
      </c>
      <c r="F241" s="25" t="s">
        <v>8</v>
      </c>
      <c r="G241" s="25">
        <v>14.271096170084711</v>
      </c>
      <c r="H241" s="25">
        <v>88.015690766689744</v>
      </c>
      <c r="I241" s="25">
        <v>2.3139531613252404</v>
      </c>
      <c r="J241" s="26">
        <v>84</v>
      </c>
      <c r="K241" s="26">
        <v>59</v>
      </c>
    </row>
    <row r="242" spans="1:12" x14ac:dyDescent="0.2">
      <c r="A242" s="22" t="s">
        <v>10</v>
      </c>
      <c r="B242" s="22" t="s">
        <v>94</v>
      </c>
      <c r="C242" s="23" t="s">
        <v>636</v>
      </c>
      <c r="D242" s="24">
        <v>4.95</v>
      </c>
      <c r="E242" s="25">
        <v>10.753012048192772</v>
      </c>
      <c r="F242" s="25">
        <v>0.46033613445378146</v>
      </c>
      <c r="G242" s="25">
        <v>13.463035247352583</v>
      </c>
      <c r="H242" s="25">
        <v>81.562200609667585</v>
      </c>
      <c r="I242" s="25">
        <v>2.222271060817528</v>
      </c>
      <c r="J242" s="26">
        <v>118</v>
      </c>
      <c r="K242" s="26">
        <v>72</v>
      </c>
    </row>
    <row r="243" spans="1:12" x14ac:dyDescent="0.2">
      <c r="A243" s="22" t="s">
        <v>10</v>
      </c>
      <c r="B243" s="22" t="s">
        <v>94</v>
      </c>
      <c r="C243" s="23" t="s">
        <v>679</v>
      </c>
      <c r="D243" s="24" t="s">
        <v>8</v>
      </c>
      <c r="E243" s="25">
        <v>11.838461538461541</v>
      </c>
      <c r="F243" s="25" t="s">
        <v>8</v>
      </c>
      <c r="G243" s="25">
        <v>15.029434568386323</v>
      </c>
      <c r="H243" s="25">
        <v>103.803224852071</v>
      </c>
      <c r="I243" s="25">
        <v>2.1760778989989071</v>
      </c>
      <c r="J243" s="26">
        <v>116</v>
      </c>
      <c r="K243" s="26">
        <v>73</v>
      </c>
      <c r="L243" s="21" t="s">
        <v>922</v>
      </c>
    </row>
    <row r="244" spans="1:12" x14ac:dyDescent="0.2">
      <c r="A244" s="22" t="s">
        <v>10</v>
      </c>
      <c r="B244" s="22" t="s">
        <v>94</v>
      </c>
      <c r="C244" s="23" t="s">
        <v>878</v>
      </c>
      <c r="D244" s="24" t="s">
        <v>8</v>
      </c>
      <c r="E244" s="25">
        <v>10.416058394160585</v>
      </c>
      <c r="F244" s="25" t="s">
        <v>8</v>
      </c>
      <c r="G244" s="25">
        <v>12.859677570836531</v>
      </c>
      <c r="H244" s="25">
        <v>76.877670627097871</v>
      </c>
      <c r="I244" s="25">
        <v>2.151096747299027</v>
      </c>
      <c r="J244" s="26">
        <v>126</v>
      </c>
      <c r="K244" s="26">
        <v>80</v>
      </c>
      <c r="L244" s="21" t="s">
        <v>922</v>
      </c>
    </row>
    <row r="245" spans="1:12" x14ac:dyDescent="0.2">
      <c r="A245" s="22" t="s">
        <v>10</v>
      </c>
      <c r="B245" s="22" t="s">
        <v>94</v>
      </c>
      <c r="C245" s="23" t="s">
        <v>880</v>
      </c>
      <c r="D245" s="24" t="s">
        <v>8</v>
      </c>
      <c r="E245" s="25">
        <v>12.484615384615385</v>
      </c>
      <c r="F245" s="25" t="s">
        <v>8</v>
      </c>
      <c r="G245" s="25">
        <v>15.690943474283515</v>
      </c>
      <c r="H245" s="25">
        <v>115.74846153846154</v>
      </c>
      <c r="I245" s="25">
        <v>2.1270754171652624</v>
      </c>
      <c r="J245" s="26">
        <v>142</v>
      </c>
      <c r="K245" s="26">
        <v>62</v>
      </c>
      <c r="L245" s="21" t="s">
        <v>922</v>
      </c>
    </row>
    <row r="246" spans="1:12" x14ac:dyDescent="0.2">
      <c r="A246" s="22" t="s">
        <v>10</v>
      </c>
      <c r="B246" s="22" t="s">
        <v>95</v>
      </c>
      <c r="C246" s="23" t="s">
        <v>671</v>
      </c>
      <c r="D246" s="24">
        <v>7.27</v>
      </c>
      <c r="E246" s="25">
        <v>13.198275862068966</v>
      </c>
      <c r="F246" s="25">
        <v>0.55082952318745915</v>
      </c>
      <c r="G246" s="25">
        <v>18.426958295123129</v>
      </c>
      <c r="H246" s="25">
        <v>164.00260107015458</v>
      </c>
      <c r="I246" s="25">
        <v>2.0704110166213661</v>
      </c>
      <c r="J246" s="26">
        <v>142</v>
      </c>
      <c r="K246" s="26">
        <v>45</v>
      </c>
      <c r="L246" s="21" t="s">
        <v>922</v>
      </c>
    </row>
    <row r="247" spans="1:12" x14ac:dyDescent="0.2">
      <c r="A247" s="22" t="s">
        <v>10</v>
      </c>
      <c r="B247" s="22" t="s">
        <v>95</v>
      </c>
      <c r="C247" s="23" t="s">
        <v>845</v>
      </c>
      <c r="D247" s="24">
        <v>7.27</v>
      </c>
      <c r="E247" s="25">
        <v>15</v>
      </c>
      <c r="F247" s="25">
        <v>0.48466666666666663</v>
      </c>
      <c r="G247" s="25">
        <v>17.160313485810924</v>
      </c>
      <c r="H247" s="25">
        <v>145.86793995243755</v>
      </c>
      <c r="I247" s="25">
        <v>2.01878739788416</v>
      </c>
      <c r="J247" s="26">
        <v>122</v>
      </c>
      <c r="K247" s="26">
        <v>49</v>
      </c>
      <c r="L247" s="21" t="s">
        <v>922</v>
      </c>
    </row>
    <row r="248" spans="1:12" x14ac:dyDescent="0.2">
      <c r="A248" s="22" t="s">
        <v>10</v>
      </c>
      <c r="B248" s="22" t="s">
        <v>96</v>
      </c>
      <c r="C248" s="23" t="s">
        <v>681</v>
      </c>
      <c r="D248" s="24">
        <v>7.27</v>
      </c>
      <c r="E248" s="25">
        <v>9.9698795180722897</v>
      </c>
      <c r="F248" s="25">
        <v>0.72919637462235642</v>
      </c>
      <c r="G248" s="25">
        <v>11.660011353420135</v>
      </c>
      <c r="H248" s="25">
        <v>60.935331688198573</v>
      </c>
      <c r="I248" s="25">
        <v>2.2311499912327086</v>
      </c>
      <c r="J248" s="26">
        <v>107</v>
      </c>
      <c r="K248" s="26">
        <v>54</v>
      </c>
      <c r="L248" s="21" t="s">
        <v>922</v>
      </c>
    </row>
    <row r="249" spans="1:12" x14ac:dyDescent="0.2">
      <c r="A249" s="22" t="s">
        <v>10</v>
      </c>
      <c r="B249" s="22" t="s">
        <v>96</v>
      </c>
      <c r="C249" s="23" t="s">
        <v>851</v>
      </c>
      <c r="D249" s="24">
        <v>7.27</v>
      </c>
      <c r="E249" s="25">
        <v>10.271084337349398</v>
      </c>
      <c r="F249" s="25">
        <v>0.70781231671554246</v>
      </c>
      <c r="G249" s="25">
        <v>10.910391277643001</v>
      </c>
      <c r="H249" s="25">
        <v>58.597800841921909</v>
      </c>
      <c r="I249" s="25">
        <v>2.0314181781734639</v>
      </c>
      <c r="J249" s="26">
        <v>100</v>
      </c>
      <c r="K249" s="26">
        <v>55</v>
      </c>
      <c r="L249" s="21" t="s">
        <v>922</v>
      </c>
    </row>
    <row r="250" spans="1:12" x14ac:dyDescent="0.2">
      <c r="A250" s="22" t="s">
        <v>10</v>
      </c>
      <c r="B250" s="22" t="s">
        <v>97</v>
      </c>
      <c r="C250" s="23" t="s">
        <v>682</v>
      </c>
      <c r="D250" s="24">
        <v>7.27</v>
      </c>
      <c r="E250" s="25">
        <v>14.1</v>
      </c>
      <c r="F250" s="25">
        <v>0.51560283687943265</v>
      </c>
      <c r="G250" s="25">
        <v>17.345658411942949</v>
      </c>
      <c r="H250" s="25">
        <v>134.22470414201183</v>
      </c>
      <c r="I250" s="25">
        <v>2.2415535773912381</v>
      </c>
      <c r="J250" s="26">
        <v>114</v>
      </c>
      <c r="K250" s="26">
        <v>54</v>
      </c>
      <c r="L250" s="21" t="s">
        <v>922</v>
      </c>
    </row>
    <row r="251" spans="1:12" x14ac:dyDescent="0.2">
      <c r="A251" s="22" t="s">
        <v>10</v>
      </c>
      <c r="B251" s="22" t="s">
        <v>97</v>
      </c>
      <c r="C251" s="23" t="s">
        <v>732</v>
      </c>
      <c r="D251" s="24">
        <v>7.27</v>
      </c>
      <c r="E251" s="25">
        <v>10.00602409638554</v>
      </c>
      <c r="F251" s="25">
        <v>0.72656231186032527</v>
      </c>
      <c r="G251" s="25">
        <v>12.952900379610458</v>
      </c>
      <c r="H251" s="25">
        <v>81.256114820728698</v>
      </c>
      <c r="I251" s="25">
        <v>2.0648000290719306</v>
      </c>
      <c r="J251" s="26">
        <v>141</v>
      </c>
      <c r="K251" s="26">
        <v>72</v>
      </c>
      <c r="L251" s="21" t="s">
        <v>922</v>
      </c>
    </row>
    <row r="252" spans="1:12" x14ac:dyDescent="0.2">
      <c r="A252" s="22" t="s">
        <v>10</v>
      </c>
      <c r="B252" s="22" t="s">
        <v>97</v>
      </c>
      <c r="C252" s="23" t="s">
        <v>879</v>
      </c>
      <c r="D252" s="24">
        <v>7.27</v>
      </c>
      <c r="E252" s="25">
        <v>11.161538461538465</v>
      </c>
      <c r="F252" s="25">
        <v>0.65134390075809767</v>
      </c>
      <c r="G252" s="25">
        <v>13.936076562898677</v>
      </c>
      <c r="H252" s="25">
        <v>96.245946745562136</v>
      </c>
      <c r="I252" s="25">
        <v>2.0178951585400551</v>
      </c>
      <c r="J252" s="26">
        <v>110</v>
      </c>
      <c r="K252" s="26">
        <v>56</v>
      </c>
      <c r="L252" s="21" t="s">
        <v>922</v>
      </c>
    </row>
    <row r="253" spans="1:12" x14ac:dyDescent="0.2">
      <c r="A253" s="22" t="s">
        <v>10</v>
      </c>
      <c r="B253" s="22" t="s">
        <v>98</v>
      </c>
      <c r="C253" s="23" t="s">
        <v>472</v>
      </c>
      <c r="D253" s="24" t="s">
        <v>8</v>
      </c>
      <c r="E253" s="25">
        <v>9.2590361445783156</v>
      </c>
      <c r="F253" s="25" t="s">
        <v>8</v>
      </c>
      <c r="G253" s="25">
        <v>11.574774305562045</v>
      </c>
      <c r="H253" s="25">
        <v>67.716559007112778</v>
      </c>
      <c r="I253" s="25">
        <v>1.978473244788278</v>
      </c>
      <c r="J253" s="26">
        <v>220</v>
      </c>
      <c r="K253" s="26">
        <v>27</v>
      </c>
    </row>
    <row r="254" spans="1:12" x14ac:dyDescent="0.2">
      <c r="A254" s="22" t="s">
        <v>10</v>
      </c>
      <c r="B254" s="22" t="s">
        <v>98</v>
      </c>
      <c r="C254" s="23" t="s">
        <v>519</v>
      </c>
      <c r="D254" s="24">
        <v>5.89</v>
      </c>
      <c r="E254" s="25">
        <v>9.8175182481751797</v>
      </c>
      <c r="F254" s="25">
        <v>0.59994795539033474</v>
      </c>
      <c r="G254" s="25">
        <v>13.552066041771045</v>
      </c>
      <c r="H254" s="25">
        <v>99.161276573072627</v>
      </c>
      <c r="I254" s="25">
        <v>1.8521190967643979</v>
      </c>
      <c r="J254" s="26">
        <v>210</v>
      </c>
      <c r="K254" s="26">
        <v>42</v>
      </c>
    </row>
    <row r="255" spans="1:12" x14ac:dyDescent="0.2">
      <c r="A255" s="22" t="s">
        <v>10</v>
      </c>
      <c r="B255" s="22" t="s">
        <v>98</v>
      </c>
      <c r="C255" s="23" t="s">
        <v>795</v>
      </c>
      <c r="D255" s="24" t="s">
        <v>8</v>
      </c>
      <c r="E255" s="25">
        <v>5.3915662650602414</v>
      </c>
      <c r="F255" s="25" t="s">
        <v>8</v>
      </c>
      <c r="G255" s="25">
        <v>3.3471244454121565</v>
      </c>
      <c r="H255" s="25">
        <v>3.8305632167223109</v>
      </c>
      <c r="I255" s="25">
        <v>2.9246983848662045</v>
      </c>
      <c r="J255" s="26">
        <v>100</v>
      </c>
      <c r="K255" s="26">
        <v>38</v>
      </c>
    </row>
    <row r="256" spans="1:12" x14ac:dyDescent="0.2">
      <c r="A256" s="22" t="s">
        <v>10</v>
      </c>
      <c r="B256" s="22" t="s">
        <v>98</v>
      </c>
      <c r="C256" s="23" t="s">
        <v>796</v>
      </c>
      <c r="D256" s="24" t="s">
        <v>8</v>
      </c>
      <c r="E256" s="25">
        <v>7.1605839416058412</v>
      </c>
      <c r="F256" s="25" t="s">
        <v>8</v>
      </c>
      <c r="G256" s="25">
        <v>11.911067927834868</v>
      </c>
      <c r="H256" s="25">
        <v>69.852762533965574</v>
      </c>
      <c r="I256" s="25">
        <v>2.0310369129998409</v>
      </c>
      <c r="J256" s="26">
        <v>204</v>
      </c>
      <c r="K256" s="26">
        <v>42</v>
      </c>
    </row>
    <row r="257" spans="1:12" x14ac:dyDescent="0.2">
      <c r="A257" s="28" t="s">
        <v>211</v>
      </c>
      <c r="B257" s="22" t="s">
        <v>227</v>
      </c>
      <c r="C257" s="23" t="s">
        <v>566</v>
      </c>
      <c r="D257" s="24">
        <v>43.3</v>
      </c>
      <c r="E257" s="25">
        <v>51.25</v>
      </c>
      <c r="F257" s="25">
        <v>0.84487804878048778</v>
      </c>
      <c r="G257" s="25">
        <v>47.997000582943464</v>
      </c>
      <c r="H257" s="25">
        <v>978.48379629629619</v>
      </c>
      <c r="I257" s="25">
        <v>2.3543691512102307</v>
      </c>
      <c r="J257" s="26">
        <v>63</v>
      </c>
      <c r="K257" s="26">
        <v>35</v>
      </c>
    </row>
    <row r="258" spans="1:12" x14ac:dyDescent="0.2">
      <c r="A258" s="22" t="s">
        <v>10</v>
      </c>
      <c r="B258" s="22" t="s">
        <v>99</v>
      </c>
      <c r="C258" s="23" t="s">
        <v>540</v>
      </c>
      <c r="D258" s="24">
        <v>10.055</v>
      </c>
      <c r="E258" s="25">
        <v>18.82407407407408</v>
      </c>
      <c r="F258" s="25">
        <v>0.5341564190850957</v>
      </c>
      <c r="G258" s="25">
        <v>20.101575605002907</v>
      </c>
      <c r="H258" s="25">
        <v>180.14900548696846</v>
      </c>
      <c r="I258" s="25">
        <v>2.2429951290121202</v>
      </c>
      <c r="J258" s="26">
        <v>204</v>
      </c>
      <c r="K258" s="26">
        <v>26</v>
      </c>
    </row>
    <row r="259" spans="1:12" x14ac:dyDescent="0.2">
      <c r="A259" s="22" t="s">
        <v>10</v>
      </c>
      <c r="B259" s="22" t="s">
        <v>99</v>
      </c>
      <c r="C259" s="23" t="s">
        <v>665</v>
      </c>
      <c r="D259" s="24" t="s">
        <v>8</v>
      </c>
      <c r="E259" s="25">
        <v>16.931034482758619</v>
      </c>
      <c r="F259" s="25" t="s">
        <v>8</v>
      </c>
      <c r="G259" s="25">
        <v>21.070980500930286</v>
      </c>
      <c r="H259" s="25">
        <v>218.3740338882283</v>
      </c>
      <c r="I259" s="25">
        <v>2.0331456600642936</v>
      </c>
      <c r="J259" s="26">
        <v>212</v>
      </c>
      <c r="K259" s="26">
        <v>21</v>
      </c>
    </row>
    <row r="260" spans="1:12" x14ac:dyDescent="0.2">
      <c r="A260" s="22" t="s">
        <v>10</v>
      </c>
      <c r="B260" s="22" t="s">
        <v>100</v>
      </c>
      <c r="C260" s="23" t="s">
        <v>363</v>
      </c>
      <c r="D260" s="24">
        <v>1.5</v>
      </c>
      <c r="E260" s="25">
        <v>6.9819277108433742</v>
      </c>
      <c r="F260" s="25">
        <v>0.21484037963761862</v>
      </c>
      <c r="G260" s="25">
        <v>8.6059701979478476</v>
      </c>
      <c r="H260" s="25">
        <v>44.965361445783131</v>
      </c>
      <c r="I260" s="25">
        <v>1.6471061427420628</v>
      </c>
      <c r="J260" s="26">
        <v>222</v>
      </c>
      <c r="K260" s="26">
        <v>11</v>
      </c>
    </row>
    <row r="261" spans="1:12" x14ac:dyDescent="0.2">
      <c r="A261" s="22" t="s">
        <v>10</v>
      </c>
      <c r="B261" s="22" t="s">
        <v>100</v>
      </c>
      <c r="C261" s="23" t="s">
        <v>411</v>
      </c>
      <c r="D261" s="24" t="s">
        <v>8</v>
      </c>
      <c r="E261" s="25">
        <v>6.6445783132530138</v>
      </c>
      <c r="F261" s="25" t="s">
        <v>8</v>
      </c>
      <c r="G261" s="25">
        <v>11.098507487533567</v>
      </c>
      <c r="H261" s="25">
        <v>66.916007403106406</v>
      </c>
      <c r="I261" s="25">
        <v>1.8407683487272806</v>
      </c>
      <c r="J261" s="26">
        <v>224</v>
      </c>
      <c r="K261" s="26">
        <v>14</v>
      </c>
    </row>
    <row r="262" spans="1:12" x14ac:dyDescent="0.2">
      <c r="A262" s="22" t="s">
        <v>10</v>
      </c>
      <c r="B262" s="22" t="s">
        <v>100</v>
      </c>
      <c r="C262" s="23" t="s">
        <v>412</v>
      </c>
      <c r="D262" s="24">
        <v>1</v>
      </c>
      <c r="E262" s="25">
        <v>3.7710843373493983</v>
      </c>
      <c r="F262" s="25">
        <v>0.2651757188498402</v>
      </c>
      <c r="G262" s="25">
        <v>7.4518216966332904</v>
      </c>
      <c r="H262" s="25">
        <v>32.511032080127741</v>
      </c>
      <c r="I262" s="25">
        <v>1.7080247240861037</v>
      </c>
      <c r="J262" s="26">
        <v>224</v>
      </c>
      <c r="K262" s="26">
        <v>9</v>
      </c>
      <c r="L262" s="21" t="s">
        <v>919</v>
      </c>
    </row>
    <row r="263" spans="1:12" x14ac:dyDescent="0.2">
      <c r="A263" s="22" t="s">
        <v>10</v>
      </c>
      <c r="B263" s="22" t="s">
        <v>100</v>
      </c>
      <c r="C263" s="23" t="s">
        <v>524</v>
      </c>
      <c r="D263" s="24">
        <v>1.5</v>
      </c>
      <c r="E263" s="25">
        <v>8.7298850574712645</v>
      </c>
      <c r="F263" s="25">
        <v>0.1718235681369322</v>
      </c>
      <c r="G263" s="25">
        <v>11.392125823180864</v>
      </c>
      <c r="H263" s="25">
        <v>69.799824943849913</v>
      </c>
      <c r="I263" s="25">
        <v>1.8593245882147345</v>
      </c>
      <c r="J263" s="26">
        <v>225</v>
      </c>
      <c r="K263" s="26">
        <v>8</v>
      </c>
    </row>
    <row r="264" spans="1:12" x14ac:dyDescent="0.2">
      <c r="A264" s="22" t="s">
        <v>10</v>
      </c>
      <c r="B264" s="22" t="s">
        <v>275</v>
      </c>
      <c r="C264" s="23" t="s">
        <v>802</v>
      </c>
      <c r="D264" s="24">
        <v>1.33</v>
      </c>
      <c r="E264" s="25">
        <v>2.5963855421686759</v>
      </c>
      <c r="F264" s="25">
        <v>0.51225058004640356</v>
      </c>
      <c r="G264" s="25">
        <v>7.3927373911666248</v>
      </c>
      <c r="H264" s="25">
        <v>32.215470314994917</v>
      </c>
      <c r="I264" s="25">
        <v>1.6964696029694371</v>
      </c>
      <c r="J264" s="26">
        <v>199</v>
      </c>
      <c r="K264" s="26">
        <v>28</v>
      </c>
      <c r="L264" s="21" t="s">
        <v>932</v>
      </c>
    </row>
    <row r="265" spans="1:12" x14ac:dyDescent="0.2">
      <c r="A265" s="22" t="s">
        <v>10</v>
      </c>
      <c r="B265" s="22" t="s">
        <v>101</v>
      </c>
      <c r="C265" s="23" t="s">
        <v>360</v>
      </c>
      <c r="D265" s="24">
        <v>1.33</v>
      </c>
      <c r="E265" s="25">
        <v>6.7530120481927725</v>
      </c>
      <c r="F265" s="25">
        <v>0.19694915254237286</v>
      </c>
      <c r="G265" s="25">
        <v>8.2925874347276221</v>
      </c>
      <c r="H265" s="25">
        <v>46.947271011757877</v>
      </c>
      <c r="I265" s="25">
        <v>1.4647711119434363</v>
      </c>
      <c r="J265" s="26">
        <v>224</v>
      </c>
      <c r="K265" s="26">
        <v>7</v>
      </c>
      <c r="L265" s="21" t="s">
        <v>932</v>
      </c>
    </row>
    <row r="266" spans="1:12" x14ac:dyDescent="0.2">
      <c r="A266" s="22" t="s">
        <v>10</v>
      </c>
      <c r="B266" s="22" t="s">
        <v>102</v>
      </c>
      <c r="C266" s="23" t="s">
        <v>606</v>
      </c>
      <c r="D266" s="24">
        <v>1.33</v>
      </c>
      <c r="E266" s="25">
        <v>6.6100628930817606</v>
      </c>
      <c r="F266" s="25">
        <v>0.20120837297811611</v>
      </c>
      <c r="G266" s="25">
        <v>8.2573557050917277</v>
      </c>
      <c r="H266" s="25">
        <v>42.131225030655429</v>
      </c>
      <c r="I266" s="25">
        <v>1.6183702987700705</v>
      </c>
      <c r="J266" s="26">
        <v>176</v>
      </c>
      <c r="K266" s="26">
        <v>39</v>
      </c>
      <c r="L266" s="21" t="s">
        <v>932</v>
      </c>
    </row>
    <row r="267" spans="1:12" x14ac:dyDescent="0.2">
      <c r="A267" s="22" t="s">
        <v>10</v>
      </c>
      <c r="B267" s="22" t="s">
        <v>102</v>
      </c>
      <c r="C267" s="23" t="s">
        <v>911</v>
      </c>
      <c r="D267" s="24">
        <v>1.38</v>
      </c>
      <c r="E267" s="25">
        <v>6.283132530120481</v>
      </c>
      <c r="F267" s="25">
        <v>0.21963566634707576</v>
      </c>
      <c r="G267" s="25">
        <v>7.3364422908493143</v>
      </c>
      <c r="H267" s="25">
        <v>33.860865147336334</v>
      </c>
      <c r="I267" s="25">
        <v>1.5895454901333599</v>
      </c>
      <c r="J267" s="26">
        <v>158</v>
      </c>
      <c r="K267" s="26">
        <v>43</v>
      </c>
      <c r="L267" s="21" t="s">
        <v>932</v>
      </c>
    </row>
    <row r="268" spans="1:12" x14ac:dyDescent="0.2">
      <c r="A268" s="22" t="s">
        <v>10</v>
      </c>
      <c r="B268" s="22" t="s">
        <v>103</v>
      </c>
      <c r="C268" s="23" t="s">
        <v>512</v>
      </c>
      <c r="D268" s="24">
        <v>7.9</v>
      </c>
      <c r="E268" s="25">
        <v>13.861111111111107</v>
      </c>
      <c r="F268" s="25">
        <v>0.56993987975951921</v>
      </c>
      <c r="G268" s="25">
        <v>18.428101507456738</v>
      </c>
      <c r="H268" s="25">
        <v>145.0352794924554</v>
      </c>
      <c r="I268" s="25">
        <v>2.3414642723999761</v>
      </c>
      <c r="J268" s="26">
        <v>160</v>
      </c>
      <c r="K268" s="26">
        <v>58</v>
      </c>
    </row>
    <row r="269" spans="1:12" x14ac:dyDescent="0.2">
      <c r="A269" s="22" t="s">
        <v>10</v>
      </c>
      <c r="B269" s="22" t="s">
        <v>103</v>
      </c>
      <c r="C269" s="23" t="s">
        <v>824</v>
      </c>
      <c r="D269" s="24" t="s">
        <v>8</v>
      </c>
      <c r="E269" s="25">
        <v>11.072992700729928</v>
      </c>
      <c r="F269" s="25" t="s">
        <v>8</v>
      </c>
      <c r="G269" s="25">
        <v>13.528309590802355</v>
      </c>
      <c r="H269" s="25">
        <v>84.992700729927009</v>
      </c>
      <c r="I269" s="25">
        <v>2.1533044462976219</v>
      </c>
      <c r="J269" s="26">
        <v>170</v>
      </c>
      <c r="K269" s="26">
        <v>41</v>
      </c>
    </row>
    <row r="270" spans="1:12" x14ac:dyDescent="0.2">
      <c r="A270" s="22" t="s">
        <v>10</v>
      </c>
      <c r="B270" s="22" t="s">
        <v>104</v>
      </c>
      <c r="C270" s="23" t="s">
        <v>459</v>
      </c>
      <c r="D270" s="24">
        <v>8.01</v>
      </c>
      <c r="E270" s="25">
        <v>11.8</v>
      </c>
      <c r="F270" s="25">
        <v>0.6788135593220338</v>
      </c>
      <c r="G270" s="25">
        <v>14.221999385280359</v>
      </c>
      <c r="H270" s="25">
        <v>103.12121301775147</v>
      </c>
      <c r="I270" s="25">
        <v>1.9614321883519408</v>
      </c>
      <c r="J270" s="26">
        <v>175</v>
      </c>
      <c r="K270" s="26">
        <v>86</v>
      </c>
    </row>
    <row r="271" spans="1:12" x14ac:dyDescent="0.2">
      <c r="A271" s="22" t="s">
        <v>10</v>
      </c>
      <c r="B271" s="22" t="s">
        <v>104</v>
      </c>
      <c r="C271" s="23" t="s">
        <v>667</v>
      </c>
      <c r="D271" s="24" t="s">
        <v>8</v>
      </c>
      <c r="E271" s="25">
        <v>14.607692307692307</v>
      </c>
      <c r="F271" s="25" t="s">
        <v>8</v>
      </c>
      <c r="G271" s="25">
        <v>15.410008559439873</v>
      </c>
      <c r="H271" s="25">
        <v>106.81124260355028</v>
      </c>
      <c r="I271" s="25">
        <v>2.2232525154998712</v>
      </c>
      <c r="J271" s="26">
        <v>146</v>
      </c>
      <c r="K271" s="26">
        <v>60</v>
      </c>
    </row>
    <row r="272" spans="1:12" x14ac:dyDescent="0.2">
      <c r="A272" s="22" t="s">
        <v>10</v>
      </c>
      <c r="B272" s="22" t="s">
        <v>105</v>
      </c>
      <c r="C272" s="23" t="s">
        <v>545</v>
      </c>
      <c r="D272" s="24">
        <v>6.36</v>
      </c>
      <c r="E272" s="25">
        <v>10.452554744525548</v>
      </c>
      <c r="F272" s="25">
        <v>0.60846368715083798</v>
      </c>
      <c r="G272" s="25">
        <v>13.311824670313889</v>
      </c>
      <c r="H272" s="25">
        <v>80.876764878256694</v>
      </c>
      <c r="I272" s="25">
        <v>2.1910455533171067</v>
      </c>
      <c r="J272" s="26">
        <v>160</v>
      </c>
      <c r="K272" s="26">
        <v>49</v>
      </c>
    </row>
    <row r="273" spans="1:12" x14ac:dyDescent="0.2">
      <c r="A273" s="22" t="s">
        <v>10</v>
      </c>
      <c r="B273" s="22" t="s">
        <v>215</v>
      </c>
      <c r="C273" s="23" t="s">
        <v>554</v>
      </c>
      <c r="D273" s="24">
        <v>6.85</v>
      </c>
      <c r="E273" s="25">
        <v>11.693430656934307</v>
      </c>
      <c r="F273" s="25">
        <v>0.58579900124843942</v>
      </c>
      <c r="G273" s="25">
        <v>14.602241676141883</v>
      </c>
      <c r="H273" s="25">
        <v>103.57714848953061</v>
      </c>
      <c r="I273" s="25">
        <v>2.0586149076116662</v>
      </c>
      <c r="J273" s="26">
        <v>70</v>
      </c>
      <c r="K273" s="26">
        <v>42</v>
      </c>
    </row>
    <row r="274" spans="1:12" ht="15" x14ac:dyDescent="0.25">
      <c r="A274" s="22" t="s">
        <v>10</v>
      </c>
      <c r="B274" s="8" t="s">
        <v>276</v>
      </c>
      <c r="C274" s="23" t="s">
        <v>556</v>
      </c>
      <c r="D274" s="24">
        <v>9.86</v>
      </c>
      <c r="E274" s="25">
        <v>16.061538461538461</v>
      </c>
      <c r="F274" s="25">
        <v>0.61388888888888882</v>
      </c>
      <c r="G274" s="25">
        <v>19.389720690177832</v>
      </c>
      <c r="H274" s="25">
        <v>168.09550295857989</v>
      </c>
      <c r="I274" s="25">
        <v>2.2365932569638716</v>
      </c>
      <c r="J274" s="26">
        <v>48</v>
      </c>
      <c r="K274" s="26">
        <v>34</v>
      </c>
    </row>
    <row r="275" spans="1:12" ht="15" x14ac:dyDescent="0.25">
      <c r="A275" s="22" t="s">
        <v>10</v>
      </c>
      <c r="B275" s="8" t="s">
        <v>276</v>
      </c>
      <c r="C275" s="23" t="s">
        <v>877</v>
      </c>
      <c r="D275" s="24" t="s">
        <v>8</v>
      </c>
      <c r="E275" s="25">
        <v>15.146551724137932</v>
      </c>
      <c r="F275" s="25" t="s">
        <v>8</v>
      </c>
      <c r="G275" s="25">
        <v>18.380494098435701</v>
      </c>
      <c r="H275" s="25">
        <v>153.69091854934601</v>
      </c>
      <c r="I275" s="25">
        <v>2.1981947046152728</v>
      </c>
      <c r="J275" s="26">
        <v>46</v>
      </c>
      <c r="K275" s="26">
        <v>32</v>
      </c>
    </row>
    <row r="276" spans="1:12" x14ac:dyDescent="0.2">
      <c r="A276" s="22" t="s">
        <v>10</v>
      </c>
      <c r="B276" s="22" t="s">
        <v>106</v>
      </c>
      <c r="C276" s="23" t="s">
        <v>656</v>
      </c>
      <c r="D276" s="24" t="s">
        <v>8</v>
      </c>
      <c r="E276" s="25">
        <v>15.482758620689657</v>
      </c>
      <c r="F276" s="25" t="s">
        <v>8</v>
      </c>
      <c r="G276" s="25">
        <v>18.025767887548902</v>
      </c>
      <c r="H276" s="25">
        <v>158.61344381688468</v>
      </c>
      <c r="I276" s="25">
        <v>2.0485546503290788</v>
      </c>
      <c r="J276" s="26">
        <v>77</v>
      </c>
      <c r="K276" s="26">
        <v>92</v>
      </c>
    </row>
    <row r="277" spans="1:12" x14ac:dyDescent="0.2">
      <c r="A277" s="22" t="s">
        <v>10</v>
      </c>
      <c r="B277" s="22" t="s">
        <v>107</v>
      </c>
      <c r="C277" s="23" t="s">
        <v>489</v>
      </c>
      <c r="D277" s="24">
        <v>9.5299999999999994</v>
      </c>
      <c r="E277" s="25">
        <v>17.7816091954023</v>
      </c>
      <c r="F277" s="25">
        <v>0.53594699418228819</v>
      </c>
      <c r="G277" s="25">
        <v>26.196779279278076</v>
      </c>
      <c r="H277" s="25">
        <v>324.42839212577621</v>
      </c>
      <c r="I277" s="25">
        <v>2.1153242480120409</v>
      </c>
      <c r="J277" s="26">
        <v>52</v>
      </c>
      <c r="K277" s="26">
        <v>26</v>
      </c>
    </row>
    <row r="278" spans="1:12" x14ac:dyDescent="0.2">
      <c r="A278" s="22" t="s">
        <v>10</v>
      </c>
      <c r="B278" s="22" t="s">
        <v>108</v>
      </c>
      <c r="C278" s="23" t="s">
        <v>492</v>
      </c>
      <c r="D278" s="24">
        <v>12.89</v>
      </c>
      <c r="E278" s="25">
        <v>20.517241379310342</v>
      </c>
      <c r="F278" s="25">
        <v>0.62825210084033623</v>
      </c>
      <c r="G278" s="25">
        <v>24.876112161335705</v>
      </c>
      <c r="H278" s="25">
        <v>245.20821773021538</v>
      </c>
      <c r="I278" s="25">
        <v>2.523655047092253</v>
      </c>
      <c r="J278" s="26">
        <v>130</v>
      </c>
      <c r="K278" s="26">
        <v>77</v>
      </c>
    </row>
    <row r="279" spans="1:12" x14ac:dyDescent="0.2">
      <c r="A279" s="22" t="s">
        <v>10</v>
      </c>
      <c r="B279" s="22" t="s">
        <v>109</v>
      </c>
      <c r="C279" s="23" t="s">
        <v>359</v>
      </c>
      <c r="D279" s="24">
        <v>6.32</v>
      </c>
      <c r="E279" s="25">
        <v>7.6204819277108449</v>
      </c>
      <c r="F279" s="25">
        <v>0.82934387351778649</v>
      </c>
      <c r="G279" s="25">
        <v>12.697170648303498</v>
      </c>
      <c r="H279" s="25">
        <v>48.15579184206706</v>
      </c>
      <c r="I279" s="25">
        <v>3.3478453225496723</v>
      </c>
      <c r="J279" s="26">
        <v>130</v>
      </c>
      <c r="K279" s="26">
        <v>123</v>
      </c>
      <c r="L279" s="21" t="s">
        <v>933</v>
      </c>
    </row>
    <row r="280" spans="1:12" x14ac:dyDescent="0.2">
      <c r="A280" s="22" t="s">
        <v>10</v>
      </c>
      <c r="B280" s="22" t="s">
        <v>109</v>
      </c>
      <c r="C280" s="23" t="s">
        <v>740</v>
      </c>
      <c r="D280" s="24" t="s">
        <v>8</v>
      </c>
      <c r="E280" s="25">
        <v>9.0656934306569337</v>
      </c>
      <c r="F280" s="25" t="s">
        <v>8</v>
      </c>
      <c r="G280" s="25">
        <v>14.053510738836433</v>
      </c>
      <c r="H280" s="25">
        <v>62.646225158506041</v>
      </c>
      <c r="I280" s="25">
        <v>3.1526426945418984</v>
      </c>
      <c r="J280" s="26">
        <v>113</v>
      </c>
      <c r="K280" s="26">
        <v>126</v>
      </c>
    </row>
    <row r="281" spans="1:12" x14ac:dyDescent="0.2">
      <c r="A281" s="22" t="s">
        <v>10</v>
      </c>
      <c r="B281" s="22" t="s">
        <v>277</v>
      </c>
      <c r="C281" s="23" t="s">
        <v>890</v>
      </c>
      <c r="D281" s="24">
        <v>6.32</v>
      </c>
      <c r="E281" s="25">
        <v>12.801724137931032</v>
      </c>
      <c r="F281" s="25">
        <v>0.49368350168350178</v>
      </c>
      <c r="G281" s="25">
        <v>15.467131881588585</v>
      </c>
      <c r="H281" s="25">
        <v>88.249591260404287</v>
      </c>
      <c r="I281" s="25">
        <v>2.7108586592376933</v>
      </c>
      <c r="J281" s="26">
        <v>106</v>
      </c>
      <c r="K281" s="26">
        <v>131</v>
      </c>
      <c r="L281" s="21" t="s">
        <v>933</v>
      </c>
    </row>
    <row r="282" spans="1:12" x14ac:dyDescent="0.2">
      <c r="A282" s="22" t="s">
        <v>10</v>
      </c>
      <c r="B282" s="22" t="s">
        <v>110</v>
      </c>
      <c r="C282" s="23" t="s">
        <v>421</v>
      </c>
      <c r="D282" s="24">
        <v>6.32</v>
      </c>
      <c r="E282" s="25">
        <v>13.991379310344829</v>
      </c>
      <c r="F282" s="25">
        <v>0.45170671595810225</v>
      </c>
      <c r="G282" s="25">
        <v>15.64855587720972</v>
      </c>
      <c r="H282" s="25">
        <v>98.36946343638526</v>
      </c>
      <c r="I282" s="25">
        <v>2.4893629840780318</v>
      </c>
      <c r="J282" s="26">
        <v>89</v>
      </c>
      <c r="K282" s="26">
        <v>117</v>
      </c>
    </row>
    <row r="283" spans="1:12" x14ac:dyDescent="0.2">
      <c r="A283" s="22" t="s">
        <v>10</v>
      </c>
      <c r="B283" s="22" t="s">
        <v>110</v>
      </c>
      <c r="C283" s="23" t="s">
        <v>838</v>
      </c>
      <c r="D283" s="24">
        <v>6.32</v>
      </c>
      <c r="E283" s="25">
        <v>12.189655172413792</v>
      </c>
      <c r="F283" s="25">
        <v>0.51847241867043858</v>
      </c>
      <c r="G283" s="25">
        <v>15.685707082229355</v>
      </c>
      <c r="H283" s="25">
        <v>91.158590963139119</v>
      </c>
      <c r="I283" s="25">
        <v>2.6990479347030432</v>
      </c>
      <c r="J283" s="26">
        <v>96</v>
      </c>
      <c r="K283" s="26">
        <v>110</v>
      </c>
      <c r="L283" s="21" t="s">
        <v>933</v>
      </c>
    </row>
    <row r="284" spans="1:12" x14ac:dyDescent="0.2">
      <c r="A284" s="22" t="s">
        <v>10</v>
      </c>
      <c r="B284" s="22" t="s">
        <v>110</v>
      </c>
      <c r="C284" s="23" t="s">
        <v>889</v>
      </c>
      <c r="D284" s="24">
        <v>6.32</v>
      </c>
      <c r="E284" s="25">
        <v>13.318965517241381</v>
      </c>
      <c r="F284" s="25">
        <v>0.47451132686084141</v>
      </c>
      <c r="G284" s="25">
        <v>15.95376674465728</v>
      </c>
      <c r="H284" s="25">
        <v>93.922376634958397</v>
      </c>
      <c r="I284" s="25">
        <v>2.7099258181271138</v>
      </c>
      <c r="J284" s="26">
        <v>86</v>
      </c>
      <c r="K284" s="26">
        <v>108</v>
      </c>
      <c r="L284" s="21" t="s">
        <v>933</v>
      </c>
    </row>
    <row r="285" spans="1:12" x14ac:dyDescent="0.2">
      <c r="A285" s="22" t="s">
        <v>10</v>
      </c>
      <c r="B285" s="22" t="s">
        <v>111</v>
      </c>
      <c r="C285" s="23" t="s">
        <v>560</v>
      </c>
      <c r="D285" s="24">
        <v>9.1999999999999993</v>
      </c>
      <c r="E285" s="25">
        <v>13.694444444444445</v>
      </c>
      <c r="F285" s="25">
        <v>0.67180527383367139</v>
      </c>
      <c r="G285" s="25">
        <v>15.83908040542622</v>
      </c>
      <c r="H285" s="25">
        <v>108.70473251028807</v>
      </c>
      <c r="I285" s="25">
        <v>2.3078707089943236</v>
      </c>
      <c r="J285" s="26">
        <v>72</v>
      </c>
      <c r="K285" s="26">
        <v>37</v>
      </c>
    </row>
    <row r="286" spans="1:12" x14ac:dyDescent="0.2">
      <c r="A286" s="22" t="s">
        <v>10</v>
      </c>
      <c r="B286" s="22" t="s">
        <v>111</v>
      </c>
      <c r="C286" s="23" t="s">
        <v>626</v>
      </c>
      <c r="D286" s="24">
        <v>11.4</v>
      </c>
      <c r="E286" s="25">
        <v>17.700000000000003</v>
      </c>
      <c r="F286" s="25">
        <v>0.64406779661016944</v>
      </c>
      <c r="G286" s="25">
        <v>16.629570493655194</v>
      </c>
      <c r="H286" s="25">
        <v>119.77340236686391</v>
      </c>
      <c r="I286" s="25">
        <v>2.3088816827328835</v>
      </c>
      <c r="J286" s="26">
        <v>59</v>
      </c>
      <c r="K286" s="26">
        <v>29</v>
      </c>
    </row>
    <row r="287" spans="1:12" x14ac:dyDescent="0.2">
      <c r="A287" s="22" t="s">
        <v>10</v>
      </c>
      <c r="B287" s="22" t="s">
        <v>112</v>
      </c>
      <c r="C287" s="23" t="s">
        <v>563</v>
      </c>
      <c r="D287" s="24">
        <v>11.03</v>
      </c>
      <c r="E287" s="25">
        <v>15.206896551724141</v>
      </c>
      <c r="F287" s="25">
        <v>0.72532879818594087</v>
      </c>
      <c r="G287" s="25">
        <v>18.259980918141483</v>
      </c>
      <c r="H287" s="25">
        <v>188.92178623332012</v>
      </c>
      <c r="I287" s="25">
        <v>1.7648938736959954</v>
      </c>
      <c r="J287" s="26">
        <v>70</v>
      </c>
      <c r="K287" s="26">
        <v>47</v>
      </c>
    </row>
    <row r="288" spans="1:12" x14ac:dyDescent="0.2">
      <c r="A288" s="22" t="s">
        <v>10</v>
      </c>
      <c r="B288" s="22" t="s">
        <v>113</v>
      </c>
      <c r="C288" s="23" t="s">
        <v>481</v>
      </c>
      <c r="D288" s="24">
        <v>13.29</v>
      </c>
      <c r="E288" s="25">
        <v>22.931034482758623</v>
      </c>
      <c r="F288" s="25">
        <v>0.57956390977443595</v>
      </c>
      <c r="G288" s="25">
        <v>27.259713854374468</v>
      </c>
      <c r="H288" s="25">
        <v>305.10879904875151</v>
      </c>
      <c r="I288" s="25">
        <v>2.4354984246247224</v>
      </c>
      <c r="J288" s="26">
        <v>185</v>
      </c>
      <c r="K288" s="26">
        <v>70</v>
      </c>
    </row>
    <row r="289" spans="1:12" x14ac:dyDescent="0.2">
      <c r="A289" s="22" t="s">
        <v>10</v>
      </c>
      <c r="B289" s="22" t="s">
        <v>113</v>
      </c>
      <c r="C289" s="23" t="s">
        <v>855</v>
      </c>
      <c r="D289" s="24" t="s">
        <v>8</v>
      </c>
      <c r="E289" s="25">
        <v>18.308510638297868</v>
      </c>
      <c r="F289" s="25" t="s">
        <v>8</v>
      </c>
      <c r="G289" s="25">
        <v>25.324537037585351</v>
      </c>
      <c r="H289" s="25">
        <v>270.55579447713899</v>
      </c>
      <c r="I289" s="25">
        <v>2.3704248412326003</v>
      </c>
      <c r="J289" s="26">
        <v>163</v>
      </c>
      <c r="K289" s="26">
        <v>59</v>
      </c>
    </row>
    <row r="290" spans="1:12" x14ac:dyDescent="0.2">
      <c r="A290" s="22" t="s">
        <v>10</v>
      </c>
      <c r="B290" s="22" t="s">
        <v>114</v>
      </c>
      <c r="C290" s="23" t="s">
        <v>634</v>
      </c>
      <c r="D290" s="24">
        <v>12</v>
      </c>
      <c r="E290" s="25">
        <v>17.691489361702128</v>
      </c>
      <c r="F290" s="25">
        <v>0.67829224293445578</v>
      </c>
      <c r="G290" s="25">
        <v>22.814422703460309</v>
      </c>
      <c r="H290" s="25">
        <v>228.73800362154816</v>
      </c>
      <c r="I290" s="25">
        <v>2.2755199182088686</v>
      </c>
      <c r="J290" s="26">
        <v>151</v>
      </c>
      <c r="K290" s="26">
        <v>65</v>
      </c>
    </row>
    <row r="291" spans="1:12" x14ac:dyDescent="0.2">
      <c r="A291" s="22" t="s">
        <v>10</v>
      </c>
      <c r="B291" s="22" t="s">
        <v>115</v>
      </c>
      <c r="C291" s="23" t="s">
        <v>637</v>
      </c>
      <c r="D291" s="24">
        <v>10.4315</v>
      </c>
      <c r="E291" s="25">
        <v>14.232758620689657</v>
      </c>
      <c r="F291" s="25">
        <v>0.73292186553603866</v>
      </c>
      <c r="G291" s="25">
        <v>19.027797217323929</v>
      </c>
      <c r="H291" s="25">
        <v>170.01345124851366</v>
      </c>
      <c r="I291" s="25">
        <v>2.1295789496936379</v>
      </c>
      <c r="J291" s="26">
        <v>64</v>
      </c>
      <c r="K291" s="26">
        <v>32</v>
      </c>
    </row>
    <row r="292" spans="1:12" x14ac:dyDescent="0.2">
      <c r="A292" s="22" t="s">
        <v>10</v>
      </c>
      <c r="B292" s="22" t="s">
        <v>115</v>
      </c>
      <c r="C292" s="23" t="s">
        <v>704</v>
      </c>
      <c r="D292" s="24">
        <v>10.73</v>
      </c>
      <c r="E292" s="30">
        <v>17.674137931034483</v>
      </c>
      <c r="F292" s="25">
        <v>0.60710174617110524</v>
      </c>
      <c r="G292" s="30">
        <v>22.537290346177109</v>
      </c>
      <c r="H292" s="30">
        <v>232.66756692585449</v>
      </c>
      <c r="I292" s="25">
        <v>2.1830694447832202</v>
      </c>
      <c r="J292" s="31">
        <v>126.6</v>
      </c>
      <c r="K292" s="31">
        <v>54.6</v>
      </c>
    </row>
    <row r="293" spans="1:12" x14ac:dyDescent="0.2">
      <c r="A293" s="22" t="s">
        <v>10</v>
      </c>
      <c r="B293" s="22" t="s">
        <v>116</v>
      </c>
      <c r="C293" s="23" t="s">
        <v>406</v>
      </c>
      <c r="D293" s="24">
        <v>1.8800000000000001</v>
      </c>
      <c r="E293" s="25">
        <v>9.8000000000000025</v>
      </c>
      <c r="F293" s="25">
        <v>0.19183673469387752</v>
      </c>
      <c r="G293" s="25">
        <v>14.26967948933377</v>
      </c>
      <c r="H293" s="25">
        <v>127.97393491124261</v>
      </c>
      <c r="I293" s="25">
        <v>1.5911345765021436</v>
      </c>
      <c r="J293" s="26">
        <v>157</v>
      </c>
      <c r="K293" s="26">
        <v>30</v>
      </c>
    </row>
    <row r="294" spans="1:12" x14ac:dyDescent="0.2">
      <c r="A294" s="22" t="s">
        <v>10</v>
      </c>
      <c r="B294" s="22" t="s">
        <v>116</v>
      </c>
      <c r="C294" s="23" t="s">
        <v>417</v>
      </c>
      <c r="D294" s="24">
        <v>1.58</v>
      </c>
      <c r="E294" s="25">
        <v>10.084615384615384</v>
      </c>
      <c r="F294" s="25">
        <v>0.1566742944317315</v>
      </c>
      <c r="G294" s="25">
        <v>14.581373674351667</v>
      </c>
      <c r="H294" s="25">
        <v>130.75603550295858</v>
      </c>
      <c r="I294" s="25">
        <v>1.6260546399501765</v>
      </c>
      <c r="J294" s="26">
        <v>169</v>
      </c>
      <c r="K294" s="26">
        <v>36</v>
      </c>
    </row>
    <row r="295" spans="1:12" x14ac:dyDescent="0.2">
      <c r="A295" s="22" t="s">
        <v>10</v>
      </c>
      <c r="B295" s="22" t="s">
        <v>116</v>
      </c>
      <c r="C295" s="23" t="s">
        <v>781</v>
      </c>
      <c r="D295" s="24" t="s">
        <v>8</v>
      </c>
      <c r="E295" s="25">
        <v>11.474452554744524</v>
      </c>
      <c r="F295" s="25" t="s">
        <v>8</v>
      </c>
      <c r="G295" s="25">
        <v>14.922758417610803</v>
      </c>
      <c r="H295" s="25">
        <v>143.69550855133463</v>
      </c>
      <c r="I295" s="25">
        <v>1.5497263695672121</v>
      </c>
      <c r="J295" s="26">
        <v>163</v>
      </c>
      <c r="K295" s="26">
        <v>26</v>
      </c>
    </row>
    <row r="296" spans="1:12" x14ac:dyDescent="0.2">
      <c r="A296" s="22" t="s">
        <v>10</v>
      </c>
      <c r="B296" s="22" t="s">
        <v>116</v>
      </c>
      <c r="C296" s="23" t="s">
        <v>782</v>
      </c>
      <c r="D296" s="24" t="s">
        <v>8</v>
      </c>
      <c r="E296" s="25">
        <v>11.715328467153284</v>
      </c>
      <c r="F296" s="25" t="s">
        <v>8</v>
      </c>
      <c r="G296" s="25" t="s">
        <v>8</v>
      </c>
      <c r="H296" s="25" t="s">
        <v>8</v>
      </c>
      <c r="I296" s="25" t="s">
        <v>8</v>
      </c>
      <c r="J296" s="26">
        <v>176</v>
      </c>
      <c r="K296" s="26">
        <v>35</v>
      </c>
    </row>
    <row r="297" spans="1:12" x14ac:dyDescent="0.2">
      <c r="A297" s="22" t="s">
        <v>10</v>
      </c>
      <c r="B297" s="22" t="s">
        <v>117</v>
      </c>
      <c r="C297" s="23" t="s">
        <v>455</v>
      </c>
      <c r="D297" s="24">
        <v>7.99</v>
      </c>
      <c r="E297" s="25">
        <v>12.681034482758619</v>
      </c>
      <c r="F297" s="25">
        <v>0.63007477906186282</v>
      </c>
      <c r="G297" s="25">
        <v>15.445760037360113</v>
      </c>
      <c r="H297" s="25">
        <v>115.17512633769321</v>
      </c>
      <c r="I297" s="25">
        <v>2.071380433586151</v>
      </c>
      <c r="J297" s="26">
        <v>125</v>
      </c>
      <c r="K297" s="26">
        <v>80</v>
      </c>
    </row>
    <row r="298" spans="1:12" x14ac:dyDescent="0.2">
      <c r="A298" s="22" t="s">
        <v>10</v>
      </c>
      <c r="B298" s="22" t="s">
        <v>117</v>
      </c>
      <c r="C298" s="23" t="s">
        <v>683</v>
      </c>
      <c r="D298" s="24" t="s">
        <v>8</v>
      </c>
      <c r="E298" s="25">
        <v>12.03012048192771</v>
      </c>
      <c r="F298" s="25" t="s">
        <v>8</v>
      </c>
      <c r="G298" s="25">
        <v>12.575069187891717</v>
      </c>
      <c r="H298" s="25">
        <v>71.636848599216137</v>
      </c>
      <c r="I298" s="25">
        <v>2.2074165484995105</v>
      </c>
      <c r="J298" s="26">
        <v>146</v>
      </c>
      <c r="K298" s="26">
        <v>74</v>
      </c>
    </row>
    <row r="299" spans="1:12" x14ac:dyDescent="0.2">
      <c r="A299" s="22" t="s">
        <v>10</v>
      </c>
      <c r="B299" s="22" t="s">
        <v>117</v>
      </c>
      <c r="C299" s="23" t="s">
        <v>849</v>
      </c>
      <c r="D299" s="24" t="s">
        <v>8</v>
      </c>
      <c r="E299" s="25">
        <v>11.802919708029195</v>
      </c>
      <c r="F299" s="25" t="s">
        <v>8</v>
      </c>
      <c r="G299" s="25">
        <v>13.774037932279533</v>
      </c>
      <c r="H299" s="25">
        <v>95.861766743033726</v>
      </c>
      <c r="I299" s="25">
        <v>1.9791427532151413</v>
      </c>
      <c r="J299" s="26">
        <v>130</v>
      </c>
      <c r="K299" s="26">
        <v>60</v>
      </c>
    </row>
    <row r="300" spans="1:12" x14ac:dyDescent="0.2">
      <c r="A300" s="22" t="s">
        <v>10</v>
      </c>
      <c r="B300" s="22" t="s">
        <v>117</v>
      </c>
      <c r="C300" s="23" t="s">
        <v>883</v>
      </c>
      <c r="D300" s="24" t="s">
        <v>8</v>
      </c>
      <c r="E300" s="25">
        <v>11.376923076923076</v>
      </c>
      <c r="F300" s="25" t="s">
        <v>8</v>
      </c>
      <c r="G300" s="25">
        <v>14.227286087965307</v>
      </c>
      <c r="H300" s="25">
        <v>97.205177514792894</v>
      </c>
      <c r="I300" s="25">
        <v>2.0823548148760609</v>
      </c>
      <c r="J300" s="26">
        <v>136</v>
      </c>
      <c r="K300" s="26">
        <v>71</v>
      </c>
    </row>
    <row r="301" spans="1:12" x14ac:dyDescent="0.2">
      <c r="A301" s="22" t="s">
        <v>10</v>
      </c>
      <c r="B301" s="22" t="s">
        <v>214</v>
      </c>
      <c r="C301" s="23" t="s">
        <v>685</v>
      </c>
      <c r="D301" s="24">
        <v>8.48</v>
      </c>
      <c r="E301" s="25">
        <v>10.783132530120485</v>
      </c>
      <c r="F301" s="25">
        <v>0.78641340782122893</v>
      </c>
      <c r="G301" s="25">
        <v>13.382851053743604</v>
      </c>
      <c r="H301" s="25">
        <v>91.347746407316023</v>
      </c>
      <c r="I301" s="25">
        <v>1.9606471902227698</v>
      </c>
      <c r="J301" s="26">
        <v>130</v>
      </c>
      <c r="K301" s="26">
        <v>54</v>
      </c>
      <c r="L301" s="21" t="s">
        <v>934</v>
      </c>
    </row>
    <row r="302" spans="1:12" x14ac:dyDescent="0.2">
      <c r="A302" s="22" t="s">
        <v>10</v>
      </c>
      <c r="B302" s="22" t="s">
        <v>214</v>
      </c>
      <c r="C302" s="23" t="s">
        <v>846</v>
      </c>
      <c r="D302" s="24">
        <v>8.48</v>
      </c>
      <c r="E302" s="25">
        <v>11.784615384615384</v>
      </c>
      <c r="F302" s="25">
        <v>0.71958224543080951</v>
      </c>
      <c r="G302" s="25" t="s">
        <v>8</v>
      </c>
      <c r="H302" s="25" t="s">
        <v>8</v>
      </c>
      <c r="I302" s="25" t="s">
        <v>8</v>
      </c>
      <c r="J302" s="26">
        <v>124</v>
      </c>
      <c r="K302" s="26">
        <v>50</v>
      </c>
      <c r="L302" s="21" t="s">
        <v>934</v>
      </c>
    </row>
    <row r="303" spans="1:12" x14ac:dyDescent="0.2">
      <c r="A303" s="22" t="s">
        <v>10</v>
      </c>
      <c r="B303" s="22" t="s">
        <v>118</v>
      </c>
      <c r="C303" s="23" t="s">
        <v>396</v>
      </c>
      <c r="D303" s="24">
        <v>8.65</v>
      </c>
      <c r="E303" s="25">
        <v>13.703703703703704</v>
      </c>
      <c r="F303" s="25">
        <v>0.63121621621621626</v>
      </c>
      <c r="G303" s="25">
        <v>17.863024450661669</v>
      </c>
      <c r="H303" s="25">
        <v>154.50068587105625</v>
      </c>
      <c r="I303" s="25">
        <v>2.0652830162271378</v>
      </c>
      <c r="J303" s="26">
        <v>103</v>
      </c>
      <c r="K303" s="26">
        <v>66</v>
      </c>
    </row>
    <row r="304" spans="1:12" x14ac:dyDescent="0.2">
      <c r="A304" s="22" t="s">
        <v>10</v>
      </c>
      <c r="B304" s="22" t="s">
        <v>118</v>
      </c>
      <c r="C304" s="23" t="s">
        <v>709</v>
      </c>
      <c r="D304" s="24">
        <v>8.31</v>
      </c>
      <c r="E304" s="25">
        <v>14.051094890510949</v>
      </c>
      <c r="F304" s="25">
        <v>0.59141298701298706</v>
      </c>
      <c r="G304" s="25">
        <v>15.196582378827664</v>
      </c>
      <c r="H304" s="25">
        <v>111.15653471149236</v>
      </c>
      <c r="I304" s="25">
        <v>2.077575705251085</v>
      </c>
      <c r="J304" s="26">
        <v>112</v>
      </c>
      <c r="K304" s="26">
        <v>68</v>
      </c>
    </row>
    <row r="305" spans="1:15" x14ac:dyDescent="0.2">
      <c r="A305" s="22" t="s">
        <v>10</v>
      </c>
      <c r="B305" s="22" t="s">
        <v>118</v>
      </c>
      <c r="C305" s="23" t="s">
        <v>881</v>
      </c>
      <c r="D305" s="24" t="s">
        <v>8</v>
      </c>
      <c r="E305" s="25">
        <v>12.775862068965516</v>
      </c>
      <c r="F305" s="25" t="s">
        <v>8</v>
      </c>
      <c r="G305" s="25">
        <v>15.655429310458874</v>
      </c>
      <c r="H305" s="25">
        <v>124.83825059453031</v>
      </c>
      <c r="I305" s="25">
        <v>1.9632802104126357</v>
      </c>
      <c r="J305" s="26">
        <v>109</v>
      </c>
      <c r="K305" s="26">
        <v>68</v>
      </c>
    </row>
    <row r="306" spans="1:15" x14ac:dyDescent="0.2">
      <c r="A306" s="22" t="s">
        <v>10</v>
      </c>
      <c r="B306" s="22" t="s">
        <v>118</v>
      </c>
      <c r="C306" s="23" t="s">
        <v>882</v>
      </c>
      <c r="D306" s="24" t="s">
        <v>8</v>
      </c>
      <c r="E306" s="25">
        <v>12.991379310344826</v>
      </c>
      <c r="F306" s="25" t="s">
        <v>8</v>
      </c>
      <c r="G306" s="25">
        <v>16.175470933806064</v>
      </c>
      <c r="H306" s="25">
        <v>133.66524227110583</v>
      </c>
      <c r="I306" s="25">
        <v>1.9574711831197147</v>
      </c>
      <c r="J306" s="26">
        <v>104</v>
      </c>
      <c r="K306" s="26">
        <v>64</v>
      </c>
    </row>
    <row r="307" spans="1:15" x14ac:dyDescent="0.2">
      <c r="A307" s="22" t="s">
        <v>10</v>
      </c>
      <c r="B307" s="22" t="s">
        <v>119</v>
      </c>
      <c r="C307" s="23" t="s">
        <v>584</v>
      </c>
      <c r="D307" s="24" t="s">
        <v>8</v>
      </c>
      <c r="E307" s="25">
        <v>21.149425287356323</v>
      </c>
      <c r="F307" s="25" t="s">
        <v>8</v>
      </c>
      <c r="G307" s="25">
        <v>26.610343304043042</v>
      </c>
      <c r="H307" s="25">
        <v>384.89073853877659</v>
      </c>
      <c r="I307" s="25">
        <v>1.8397698355833219</v>
      </c>
      <c r="J307" s="26">
        <v>112</v>
      </c>
      <c r="K307" s="26">
        <v>138</v>
      </c>
    </row>
    <row r="308" spans="1:15" x14ac:dyDescent="0.2">
      <c r="A308" s="22" t="s">
        <v>10</v>
      </c>
      <c r="B308" s="22" t="s">
        <v>120</v>
      </c>
      <c r="C308" s="23" t="s">
        <v>555</v>
      </c>
      <c r="D308" s="24">
        <v>4.0999999999999996</v>
      </c>
      <c r="E308" s="25">
        <v>20.954022988505745</v>
      </c>
      <c r="F308" s="25">
        <v>0.19566648381788262</v>
      </c>
      <c r="G308" s="25">
        <v>20.487044363233124</v>
      </c>
      <c r="H308" s="25">
        <v>207.49768793764036</v>
      </c>
      <c r="I308" s="25">
        <v>2.0227646433690429</v>
      </c>
      <c r="J308" s="26">
        <v>152</v>
      </c>
      <c r="K308" s="26">
        <v>114</v>
      </c>
    </row>
    <row r="309" spans="1:15" x14ac:dyDescent="0.2">
      <c r="A309" s="22" t="s">
        <v>10</v>
      </c>
      <c r="B309" s="22" t="s">
        <v>121</v>
      </c>
      <c r="C309" s="23" t="s">
        <v>533</v>
      </c>
      <c r="D309" s="24">
        <v>2.64</v>
      </c>
      <c r="E309" s="25">
        <v>16.402298850574713</v>
      </c>
      <c r="F309" s="25">
        <v>0.16095304835318852</v>
      </c>
      <c r="G309" s="25">
        <v>21.9163979058753</v>
      </c>
      <c r="H309" s="25">
        <v>220.15391729422646</v>
      </c>
      <c r="I309" s="25">
        <v>2.1817849215315865</v>
      </c>
      <c r="J309" s="26">
        <v>208</v>
      </c>
      <c r="K309" s="26">
        <v>31</v>
      </c>
    </row>
    <row r="310" spans="1:15" x14ac:dyDescent="0.2">
      <c r="A310" s="22" t="s">
        <v>10</v>
      </c>
      <c r="B310" s="22" t="s">
        <v>121</v>
      </c>
      <c r="C310" s="23" t="s">
        <v>535</v>
      </c>
      <c r="D310" s="24">
        <v>5.09</v>
      </c>
      <c r="E310" s="25">
        <v>21.169230769230769</v>
      </c>
      <c r="F310" s="25">
        <v>0.24044331395348836</v>
      </c>
      <c r="G310" s="25">
        <v>30.938797865729278</v>
      </c>
      <c r="H310" s="25">
        <v>486.70875739644964</v>
      </c>
      <c r="I310" s="25">
        <v>1.9666981512657635</v>
      </c>
      <c r="J310" s="26">
        <v>209</v>
      </c>
      <c r="K310" s="26">
        <v>27</v>
      </c>
    </row>
    <row r="311" spans="1:15" x14ac:dyDescent="0.2">
      <c r="A311" s="22" t="s">
        <v>10</v>
      </c>
      <c r="B311" s="22" t="s">
        <v>121</v>
      </c>
      <c r="C311" s="23" t="s">
        <v>569</v>
      </c>
      <c r="D311" s="24">
        <v>3.8650000000000002</v>
      </c>
      <c r="E311" s="25">
        <v>17.96551724137931</v>
      </c>
      <c r="F311" s="25">
        <v>0.21513435700575817</v>
      </c>
      <c r="G311" s="25">
        <v>21.753052324666452</v>
      </c>
      <c r="H311" s="25">
        <v>225.94153785176377</v>
      </c>
      <c r="I311" s="25">
        <v>2.094326213492145</v>
      </c>
      <c r="J311" s="26">
        <v>207</v>
      </c>
      <c r="K311" s="26">
        <v>27</v>
      </c>
    </row>
    <row r="312" spans="1:15" x14ac:dyDescent="0.2">
      <c r="A312" s="22" t="s">
        <v>10</v>
      </c>
      <c r="B312" s="22" t="s">
        <v>278</v>
      </c>
      <c r="C312" s="23" t="s">
        <v>760</v>
      </c>
      <c r="D312" s="24">
        <v>4.54</v>
      </c>
      <c r="E312" s="25">
        <v>19.723404255319146</v>
      </c>
      <c r="F312" s="25">
        <v>0.23018338727076595</v>
      </c>
      <c r="G312" s="25">
        <v>23.292193804575582</v>
      </c>
      <c r="H312" s="25">
        <v>287.78796966953371</v>
      </c>
      <c r="I312" s="25">
        <v>1.8851597335805623</v>
      </c>
      <c r="J312" s="26">
        <v>196</v>
      </c>
      <c r="K312" s="26">
        <v>45</v>
      </c>
    </row>
    <row r="313" spans="1:15" x14ac:dyDescent="0.2">
      <c r="A313" s="22" t="s">
        <v>10</v>
      </c>
      <c r="B313" s="22" t="s">
        <v>122</v>
      </c>
      <c r="C313" s="23" t="s">
        <v>510</v>
      </c>
      <c r="D313" s="24">
        <v>11.66</v>
      </c>
      <c r="E313" s="25">
        <v>20.563218390804597</v>
      </c>
      <c r="F313" s="25">
        <v>0.56703186137506989</v>
      </c>
      <c r="G313" s="25">
        <v>28.213553818338891</v>
      </c>
      <c r="H313" s="25">
        <v>506.10126833135155</v>
      </c>
      <c r="I313" s="25">
        <v>1.57281688244881</v>
      </c>
      <c r="J313" s="26">
        <v>37</v>
      </c>
      <c r="K313" s="26">
        <v>31</v>
      </c>
    </row>
    <row r="314" spans="1:15" x14ac:dyDescent="0.2">
      <c r="A314" s="22" t="s">
        <v>10</v>
      </c>
      <c r="B314" s="22" t="s">
        <v>122</v>
      </c>
      <c r="C314" s="23" t="s">
        <v>536</v>
      </c>
      <c r="D314" s="24">
        <v>11.75</v>
      </c>
      <c r="E314" s="25">
        <v>21.494252873563216</v>
      </c>
      <c r="F314" s="25">
        <v>0.54665775401069527</v>
      </c>
      <c r="G314" s="25">
        <v>28.363894791899021</v>
      </c>
      <c r="H314" s="25">
        <v>509.64295151274939</v>
      </c>
      <c r="I314" s="25">
        <v>1.5785767768943442</v>
      </c>
      <c r="J314" s="26">
        <v>36</v>
      </c>
      <c r="K314" s="26">
        <v>50</v>
      </c>
    </row>
    <row r="315" spans="1:15" x14ac:dyDescent="0.2">
      <c r="A315" s="22" t="s">
        <v>10</v>
      </c>
      <c r="B315" s="22" t="s">
        <v>122</v>
      </c>
      <c r="C315" s="23" t="s">
        <v>832</v>
      </c>
      <c r="D315" s="24" t="s">
        <v>8</v>
      </c>
      <c r="E315" s="25">
        <v>18.402298850574716</v>
      </c>
      <c r="F315" s="25" t="s">
        <v>8</v>
      </c>
      <c r="G315" s="25">
        <v>27.0477554389789</v>
      </c>
      <c r="H315" s="25">
        <v>403.11388558594268</v>
      </c>
      <c r="I315" s="25">
        <v>1.814824793800961</v>
      </c>
      <c r="J315" s="26">
        <v>42</v>
      </c>
      <c r="K315" s="26">
        <v>60</v>
      </c>
      <c r="O315" s="22" t="s">
        <v>973</v>
      </c>
    </row>
    <row r="316" spans="1:15" x14ac:dyDescent="0.2">
      <c r="A316" s="22" t="s">
        <v>10</v>
      </c>
      <c r="B316" s="22" t="s">
        <v>123</v>
      </c>
      <c r="C316" s="23" t="s">
        <v>320</v>
      </c>
      <c r="D316" s="24">
        <v>10.76</v>
      </c>
      <c r="E316" s="25">
        <v>25.461538461538467</v>
      </c>
      <c r="F316" s="25">
        <v>0.42259818731117815</v>
      </c>
      <c r="G316" s="25">
        <v>33.696674135119693</v>
      </c>
      <c r="H316" s="25">
        <v>678.8663905325443</v>
      </c>
      <c r="I316" s="25">
        <v>1.6725910482587238</v>
      </c>
      <c r="J316" s="26">
        <v>84</v>
      </c>
      <c r="K316" s="26">
        <v>144</v>
      </c>
      <c r="L316" s="27" t="s">
        <v>917</v>
      </c>
      <c r="O316" s="22" t="s">
        <v>974</v>
      </c>
    </row>
    <row r="317" spans="1:15" x14ac:dyDescent="0.2">
      <c r="A317" s="22" t="s">
        <v>10</v>
      </c>
      <c r="B317" s="22" t="s">
        <v>124</v>
      </c>
      <c r="C317" s="23" t="s">
        <v>692</v>
      </c>
      <c r="D317" s="24">
        <v>11.39</v>
      </c>
      <c r="E317" s="25">
        <v>9.3936170212765955</v>
      </c>
      <c r="F317" s="25">
        <v>1.2125254813137034</v>
      </c>
      <c r="G317" s="25">
        <v>29.917946234238677</v>
      </c>
      <c r="H317" s="25">
        <v>560.18837709370746</v>
      </c>
      <c r="I317" s="25">
        <v>1.5978259162008071</v>
      </c>
      <c r="J317" s="26">
        <v>67</v>
      </c>
      <c r="K317" s="26">
        <v>50</v>
      </c>
      <c r="L317" s="21" t="s">
        <v>935</v>
      </c>
      <c r="O317" s="22" t="s">
        <v>975</v>
      </c>
    </row>
    <row r="318" spans="1:15" x14ac:dyDescent="0.2">
      <c r="A318" s="22" t="s">
        <v>10</v>
      </c>
      <c r="B318" s="22" t="s">
        <v>124</v>
      </c>
      <c r="C318" s="23" t="s">
        <v>752</v>
      </c>
      <c r="D318" s="24">
        <v>11.39</v>
      </c>
      <c r="E318" s="25">
        <v>22.287356321839084</v>
      </c>
      <c r="F318" s="25">
        <v>0.51105208870551821</v>
      </c>
      <c r="G318" s="25">
        <v>29.666560375258094</v>
      </c>
      <c r="H318" s="25">
        <v>634.26628352490422</v>
      </c>
      <c r="I318" s="25">
        <v>1.3875951274087812</v>
      </c>
      <c r="J318" s="26">
        <v>40</v>
      </c>
      <c r="K318" s="26">
        <v>41</v>
      </c>
      <c r="L318" s="21" t="s">
        <v>935</v>
      </c>
      <c r="O318" s="22" t="s">
        <v>976</v>
      </c>
    </row>
    <row r="319" spans="1:15" x14ac:dyDescent="0.2">
      <c r="A319" s="22" t="s">
        <v>10</v>
      </c>
      <c r="B319" s="22" t="s">
        <v>125</v>
      </c>
      <c r="C319" s="23" t="s">
        <v>398</v>
      </c>
      <c r="D319" s="24">
        <v>8.4149999999999991</v>
      </c>
      <c r="E319" s="25">
        <v>13.692307692307692</v>
      </c>
      <c r="F319" s="25">
        <v>0.61457865168539327</v>
      </c>
      <c r="G319" s="25">
        <v>15.202002153431465</v>
      </c>
      <c r="H319" s="25">
        <v>97.400769230769214</v>
      </c>
      <c r="I319" s="25">
        <v>2.372680126636304</v>
      </c>
      <c r="J319" s="26">
        <v>194</v>
      </c>
      <c r="K319" s="26">
        <v>49</v>
      </c>
    </row>
    <row r="320" spans="1:15" x14ac:dyDescent="0.2">
      <c r="A320" s="22" t="s">
        <v>10</v>
      </c>
      <c r="B320" s="22" t="s">
        <v>125</v>
      </c>
      <c r="C320" s="23" t="s">
        <v>422</v>
      </c>
      <c r="D320" s="24">
        <v>8.5299999999999994</v>
      </c>
      <c r="E320" s="25">
        <v>12.023076923076925</v>
      </c>
      <c r="F320" s="25">
        <v>0.70946896992962238</v>
      </c>
      <c r="G320" s="25">
        <v>14.638979887179456</v>
      </c>
      <c r="H320" s="25">
        <v>97.781627218934915</v>
      </c>
      <c r="I320" s="25">
        <v>2.1916155236138941</v>
      </c>
      <c r="J320" s="26">
        <v>199</v>
      </c>
      <c r="K320" s="26">
        <v>52</v>
      </c>
    </row>
    <row r="321" spans="1:12" x14ac:dyDescent="0.2">
      <c r="A321" s="22" t="s">
        <v>10</v>
      </c>
      <c r="B321" s="22" t="s">
        <v>126</v>
      </c>
      <c r="C321" s="23" t="s">
        <v>538</v>
      </c>
      <c r="D321" s="24">
        <v>8</v>
      </c>
      <c r="E321" s="25">
        <v>19.49074074074074</v>
      </c>
      <c r="F321" s="25">
        <v>0.41045130641330169</v>
      </c>
      <c r="G321" s="25">
        <v>20.966607831193212</v>
      </c>
      <c r="H321" s="25">
        <v>197.69234396433473</v>
      </c>
      <c r="I321" s="25">
        <v>2.2236503201477524</v>
      </c>
      <c r="J321" s="26">
        <v>203</v>
      </c>
      <c r="K321" s="26">
        <v>44</v>
      </c>
    </row>
    <row r="322" spans="1:12" x14ac:dyDescent="0.2">
      <c r="A322" s="22" t="s">
        <v>10</v>
      </c>
      <c r="B322" s="22" t="s">
        <v>127</v>
      </c>
      <c r="C322" s="23" t="s">
        <v>506</v>
      </c>
      <c r="D322" s="24">
        <v>9.7899999999999991</v>
      </c>
      <c r="E322" s="25">
        <v>13.981481481481479</v>
      </c>
      <c r="F322" s="25">
        <v>0.70021192052980141</v>
      </c>
      <c r="G322" s="25">
        <v>18.690865063545722</v>
      </c>
      <c r="H322" s="25">
        <v>174.41683813443075</v>
      </c>
      <c r="I322" s="25">
        <v>2.0029513237386851</v>
      </c>
      <c r="J322" s="26">
        <v>188</v>
      </c>
      <c r="K322" s="26">
        <v>52</v>
      </c>
    </row>
    <row r="323" spans="1:12" x14ac:dyDescent="0.2">
      <c r="A323" s="22" t="s">
        <v>10</v>
      </c>
      <c r="B323" s="22" t="s">
        <v>128</v>
      </c>
      <c r="C323" s="23" t="s">
        <v>666</v>
      </c>
      <c r="D323" s="24">
        <v>8.68</v>
      </c>
      <c r="E323" s="25">
        <v>18.758620689655171</v>
      </c>
      <c r="F323" s="25">
        <v>0.46272058823529416</v>
      </c>
      <c r="G323" s="25">
        <v>19.066005711664825</v>
      </c>
      <c r="H323" s="25">
        <v>155.53704667063022</v>
      </c>
      <c r="I323" s="25">
        <v>2.3371446326033216</v>
      </c>
      <c r="J323" s="26">
        <v>182</v>
      </c>
      <c r="K323" s="26">
        <v>58</v>
      </c>
      <c r="L323" s="21" t="s">
        <v>937</v>
      </c>
    </row>
    <row r="324" spans="1:12" x14ac:dyDescent="0.2">
      <c r="A324" s="22" t="s">
        <v>10</v>
      </c>
      <c r="B324" s="22" t="s">
        <v>128</v>
      </c>
      <c r="C324" s="23" t="s">
        <v>858</v>
      </c>
      <c r="D324" s="24">
        <v>8.68</v>
      </c>
      <c r="E324" s="25">
        <v>15.939655172413792</v>
      </c>
      <c r="F324" s="25">
        <v>0.54455381287182258</v>
      </c>
      <c r="G324" s="25">
        <v>18.841534022237759</v>
      </c>
      <c r="H324" s="25">
        <v>142.96113258026162</v>
      </c>
      <c r="I324" s="25">
        <v>2.48321622740248</v>
      </c>
      <c r="J324" s="26">
        <v>192</v>
      </c>
      <c r="K324" s="26">
        <v>49</v>
      </c>
      <c r="L324" s="21" t="s">
        <v>937</v>
      </c>
    </row>
    <row r="325" spans="1:12" x14ac:dyDescent="0.2">
      <c r="A325" s="22" t="s">
        <v>10</v>
      </c>
      <c r="B325" s="22" t="s">
        <v>129</v>
      </c>
      <c r="C325" s="23" t="s">
        <v>429</v>
      </c>
      <c r="D325" s="24">
        <v>8.3699999999999992</v>
      </c>
      <c r="E325" s="25">
        <v>13.629310344827587</v>
      </c>
      <c r="F325" s="25">
        <v>0.61411764705882343</v>
      </c>
      <c r="G325" s="25">
        <v>16.201609478530763</v>
      </c>
      <c r="H325" s="25">
        <v>84.958234244946496</v>
      </c>
      <c r="I325" s="25">
        <v>3.0896610790899466</v>
      </c>
      <c r="J325" s="26">
        <v>90</v>
      </c>
      <c r="K325" s="26">
        <v>135</v>
      </c>
    </row>
    <row r="326" spans="1:12" x14ac:dyDescent="0.2">
      <c r="A326" s="22" t="s">
        <v>10</v>
      </c>
      <c r="B326" s="22" t="s">
        <v>129</v>
      </c>
      <c r="C326" s="23" t="s">
        <v>840</v>
      </c>
      <c r="D326" s="24" t="s">
        <v>8</v>
      </c>
      <c r="E326" s="25">
        <v>16.077586206896555</v>
      </c>
      <c r="F326" s="25" t="s">
        <v>8</v>
      </c>
      <c r="G326" s="25">
        <v>17.786622117847372</v>
      </c>
      <c r="H326" s="25">
        <v>105.456822235434</v>
      </c>
      <c r="I326" s="25">
        <v>2.9999379808430975</v>
      </c>
      <c r="J326" s="26">
        <v>92</v>
      </c>
      <c r="K326" s="26">
        <v>118</v>
      </c>
    </row>
    <row r="327" spans="1:12" x14ac:dyDescent="0.2">
      <c r="A327" s="22" t="s">
        <v>10</v>
      </c>
      <c r="B327" s="22" t="s">
        <v>130</v>
      </c>
      <c r="C327" s="23" t="s">
        <v>324</v>
      </c>
      <c r="D327" s="24">
        <v>7.66</v>
      </c>
      <c r="E327" s="25">
        <v>12.970802919708028</v>
      </c>
      <c r="F327" s="25">
        <v>0.59055711873944861</v>
      </c>
      <c r="G327" s="25">
        <v>14.893123301115926</v>
      </c>
      <c r="H327" s="25">
        <v>77.577068570515223</v>
      </c>
      <c r="I327" s="25">
        <v>2.8591583279616701</v>
      </c>
      <c r="J327" s="26">
        <v>86</v>
      </c>
      <c r="K327" s="26">
        <v>116</v>
      </c>
    </row>
    <row r="328" spans="1:12" x14ac:dyDescent="0.2">
      <c r="A328" s="22" t="s">
        <v>10</v>
      </c>
      <c r="B328" s="22" t="s">
        <v>130</v>
      </c>
      <c r="C328" s="23" t="s">
        <v>697</v>
      </c>
      <c r="D328" s="24">
        <v>8.09</v>
      </c>
      <c r="E328" s="30">
        <v>14.225899823810723</v>
      </c>
      <c r="F328" s="25">
        <v>0.56868107467334283</v>
      </c>
      <c r="G328" s="30">
        <v>16.293784965831353</v>
      </c>
      <c r="H328" s="30">
        <v>89.330708350298565</v>
      </c>
      <c r="I328" s="25">
        <v>2.971961528298622</v>
      </c>
      <c r="J328" s="31">
        <v>89.333333333333329</v>
      </c>
      <c r="K328" s="31">
        <v>123</v>
      </c>
    </row>
    <row r="329" spans="1:12" x14ac:dyDescent="0.2">
      <c r="A329" s="22" t="s">
        <v>10</v>
      </c>
      <c r="B329" s="22" t="s">
        <v>131</v>
      </c>
      <c r="C329" s="23" t="s">
        <v>608</v>
      </c>
      <c r="D329" s="24">
        <v>10.41</v>
      </c>
      <c r="E329" s="25">
        <v>15.715517241379308</v>
      </c>
      <c r="F329" s="25">
        <v>0.66240263302249047</v>
      </c>
      <c r="G329" s="25">
        <v>16.949324640699416</v>
      </c>
      <c r="H329" s="25">
        <v>150.13908293697978</v>
      </c>
      <c r="I329" s="25">
        <v>1.9134232083754286</v>
      </c>
      <c r="J329" s="26">
        <v>133</v>
      </c>
      <c r="K329" s="26">
        <v>104</v>
      </c>
    </row>
    <row r="330" spans="1:12" x14ac:dyDescent="0.2">
      <c r="A330" s="22" t="s">
        <v>10</v>
      </c>
      <c r="B330" s="22" t="s">
        <v>131</v>
      </c>
      <c r="C330" s="23" t="s">
        <v>853</v>
      </c>
      <c r="D330" s="24" t="s">
        <v>8</v>
      </c>
      <c r="E330" s="25">
        <v>16.284615384615385</v>
      </c>
      <c r="F330" s="25" t="s">
        <v>8</v>
      </c>
      <c r="G330" s="25">
        <v>16.133208155090848</v>
      </c>
      <c r="H330" s="25">
        <v>126.77479289940828</v>
      </c>
      <c r="I330" s="25">
        <v>2.0530927278423086</v>
      </c>
      <c r="J330" s="26">
        <v>140</v>
      </c>
      <c r="K330" s="26">
        <v>96</v>
      </c>
    </row>
    <row r="331" spans="1:12" x14ac:dyDescent="0.2">
      <c r="A331" s="28" t="s">
        <v>211</v>
      </c>
      <c r="B331" s="22" t="s">
        <v>239</v>
      </c>
      <c r="C331" s="23" t="s">
        <v>371</v>
      </c>
      <c r="D331" s="24">
        <v>32.35</v>
      </c>
      <c r="E331" s="25">
        <v>36.953846153846158</v>
      </c>
      <c r="F331" s="25">
        <v>0.87541631973355527</v>
      </c>
      <c r="G331" s="25">
        <v>34.292860787139823</v>
      </c>
      <c r="H331" s="25">
        <v>499.84047337278105</v>
      </c>
      <c r="I331" s="25">
        <v>2.3527512548770555</v>
      </c>
      <c r="J331" s="26">
        <v>65</v>
      </c>
      <c r="K331" s="26">
        <v>45</v>
      </c>
    </row>
    <row r="332" spans="1:12" x14ac:dyDescent="0.2">
      <c r="A332" s="22" t="s">
        <v>10</v>
      </c>
      <c r="B332" s="22" t="s">
        <v>279</v>
      </c>
      <c r="C332" s="23" t="s">
        <v>833</v>
      </c>
      <c r="D332" s="24" t="s">
        <v>8</v>
      </c>
      <c r="E332" s="25">
        <v>21.252873563218387</v>
      </c>
      <c r="F332" s="25" t="s">
        <v>8</v>
      </c>
      <c r="G332" s="25">
        <v>23.939203981467259</v>
      </c>
      <c r="H332" s="25">
        <v>328.90434667723611</v>
      </c>
      <c r="I332" s="25">
        <v>1.7424077640077045</v>
      </c>
      <c r="J332" s="26">
        <v>56</v>
      </c>
      <c r="K332" s="26">
        <v>56</v>
      </c>
    </row>
    <row r="333" spans="1:12" x14ac:dyDescent="0.2">
      <c r="A333" s="22" t="s">
        <v>10</v>
      </c>
      <c r="B333" s="22" t="s">
        <v>132</v>
      </c>
      <c r="C333" s="23" t="s">
        <v>374</v>
      </c>
      <c r="D333" s="24">
        <v>8.23</v>
      </c>
      <c r="E333" s="25">
        <v>13.228915662650603</v>
      </c>
      <c r="F333" s="25">
        <v>0.62212204007285976</v>
      </c>
      <c r="G333" s="25">
        <v>12.630699383471132</v>
      </c>
      <c r="H333" s="25">
        <v>69.29144287995355</v>
      </c>
      <c r="I333" s="25">
        <v>2.3023703979149261</v>
      </c>
      <c r="J333" s="26">
        <v>140</v>
      </c>
      <c r="K333" s="26">
        <v>62</v>
      </c>
    </row>
    <row r="334" spans="1:12" x14ac:dyDescent="0.2">
      <c r="A334" s="22" t="s">
        <v>10</v>
      </c>
      <c r="B334" s="22" t="s">
        <v>132</v>
      </c>
      <c r="C334" s="23" t="s">
        <v>438</v>
      </c>
      <c r="D334" s="24">
        <v>8.875</v>
      </c>
      <c r="E334" s="25">
        <v>12.015384615384615</v>
      </c>
      <c r="F334" s="25">
        <v>0.73863636363636365</v>
      </c>
      <c r="G334" s="25">
        <v>13.995051523888556</v>
      </c>
      <c r="H334" s="25">
        <v>93.148372781065092</v>
      </c>
      <c r="I334" s="25">
        <v>2.1026826482159384</v>
      </c>
      <c r="J334" s="26">
        <v>106</v>
      </c>
      <c r="K334" s="26">
        <v>67</v>
      </c>
    </row>
    <row r="335" spans="1:12" x14ac:dyDescent="0.2">
      <c r="A335" s="22" t="s">
        <v>10</v>
      </c>
      <c r="B335" s="22" t="s">
        <v>132</v>
      </c>
      <c r="C335" s="23" t="s">
        <v>861</v>
      </c>
      <c r="D335" s="24" t="s">
        <v>8</v>
      </c>
      <c r="E335" s="25">
        <v>12.546153846153848</v>
      </c>
      <c r="F335" s="25" t="s">
        <v>8</v>
      </c>
      <c r="G335" s="25">
        <v>13.650301172753011</v>
      </c>
      <c r="H335" s="25">
        <v>93.87739644970415</v>
      </c>
      <c r="I335" s="25">
        <v>1.9848305252765608</v>
      </c>
      <c r="J335" s="26">
        <v>92</v>
      </c>
      <c r="K335" s="26">
        <v>82</v>
      </c>
    </row>
    <row r="336" spans="1:12" x14ac:dyDescent="0.2">
      <c r="A336" s="22" t="s">
        <v>10</v>
      </c>
      <c r="B336" s="22" t="s">
        <v>133</v>
      </c>
      <c r="C336" s="23" t="s">
        <v>749</v>
      </c>
      <c r="D336" s="24">
        <v>7.76</v>
      </c>
      <c r="E336" s="25">
        <v>13.620370370370368</v>
      </c>
      <c r="F336" s="25">
        <v>0.56973487423521418</v>
      </c>
      <c r="G336" s="25">
        <v>19.169985533448838</v>
      </c>
      <c r="H336" s="25">
        <v>148.50647290809326</v>
      </c>
      <c r="I336" s="25">
        <v>2.4745611296018497</v>
      </c>
      <c r="J336" s="26">
        <v>177</v>
      </c>
      <c r="K336" s="26">
        <v>56</v>
      </c>
      <c r="L336" s="21" t="s">
        <v>936</v>
      </c>
    </row>
    <row r="337" spans="1:12" ht="15" x14ac:dyDescent="0.25">
      <c r="A337" s="22" t="s">
        <v>10</v>
      </c>
      <c r="B337" s="8" t="s">
        <v>134</v>
      </c>
      <c r="C337" s="23" t="s">
        <v>607</v>
      </c>
      <c r="D337" s="24">
        <v>8.3949999999999996</v>
      </c>
      <c r="E337" s="25">
        <v>12.961538461538463</v>
      </c>
      <c r="F337" s="25">
        <v>0.64768545994065274</v>
      </c>
      <c r="G337" s="25">
        <v>17.150815927978499</v>
      </c>
      <c r="H337" s="25">
        <v>135.90349112426037</v>
      </c>
      <c r="I337" s="25">
        <v>2.1644071433488854</v>
      </c>
      <c r="J337" s="26">
        <v>184</v>
      </c>
      <c r="K337" s="26">
        <v>48</v>
      </c>
    </row>
    <row r="338" spans="1:12" ht="15" x14ac:dyDescent="0.25">
      <c r="A338" s="22" t="s">
        <v>10</v>
      </c>
      <c r="B338" s="8" t="s">
        <v>134</v>
      </c>
      <c r="C338" s="23" t="s">
        <v>698</v>
      </c>
      <c r="D338" s="24">
        <v>8.6300000000000008</v>
      </c>
      <c r="E338" s="25">
        <v>13.730769230769234</v>
      </c>
      <c r="F338" s="25">
        <v>0.62851540616246493</v>
      </c>
      <c r="G338" s="25">
        <v>16.591998165692928</v>
      </c>
      <c r="H338" s="25">
        <v>123.44056213017751</v>
      </c>
      <c r="I338" s="25">
        <v>2.2301778149716984</v>
      </c>
      <c r="J338" s="26">
        <v>160</v>
      </c>
      <c r="K338" s="26">
        <v>54</v>
      </c>
    </row>
    <row r="339" spans="1:12" x14ac:dyDescent="0.2">
      <c r="A339" s="22" t="s">
        <v>10</v>
      </c>
      <c r="B339" s="22" t="s">
        <v>135</v>
      </c>
      <c r="C339" s="23" t="s">
        <v>649</v>
      </c>
      <c r="D339" s="24" t="s">
        <v>8</v>
      </c>
      <c r="E339" s="25">
        <v>10.728915662650603</v>
      </c>
      <c r="F339" s="25" t="s">
        <v>8</v>
      </c>
      <c r="G339" s="25">
        <v>11.573509759601674</v>
      </c>
      <c r="H339" s="25">
        <v>72.886503846712145</v>
      </c>
      <c r="I339" s="25">
        <v>1.8377356723996219</v>
      </c>
      <c r="J339" s="26">
        <v>160</v>
      </c>
      <c r="K339" s="26">
        <v>57</v>
      </c>
    </row>
    <row r="340" spans="1:12" x14ac:dyDescent="0.2">
      <c r="A340" s="22" t="s">
        <v>10</v>
      </c>
      <c r="B340" s="22" t="s">
        <v>135</v>
      </c>
      <c r="C340" s="23" t="s">
        <v>705</v>
      </c>
      <c r="D340" s="24">
        <v>5.98</v>
      </c>
      <c r="E340" s="30">
        <v>12.351021245936169</v>
      </c>
      <c r="F340" s="25">
        <v>0.48417048930003159</v>
      </c>
      <c r="G340" s="30">
        <v>15.815347468187083</v>
      </c>
      <c r="H340" s="30">
        <v>114.25370829214282</v>
      </c>
      <c r="I340" s="25">
        <v>2.1892087292250504</v>
      </c>
      <c r="J340" s="31">
        <v>166.57142857142858</v>
      </c>
      <c r="K340" s="31">
        <v>53.857142857142854</v>
      </c>
    </row>
    <row r="341" spans="1:12" x14ac:dyDescent="0.2">
      <c r="A341" s="22" t="s">
        <v>10</v>
      </c>
      <c r="B341" s="22" t="s">
        <v>135</v>
      </c>
      <c r="C341" s="23" t="s">
        <v>854</v>
      </c>
      <c r="D341" s="24" t="s">
        <v>8</v>
      </c>
      <c r="E341" s="25">
        <v>13.258620689655173</v>
      </c>
      <c r="F341" s="25" t="s">
        <v>8</v>
      </c>
      <c r="G341" s="25">
        <v>16.052802151051246</v>
      </c>
      <c r="H341" s="25">
        <v>115.9793772294887</v>
      </c>
      <c r="I341" s="25">
        <v>2.2218817091153951</v>
      </c>
      <c r="J341" s="26">
        <v>158</v>
      </c>
      <c r="K341" s="26">
        <v>54</v>
      </c>
    </row>
    <row r="342" spans="1:12" x14ac:dyDescent="0.2">
      <c r="A342" s="22" t="s">
        <v>10</v>
      </c>
      <c r="B342" s="22" t="s">
        <v>136</v>
      </c>
      <c r="C342" s="23" t="s">
        <v>651</v>
      </c>
      <c r="D342" s="24">
        <v>7.76</v>
      </c>
      <c r="E342" s="25">
        <v>10.5</v>
      </c>
      <c r="F342" s="25">
        <v>0.73904761904761906</v>
      </c>
      <c r="G342" s="25">
        <v>14.680429245288838</v>
      </c>
      <c r="H342" s="25">
        <v>98.634408284023664</v>
      </c>
      <c r="I342" s="25">
        <v>2.1849880439830236</v>
      </c>
      <c r="J342" s="26">
        <v>175</v>
      </c>
      <c r="K342" s="26">
        <v>52</v>
      </c>
      <c r="L342" s="21" t="s">
        <v>936</v>
      </c>
    </row>
    <row r="343" spans="1:12" x14ac:dyDescent="0.2">
      <c r="A343" s="22" t="s">
        <v>10</v>
      </c>
      <c r="B343" s="22" t="s">
        <v>136</v>
      </c>
      <c r="C343" s="23" t="s">
        <v>747</v>
      </c>
      <c r="D343" s="24">
        <v>7.76</v>
      </c>
      <c r="E343" s="25">
        <v>11.656934306569344</v>
      </c>
      <c r="F343" s="25">
        <v>0.66569818409517845</v>
      </c>
      <c r="G343" s="25">
        <v>15.487891494247549</v>
      </c>
      <c r="H343" s="25">
        <v>104.42514252224413</v>
      </c>
      <c r="I343" s="25">
        <v>2.2970979703138887</v>
      </c>
      <c r="J343" s="26">
        <v>152</v>
      </c>
      <c r="K343" s="26">
        <v>56</v>
      </c>
      <c r="L343" s="21" t="s">
        <v>936</v>
      </c>
    </row>
    <row r="344" spans="1:12" ht="15" x14ac:dyDescent="0.25">
      <c r="A344" s="22" t="s">
        <v>10</v>
      </c>
      <c r="B344" s="8" t="s">
        <v>280</v>
      </c>
      <c r="C344" s="23" t="s">
        <v>720</v>
      </c>
      <c r="D344" s="24">
        <v>8</v>
      </c>
      <c r="E344" s="25">
        <v>8.9457831325301207</v>
      </c>
      <c r="F344" s="25">
        <v>0.89427609427609422</v>
      </c>
      <c r="G344" s="25">
        <v>9.6183970678928628</v>
      </c>
      <c r="H344" s="25">
        <v>30.637882856728119</v>
      </c>
      <c r="I344" s="25">
        <v>3.0195807780932853</v>
      </c>
      <c r="J344" s="26">
        <v>120</v>
      </c>
      <c r="K344" s="26">
        <v>84</v>
      </c>
      <c r="L344" s="21" t="s">
        <v>941</v>
      </c>
    </row>
    <row r="345" spans="1:12" ht="15" x14ac:dyDescent="0.25">
      <c r="A345" s="22" t="s">
        <v>10</v>
      </c>
      <c r="B345" s="8" t="s">
        <v>280</v>
      </c>
      <c r="C345" s="23" t="s">
        <v>886</v>
      </c>
      <c r="D345" s="24">
        <v>8</v>
      </c>
      <c r="E345" s="25">
        <v>9.0421686746987966</v>
      </c>
      <c r="F345" s="25">
        <v>0.88474350433044624</v>
      </c>
      <c r="G345" s="25">
        <v>8.9777651759929569</v>
      </c>
      <c r="H345" s="25">
        <v>26.123022209319206</v>
      </c>
      <c r="I345" s="25">
        <v>3.0854112862377101</v>
      </c>
      <c r="J345" s="26">
        <v>114</v>
      </c>
      <c r="K345" s="26">
        <v>98</v>
      </c>
      <c r="L345" s="21" t="s">
        <v>941</v>
      </c>
    </row>
    <row r="346" spans="1:12" ht="15" x14ac:dyDescent="0.25">
      <c r="A346" s="22" t="s">
        <v>10</v>
      </c>
      <c r="B346" s="8" t="s">
        <v>281</v>
      </c>
      <c r="C346" s="23" t="s">
        <v>723</v>
      </c>
      <c r="D346" s="24">
        <v>8</v>
      </c>
      <c r="E346" s="25">
        <v>9.4216867469879517</v>
      </c>
      <c r="F346" s="25">
        <v>0.84910485933503832</v>
      </c>
      <c r="G346" s="25">
        <v>9.7921597191509591</v>
      </c>
      <c r="H346" s="25">
        <v>39.040481201916108</v>
      </c>
      <c r="I346" s="25">
        <v>2.4560760783003999</v>
      </c>
      <c r="J346" s="26">
        <v>130</v>
      </c>
      <c r="K346" s="26">
        <v>104</v>
      </c>
      <c r="L346" s="21" t="s">
        <v>941</v>
      </c>
    </row>
    <row r="347" spans="1:12" x14ac:dyDescent="0.2">
      <c r="A347" s="22" t="s">
        <v>10</v>
      </c>
      <c r="B347" s="22" t="s">
        <v>137</v>
      </c>
      <c r="C347" s="23" t="s">
        <v>432</v>
      </c>
      <c r="D347" s="24">
        <v>6.9866666666666672</v>
      </c>
      <c r="E347" s="25">
        <v>9.7168674698795208</v>
      </c>
      <c r="F347" s="25">
        <v>0.71902459185782175</v>
      </c>
      <c r="G347" s="25">
        <v>10.733349078598673</v>
      </c>
      <c r="H347" s="25">
        <v>40.451317317462625</v>
      </c>
      <c r="I347" s="25">
        <v>2.8479859268593382</v>
      </c>
      <c r="J347" s="26">
        <v>107</v>
      </c>
      <c r="K347" s="26">
        <v>129</v>
      </c>
    </row>
    <row r="348" spans="1:12" x14ac:dyDescent="0.2">
      <c r="A348" s="22" t="s">
        <v>10</v>
      </c>
      <c r="B348" s="22" t="s">
        <v>137</v>
      </c>
      <c r="C348" s="23" t="s">
        <v>463</v>
      </c>
      <c r="D348" s="24">
        <v>7.13</v>
      </c>
      <c r="E348" s="25">
        <v>11.561538461538465</v>
      </c>
      <c r="F348" s="25">
        <v>0.6166999334664004</v>
      </c>
      <c r="G348" s="25">
        <v>11.986450302956397</v>
      </c>
      <c r="H348" s="25">
        <v>48.73721893491124</v>
      </c>
      <c r="I348" s="25">
        <v>2.9479521812092324</v>
      </c>
      <c r="J348" s="26">
        <v>106</v>
      </c>
      <c r="K348" s="26">
        <v>128</v>
      </c>
    </row>
    <row r="349" spans="1:12" x14ac:dyDescent="0.2">
      <c r="A349" s="22" t="s">
        <v>10</v>
      </c>
      <c r="B349" s="22" t="s">
        <v>137</v>
      </c>
      <c r="C349" s="23" t="s">
        <v>469</v>
      </c>
      <c r="D349" s="24">
        <v>7.26</v>
      </c>
      <c r="E349" s="25">
        <v>9.740963855421688</v>
      </c>
      <c r="F349" s="25">
        <v>0.74530612244897942</v>
      </c>
      <c r="G349" s="25">
        <v>11.457743136424574</v>
      </c>
      <c r="H349" s="25">
        <v>44.65098345187981</v>
      </c>
      <c r="I349" s="25">
        <v>2.9401340716664</v>
      </c>
      <c r="J349" s="26">
        <v>91</v>
      </c>
      <c r="K349" s="26">
        <v>136</v>
      </c>
    </row>
    <row r="350" spans="1:12" x14ac:dyDescent="0.2">
      <c r="A350" s="22" t="s">
        <v>10</v>
      </c>
      <c r="B350" s="22" t="s">
        <v>137</v>
      </c>
      <c r="C350" s="23" t="s">
        <v>523</v>
      </c>
      <c r="D350" s="24">
        <v>6.54</v>
      </c>
      <c r="E350" s="25">
        <v>9.3390804597701162</v>
      </c>
      <c r="F350" s="25">
        <v>0.70028307692307679</v>
      </c>
      <c r="G350" s="25">
        <v>11.983884264967188</v>
      </c>
      <c r="H350" s="25">
        <v>43.944956401109792</v>
      </c>
      <c r="I350" s="25">
        <v>3.2680310515110973</v>
      </c>
      <c r="J350" s="26">
        <v>111</v>
      </c>
      <c r="K350" s="26">
        <v>114</v>
      </c>
    </row>
    <row r="351" spans="1:12" x14ac:dyDescent="0.2">
      <c r="A351" s="22" t="s">
        <v>10</v>
      </c>
      <c r="B351" s="22" t="s">
        <v>137</v>
      </c>
      <c r="C351" s="23" t="s">
        <v>602</v>
      </c>
      <c r="D351" s="24" t="s">
        <v>8</v>
      </c>
      <c r="E351" s="25">
        <v>10.475903614457833</v>
      </c>
      <c r="F351" s="25" t="s">
        <v>8</v>
      </c>
      <c r="G351" s="25">
        <v>11.131032139514978</v>
      </c>
      <c r="H351" s="25">
        <v>39.192934388155024</v>
      </c>
      <c r="I351" s="25">
        <v>3.1612809406881435</v>
      </c>
      <c r="J351" s="26">
        <v>93</v>
      </c>
      <c r="K351" s="26">
        <v>131</v>
      </c>
    </row>
    <row r="352" spans="1:12" x14ac:dyDescent="0.2">
      <c r="A352" s="22" t="s">
        <v>10</v>
      </c>
      <c r="B352" s="22" t="s">
        <v>138</v>
      </c>
      <c r="C352" s="23" t="s">
        <v>356</v>
      </c>
      <c r="D352" s="24">
        <v>2.9833333333333329</v>
      </c>
      <c r="E352" s="25">
        <v>6.4156626506024104</v>
      </c>
      <c r="F352" s="25">
        <v>0.4650078247261345</v>
      </c>
      <c r="G352" s="25">
        <v>8.0271549883582995</v>
      </c>
      <c r="H352" s="25">
        <v>34.202768906953111</v>
      </c>
      <c r="I352" s="25">
        <v>1.8839181524284849</v>
      </c>
      <c r="J352" s="26">
        <v>114</v>
      </c>
      <c r="K352" s="26">
        <v>51</v>
      </c>
    </row>
    <row r="353" spans="1:12" x14ac:dyDescent="0.2">
      <c r="A353" s="22" t="s">
        <v>10</v>
      </c>
      <c r="B353" s="22" t="s">
        <v>138</v>
      </c>
      <c r="C353" s="23" t="s">
        <v>473</v>
      </c>
      <c r="D353" s="24">
        <v>2.85</v>
      </c>
      <c r="E353" s="25">
        <v>6.6566265060240983</v>
      </c>
      <c r="F353" s="25">
        <v>0.4281447963800904</v>
      </c>
      <c r="G353" s="25">
        <v>8.6355367916652064</v>
      </c>
      <c r="H353" s="25">
        <v>35.67337421977065</v>
      </c>
      <c r="I353" s="25">
        <v>2.090424505985597</v>
      </c>
      <c r="J353" s="26">
        <v>110</v>
      </c>
      <c r="K353" s="26">
        <v>52</v>
      </c>
    </row>
    <row r="354" spans="1:12" x14ac:dyDescent="0.2">
      <c r="A354" s="22" t="s">
        <v>10</v>
      </c>
      <c r="B354" s="22" t="s">
        <v>138</v>
      </c>
      <c r="C354" s="23" t="s">
        <v>478</v>
      </c>
      <c r="D354" s="24">
        <v>3.3</v>
      </c>
      <c r="E354" s="25">
        <v>5.8192771084337362</v>
      </c>
      <c r="F354" s="25">
        <v>0.56708074534161479</v>
      </c>
      <c r="G354" s="25">
        <v>8.6734691778373794</v>
      </c>
      <c r="H354" s="25">
        <v>37.177493104949924</v>
      </c>
      <c r="I354" s="25">
        <v>2.0235110357368016</v>
      </c>
      <c r="J354" s="26">
        <v>103</v>
      </c>
      <c r="K354" s="26">
        <v>52</v>
      </c>
    </row>
    <row r="355" spans="1:12" x14ac:dyDescent="0.2">
      <c r="A355" s="22" t="s">
        <v>10</v>
      </c>
      <c r="B355" s="22" t="s">
        <v>139</v>
      </c>
      <c r="C355" s="23" t="s">
        <v>336</v>
      </c>
      <c r="D355" s="24">
        <v>8.0399999999999991</v>
      </c>
      <c r="E355" s="25">
        <v>14.231481481481479</v>
      </c>
      <c r="F355" s="25">
        <v>0.56494469746258946</v>
      </c>
      <c r="G355" s="25">
        <v>17.673104869036766</v>
      </c>
      <c r="H355" s="25">
        <v>121.28476508916323</v>
      </c>
      <c r="I355" s="25">
        <v>2.5752503662133774</v>
      </c>
      <c r="J355" s="26">
        <v>44</v>
      </c>
      <c r="K355" s="26">
        <v>24</v>
      </c>
    </row>
    <row r="356" spans="1:12" x14ac:dyDescent="0.2">
      <c r="A356" s="22" t="s">
        <v>10</v>
      </c>
      <c r="B356" s="22" t="s">
        <v>139</v>
      </c>
      <c r="C356" s="23" t="s">
        <v>903</v>
      </c>
      <c r="D356" s="24" t="s">
        <v>8</v>
      </c>
      <c r="E356" s="25">
        <v>15.129310344827584</v>
      </c>
      <c r="F356" s="25" t="s">
        <v>8</v>
      </c>
      <c r="G356" s="25">
        <v>18.261275942717006</v>
      </c>
      <c r="H356" s="25">
        <v>123.41724881093936</v>
      </c>
      <c r="I356" s="25">
        <v>2.7020064234854071</v>
      </c>
      <c r="J356" s="26">
        <v>39</v>
      </c>
      <c r="K356" s="26">
        <v>22</v>
      </c>
    </row>
    <row r="357" spans="1:12" x14ac:dyDescent="0.2">
      <c r="A357" s="22" t="s">
        <v>10</v>
      </c>
      <c r="B357" s="22" t="s">
        <v>140</v>
      </c>
      <c r="C357" s="23" t="s">
        <v>689</v>
      </c>
      <c r="D357" s="24">
        <v>8.0399999999999991</v>
      </c>
      <c r="E357" s="25">
        <v>13.879310344827584</v>
      </c>
      <c r="F357" s="25">
        <v>0.57927950310559007</v>
      </c>
      <c r="G357" s="25">
        <v>16.976456988727278</v>
      </c>
      <c r="H357" s="25">
        <v>104.55566290130797</v>
      </c>
      <c r="I357" s="25">
        <v>2.7564273793772864</v>
      </c>
      <c r="J357" s="26">
        <v>44</v>
      </c>
      <c r="K357" s="26">
        <v>23</v>
      </c>
      <c r="L357" s="21" t="s">
        <v>942</v>
      </c>
    </row>
    <row r="358" spans="1:12" x14ac:dyDescent="0.2">
      <c r="A358" s="22" t="s">
        <v>10</v>
      </c>
      <c r="B358" s="22" t="s">
        <v>141</v>
      </c>
      <c r="C358" s="23" t="s">
        <v>503</v>
      </c>
      <c r="D358" s="24">
        <v>8.49</v>
      </c>
      <c r="E358" s="25">
        <v>12.268518518518515</v>
      </c>
      <c r="F358" s="25">
        <v>0.69201509433962283</v>
      </c>
      <c r="G358" s="25">
        <v>17.821206195875011</v>
      </c>
      <c r="H358" s="25">
        <v>196.10189471879286</v>
      </c>
      <c r="I358" s="25">
        <v>1.6195426909633934</v>
      </c>
      <c r="J358" s="26">
        <v>163</v>
      </c>
      <c r="K358" s="26">
        <v>60</v>
      </c>
    </row>
    <row r="359" spans="1:12" x14ac:dyDescent="0.2">
      <c r="A359" s="22" t="s">
        <v>10</v>
      </c>
      <c r="B359" s="22" t="s">
        <v>141</v>
      </c>
      <c r="C359" s="23" t="s">
        <v>505</v>
      </c>
      <c r="D359" s="24">
        <v>7.71</v>
      </c>
      <c r="E359" s="25">
        <v>7.6296296296296306</v>
      </c>
      <c r="F359" s="25">
        <v>1.0105339805825242</v>
      </c>
      <c r="G359" s="25">
        <v>17.955118708927323</v>
      </c>
      <c r="H359" s="25">
        <v>187.96690672153636</v>
      </c>
      <c r="I359" s="25">
        <v>1.7151225897932727</v>
      </c>
      <c r="J359" s="26">
        <v>223</v>
      </c>
      <c r="K359" s="26">
        <v>19</v>
      </c>
    </row>
    <row r="360" spans="1:12" x14ac:dyDescent="0.2">
      <c r="A360" s="22" t="s">
        <v>10</v>
      </c>
      <c r="B360" s="22" t="s">
        <v>141</v>
      </c>
      <c r="C360" s="23" t="s">
        <v>653</v>
      </c>
      <c r="D360" s="24" t="s">
        <v>8</v>
      </c>
      <c r="E360" s="25">
        <v>12.192307692307692</v>
      </c>
      <c r="F360" s="25" t="s">
        <v>8</v>
      </c>
      <c r="G360" s="25">
        <v>15.695710201283003</v>
      </c>
      <c r="H360" s="25">
        <v>158.62473372781065</v>
      </c>
      <c r="I360" s="25">
        <v>1.5530700221403582</v>
      </c>
      <c r="J360" s="26">
        <v>142</v>
      </c>
      <c r="K360" s="26">
        <v>66</v>
      </c>
    </row>
    <row r="361" spans="1:12" x14ac:dyDescent="0.2">
      <c r="A361" s="22" t="s">
        <v>10</v>
      </c>
      <c r="B361" s="22" t="s">
        <v>141</v>
      </c>
      <c r="C361" s="23" t="s">
        <v>797</v>
      </c>
      <c r="D361" s="24" t="s">
        <v>8</v>
      </c>
      <c r="E361" s="25">
        <v>11.160583941605839</v>
      </c>
      <c r="F361" s="25" t="s">
        <v>8</v>
      </c>
      <c r="G361" s="25">
        <v>15.328816333765351</v>
      </c>
      <c r="H361" s="25">
        <v>112.38675475518141</v>
      </c>
      <c r="I361" s="25">
        <v>2.0907500239344565</v>
      </c>
      <c r="J361" s="26">
        <v>169</v>
      </c>
      <c r="K361" s="26">
        <v>41</v>
      </c>
    </row>
    <row r="362" spans="1:12" x14ac:dyDescent="0.2">
      <c r="A362" s="22" t="s">
        <v>10</v>
      </c>
      <c r="B362" s="22" t="s">
        <v>141</v>
      </c>
      <c r="C362" s="23" t="s">
        <v>798</v>
      </c>
      <c r="D362" s="24" t="s">
        <v>8</v>
      </c>
      <c r="E362" s="25">
        <v>11.160583941605839</v>
      </c>
      <c r="F362" s="25" t="s">
        <v>8</v>
      </c>
      <c r="G362" s="25">
        <v>14.3472133515794</v>
      </c>
      <c r="H362" s="25">
        <v>124.84596941765678</v>
      </c>
      <c r="I362" s="25">
        <v>1.6487719380600701</v>
      </c>
      <c r="J362" s="26">
        <v>169</v>
      </c>
      <c r="K362" s="26">
        <v>60</v>
      </c>
    </row>
    <row r="363" spans="1:12" x14ac:dyDescent="0.2">
      <c r="A363" s="22" t="s">
        <v>10</v>
      </c>
      <c r="B363" s="22" t="s">
        <v>141</v>
      </c>
      <c r="C363" s="23" t="s">
        <v>904</v>
      </c>
      <c r="D363" s="24" t="s">
        <v>8</v>
      </c>
      <c r="E363" s="25">
        <v>9.8384615384615355</v>
      </c>
      <c r="F363" s="25" t="s">
        <v>8</v>
      </c>
      <c r="G363" s="25">
        <v>17.804046644107615</v>
      </c>
      <c r="H363" s="25">
        <v>98.258343195266292</v>
      </c>
      <c r="I363" s="25">
        <v>3.2260270893803416</v>
      </c>
      <c r="J363" s="26">
        <v>203</v>
      </c>
      <c r="K363" s="26">
        <v>32</v>
      </c>
    </row>
    <row r="364" spans="1:12" x14ac:dyDescent="0.2">
      <c r="A364" s="28" t="s">
        <v>211</v>
      </c>
      <c r="B364" s="22" t="s">
        <v>228</v>
      </c>
      <c r="C364" s="23" t="s">
        <v>546</v>
      </c>
      <c r="D364" s="24">
        <v>96.09</v>
      </c>
      <c r="E364" s="25">
        <v>48.416666666666657</v>
      </c>
      <c r="F364" s="25">
        <v>1.9846471600688473</v>
      </c>
      <c r="G364" s="25">
        <v>52.829787563286303</v>
      </c>
      <c r="H364" s="25">
        <v>1029.2469135802469</v>
      </c>
      <c r="I364" s="25">
        <v>2.7116782349858912</v>
      </c>
      <c r="J364" s="26">
        <v>64</v>
      </c>
      <c r="K364" s="26">
        <v>42</v>
      </c>
    </row>
    <row r="365" spans="1:12" x14ac:dyDescent="0.2">
      <c r="A365" s="28" t="s">
        <v>211</v>
      </c>
      <c r="B365" s="22" t="s">
        <v>228</v>
      </c>
      <c r="C365" s="23" t="s">
        <v>765</v>
      </c>
      <c r="D365" s="24" t="s">
        <v>8</v>
      </c>
      <c r="E365" s="25">
        <v>50.083333333333336</v>
      </c>
      <c r="F365" s="25" t="s">
        <v>8</v>
      </c>
      <c r="G365" s="25">
        <v>52.155986782389988</v>
      </c>
      <c r="H365" s="25">
        <v>1091.0833333333333</v>
      </c>
      <c r="I365" s="25">
        <v>2.4931614975130274</v>
      </c>
      <c r="J365" s="26">
        <v>69</v>
      </c>
      <c r="K365" s="26">
        <v>50</v>
      </c>
    </row>
    <row r="366" spans="1:12" x14ac:dyDescent="0.2">
      <c r="A366" s="28" t="s">
        <v>211</v>
      </c>
      <c r="B366" s="21" t="s">
        <v>229</v>
      </c>
      <c r="C366" s="23" t="s">
        <v>369</v>
      </c>
      <c r="D366" s="24">
        <v>70.61</v>
      </c>
      <c r="E366" s="25">
        <v>45.916666666666671</v>
      </c>
      <c r="F366" s="25">
        <v>1.5377858439201451</v>
      </c>
      <c r="G366" s="25">
        <v>50.385550971638594</v>
      </c>
      <c r="H366" s="25">
        <v>1021.3618827160494</v>
      </c>
      <c r="I366" s="25">
        <v>2.4856065119295043</v>
      </c>
      <c r="J366" s="26">
        <v>89</v>
      </c>
      <c r="K366" s="26">
        <v>51</v>
      </c>
    </row>
    <row r="367" spans="1:12" x14ac:dyDescent="0.2">
      <c r="A367" s="28" t="s">
        <v>211</v>
      </c>
      <c r="B367" s="21" t="s">
        <v>229</v>
      </c>
      <c r="C367" s="23" t="s">
        <v>764</v>
      </c>
      <c r="D367" s="24">
        <v>68.150000000000006</v>
      </c>
      <c r="E367" s="25">
        <v>46.972222222222221</v>
      </c>
      <c r="F367" s="25">
        <v>1.4508574807806034</v>
      </c>
      <c r="G367" s="25">
        <v>51.806658523379127</v>
      </c>
      <c r="H367" s="25">
        <v>1144.7037037037037</v>
      </c>
      <c r="I367" s="25">
        <v>2.3446502869468504</v>
      </c>
      <c r="J367" s="26">
        <v>88</v>
      </c>
      <c r="K367" s="26">
        <v>67</v>
      </c>
      <c r="L367" s="21" t="s">
        <v>953</v>
      </c>
    </row>
    <row r="368" spans="1:12" x14ac:dyDescent="0.2">
      <c r="A368" s="22" t="s">
        <v>211</v>
      </c>
      <c r="B368" s="22" t="s">
        <v>282</v>
      </c>
      <c r="C368" s="23" t="s">
        <v>767</v>
      </c>
      <c r="D368" s="24">
        <v>32.68</v>
      </c>
      <c r="E368" s="25">
        <v>47.388888888888886</v>
      </c>
      <c r="F368" s="25">
        <v>0.68961313012895664</v>
      </c>
      <c r="G368" s="25">
        <v>47.440453390322347</v>
      </c>
      <c r="H368" s="25">
        <v>888.10108024691363</v>
      </c>
      <c r="I368" s="25">
        <v>2.5341671887772352</v>
      </c>
      <c r="J368" s="26">
        <v>70</v>
      </c>
      <c r="K368" s="26">
        <v>55</v>
      </c>
    </row>
    <row r="369" spans="1:12" x14ac:dyDescent="0.2">
      <c r="A369" s="22" t="s">
        <v>211</v>
      </c>
      <c r="B369" s="22" t="s">
        <v>283</v>
      </c>
      <c r="C369" s="23" t="s">
        <v>776</v>
      </c>
      <c r="D369" s="24">
        <v>61.8</v>
      </c>
      <c r="E369" s="25">
        <v>39.80555555555555</v>
      </c>
      <c r="F369" s="25">
        <v>1.5525471039776693</v>
      </c>
      <c r="G369" s="25">
        <v>47.11313370752157</v>
      </c>
      <c r="H369" s="25">
        <v>779.21527777777783</v>
      </c>
      <c r="I369" s="25">
        <v>2.8485675666844665</v>
      </c>
      <c r="J369" s="26">
        <v>108</v>
      </c>
      <c r="K369" s="26">
        <v>54</v>
      </c>
      <c r="L369" s="21" t="s">
        <v>963</v>
      </c>
    </row>
    <row r="370" spans="1:12" x14ac:dyDescent="0.2">
      <c r="A370" s="22" t="s">
        <v>211</v>
      </c>
      <c r="B370" s="22" t="s">
        <v>284</v>
      </c>
      <c r="C370" s="23" t="s">
        <v>777</v>
      </c>
      <c r="D370" s="24">
        <v>64.959999999999994</v>
      </c>
      <c r="E370" s="25">
        <v>42.222222222222207</v>
      </c>
      <c r="F370" s="25">
        <v>1.5385263157894742</v>
      </c>
      <c r="G370" s="25">
        <v>47.986148645699494</v>
      </c>
      <c r="H370" s="25">
        <v>976.30748456790116</v>
      </c>
      <c r="I370" s="25">
        <v>2.3585504548972027</v>
      </c>
      <c r="J370" s="26">
        <v>116</v>
      </c>
      <c r="K370" s="26">
        <v>52</v>
      </c>
      <c r="L370" s="21" t="s">
        <v>965</v>
      </c>
    </row>
    <row r="371" spans="1:12" x14ac:dyDescent="0.2">
      <c r="A371" s="22" t="s">
        <v>211</v>
      </c>
      <c r="B371" s="22" t="s">
        <v>285</v>
      </c>
      <c r="C371" s="23" t="s">
        <v>778</v>
      </c>
      <c r="D371" s="24">
        <v>60.4</v>
      </c>
      <c r="E371" s="30">
        <v>45.829365079365083</v>
      </c>
      <c r="F371" s="25">
        <v>1.3179322885098275</v>
      </c>
      <c r="G371" s="30">
        <v>49.959674226319628</v>
      </c>
      <c r="H371" s="30">
        <v>990.00281084656092</v>
      </c>
      <c r="I371" s="25">
        <v>2.5211736991591556</v>
      </c>
      <c r="J371" s="31">
        <v>86.285714285714292</v>
      </c>
      <c r="K371" s="31">
        <v>53</v>
      </c>
      <c r="L371" s="21" t="s">
        <v>958</v>
      </c>
    </row>
    <row r="372" spans="1:12" x14ac:dyDescent="0.2">
      <c r="A372" s="22" t="s">
        <v>10</v>
      </c>
      <c r="B372" s="22" t="s">
        <v>142</v>
      </c>
      <c r="C372" s="23" t="s">
        <v>332</v>
      </c>
      <c r="D372" s="24">
        <v>8.1150000000000002</v>
      </c>
      <c r="E372" s="25">
        <v>11.350364963503647</v>
      </c>
      <c r="F372" s="25">
        <v>0.71495498392282975</v>
      </c>
      <c r="G372" s="25">
        <v>11.857647351785289</v>
      </c>
      <c r="H372" s="25">
        <v>88.560205658266284</v>
      </c>
      <c r="I372" s="25">
        <v>1.587663439512085</v>
      </c>
      <c r="J372" s="26">
        <v>106</v>
      </c>
      <c r="K372" s="26">
        <v>73</v>
      </c>
    </row>
    <row r="373" spans="1:12" x14ac:dyDescent="0.2">
      <c r="A373" s="22" t="s">
        <v>10</v>
      </c>
      <c r="B373" s="22" t="s">
        <v>142</v>
      </c>
      <c r="C373" s="23" t="s">
        <v>395</v>
      </c>
      <c r="D373" s="24">
        <v>8.02</v>
      </c>
      <c r="E373" s="25">
        <v>13.007692307692308</v>
      </c>
      <c r="F373" s="25">
        <v>0.61655824955647542</v>
      </c>
      <c r="G373" s="25">
        <v>14.984387143067554</v>
      </c>
      <c r="H373" s="25">
        <v>114.25340236686392</v>
      </c>
      <c r="I373" s="25">
        <v>1.965209380219276</v>
      </c>
      <c r="J373" s="26">
        <v>114</v>
      </c>
      <c r="K373" s="26">
        <v>66</v>
      </c>
    </row>
    <row r="374" spans="1:12" x14ac:dyDescent="0.2">
      <c r="A374" s="22" t="s">
        <v>10</v>
      </c>
      <c r="B374" s="22" t="s">
        <v>142</v>
      </c>
      <c r="C374" s="23" t="s">
        <v>894</v>
      </c>
      <c r="D374" s="24" t="s">
        <v>8</v>
      </c>
      <c r="E374" s="25">
        <v>12.7</v>
      </c>
      <c r="F374" s="25" t="s">
        <v>8</v>
      </c>
      <c r="G374" s="25">
        <v>14.392958002915075</v>
      </c>
      <c r="H374" s="25">
        <v>103.87316568047339</v>
      </c>
      <c r="I374" s="25">
        <v>1.9943287442583408</v>
      </c>
      <c r="J374" s="26">
        <v>113</v>
      </c>
      <c r="K374" s="26">
        <v>60</v>
      </c>
    </row>
    <row r="375" spans="1:12" x14ac:dyDescent="0.2">
      <c r="A375" s="22" t="s">
        <v>10</v>
      </c>
      <c r="B375" s="22" t="s">
        <v>143</v>
      </c>
      <c r="C375" s="23" t="s">
        <v>353</v>
      </c>
      <c r="D375" s="24">
        <v>7.4183333333333339</v>
      </c>
      <c r="E375" s="25">
        <v>11.146153846153847</v>
      </c>
      <c r="F375" s="25">
        <v>0.66555095468138947</v>
      </c>
      <c r="G375" s="25">
        <v>12.389698707551201</v>
      </c>
      <c r="H375" s="25">
        <v>85.195059171597634</v>
      </c>
      <c r="I375" s="25">
        <v>1.8018020711120222</v>
      </c>
      <c r="J375" s="26">
        <v>136</v>
      </c>
      <c r="K375" s="26">
        <v>80</v>
      </c>
    </row>
    <row r="376" spans="1:12" x14ac:dyDescent="0.2">
      <c r="A376" s="22" t="s">
        <v>10</v>
      </c>
      <c r="B376" s="22" t="s">
        <v>143</v>
      </c>
      <c r="C376" s="23" t="s">
        <v>361</v>
      </c>
      <c r="D376" s="24">
        <v>7.48</v>
      </c>
      <c r="E376" s="25">
        <v>11.058394160583941</v>
      </c>
      <c r="F376" s="25">
        <v>0.67640924092409249</v>
      </c>
      <c r="G376" s="25">
        <v>12.33202935362362</v>
      </c>
      <c r="H376" s="25">
        <v>91.615669454952311</v>
      </c>
      <c r="I376" s="25">
        <v>1.6599665633989855</v>
      </c>
      <c r="J376" s="26">
        <v>130</v>
      </c>
      <c r="K376" s="26">
        <v>77</v>
      </c>
    </row>
    <row r="377" spans="1:12" x14ac:dyDescent="0.2">
      <c r="A377" s="22" t="s">
        <v>10</v>
      </c>
      <c r="B377" s="22" t="s">
        <v>143</v>
      </c>
      <c r="C377" s="23" t="s">
        <v>387</v>
      </c>
      <c r="D377" s="24">
        <v>7.43</v>
      </c>
      <c r="E377" s="25">
        <v>11.430769230769233</v>
      </c>
      <c r="F377" s="25">
        <v>0.64999999999999991</v>
      </c>
      <c r="G377" s="25">
        <v>12.498867998208656</v>
      </c>
      <c r="H377" s="25">
        <v>92.731538461538449</v>
      </c>
      <c r="I377" s="25">
        <v>1.6846663371323161</v>
      </c>
      <c r="J377" s="26">
        <v>130</v>
      </c>
      <c r="K377" s="26">
        <v>77</v>
      </c>
    </row>
    <row r="378" spans="1:12" x14ac:dyDescent="0.2">
      <c r="A378" s="22" t="s">
        <v>10</v>
      </c>
      <c r="B378" s="22" t="s">
        <v>143</v>
      </c>
      <c r="C378" s="23" t="s">
        <v>397</v>
      </c>
      <c r="D378" s="24">
        <v>8.5</v>
      </c>
      <c r="E378" s="25">
        <v>14.069230769230771</v>
      </c>
      <c r="F378" s="25">
        <v>0.60415527610716235</v>
      </c>
      <c r="G378" s="25">
        <v>16.649123771563275</v>
      </c>
      <c r="H378" s="25">
        <v>145.43257396449704</v>
      </c>
      <c r="I378" s="25">
        <v>1.9059919989348584</v>
      </c>
      <c r="J378" s="26">
        <v>144</v>
      </c>
      <c r="K378" s="26">
        <v>62</v>
      </c>
    </row>
    <row r="379" spans="1:12" x14ac:dyDescent="0.2">
      <c r="A379" s="22" t="s">
        <v>10</v>
      </c>
      <c r="B379" s="22" t="s">
        <v>143</v>
      </c>
      <c r="C379" s="23" t="s">
        <v>433</v>
      </c>
      <c r="D379" s="24">
        <v>8.25</v>
      </c>
      <c r="E379" s="25">
        <v>12.500000000000002</v>
      </c>
      <c r="F379" s="25">
        <v>0.65999999999999992</v>
      </c>
      <c r="G379" s="25">
        <v>15.727196490024756</v>
      </c>
      <c r="H379" s="25">
        <v>135.51798816568049</v>
      </c>
      <c r="I379" s="25">
        <v>1.8251799099426587</v>
      </c>
      <c r="J379" s="26">
        <v>106</v>
      </c>
      <c r="K379" s="26">
        <v>78</v>
      </c>
    </row>
    <row r="380" spans="1:12" x14ac:dyDescent="0.2">
      <c r="A380" s="22" t="s">
        <v>10</v>
      </c>
      <c r="B380" s="22" t="s">
        <v>143</v>
      </c>
      <c r="C380" s="23" t="s">
        <v>465</v>
      </c>
      <c r="D380" s="24">
        <v>6.87</v>
      </c>
      <c r="E380" s="25">
        <v>11.007692307692308</v>
      </c>
      <c r="F380" s="25">
        <v>0.62410901467505242</v>
      </c>
      <c r="G380" s="25">
        <v>12.149073533382737</v>
      </c>
      <c r="H380" s="25">
        <v>88.640118343195269</v>
      </c>
      <c r="I380" s="25">
        <v>1.6651600931766115</v>
      </c>
      <c r="J380" s="26">
        <v>167</v>
      </c>
      <c r="K380" s="26">
        <v>62</v>
      </c>
    </row>
    <row r="381" spans="1:12" x14ac:dyDescent="0.2">
      <c r="A381" s="22" t="s">
        <v>10</v>
      </c>
      <c r="B381" s="22" t="s">
        <v>144</v>
      </c>
      <c r="C381" s="23" t="s">
        <v>381</v>
      </c>
      <c r="D381" s="24">
        <v>12.58</v>
      </c>
      <c r="E381" s="25">
        <v>16.655172413793103</v>
      </c>
      <c r="F381" s="25">
        <v>0.75532091097308485</v>
      </c>
      <c r="G381" s="25">
        <v>23.389542405881876</v>
      </c>
      <c r="H381" s="25">
        <v>258.44636015325671</v>
      </c>
      <c r="I381" s="25">
        <v>2.1167668743028063</v>
      </c>
      <c r="J381" s="26">
        <v>92</v>
      </c>
      <c r="K381" s="26">
        <v>70</v>
      </c>
    </row>
    <row r="382" spans="1:12" x14ac:dyDescent="0.2">
      <c r="A382" s="22" t="s">
        <v>10</v>
      </c>
      <c r="B382" s="22" t="s">
        <v>144</v>
      </c>
      <c r="C382" s="23" t="s">
        <v>431</v>
      </c>
      <c r="D382" s="24">
        <v>11.486333333333334</v>
      </c>
      <c r="E382" s="25">
        <v>17.916666666666664</v>
      </c>
      <c r="F382" s="25">
        <v>0.64109767441860477</v>
      </c>
      <c r="G382" s="25">
        <v>20.388606388419127</v>
      </c>
      <c r="H382" s="25">
        <v>204.5579989711934</v>
      </c>
      <c r="I382" s="25">
        <v>2.0321633597932531</v>
      </c>
      <c r="J382" s="26">
        <v>94</v>
      </c>
      <c r="K382" s="26">
        <v>90</v>
      </c>
    </row>
    <row r="383" spans="1:12" x14ac:dyDescent="0.2">
      <c r="A383" s="22" t="s">
        <v>10</v>
      </c>
      <c r="B383" s="22" t="s">
        <v>144</v>
      </c>
      <c r="C383" s="23" t="s">
        <v>461</v>
      </c>
      <c r="D383" s="24">
        <v>9.6</v>
      </c>
      <c r="E383" s="25">
        <v>16.638888888888886</v>
      </c>
      <c r="F383" s="25">
        <v>0.57696160267111862</v>
      </c>
      <c r="G383" s="25">
        <v>20.56748151693445</v>
      </c>
      <c r="H383" s="25">
        <v>201.30667009602192</v>
      </c>
      <c r="I383" s="25">
        <v>2.1013774444118614</v>
      </c>
      <c r="J383" s="26">
        <v>92</v>
      </c>
      <c r="K383" s="26">
        <v>88</v>
      </c>
    </row>
    <row r="384" spans="1:12" x14ac:dyDescent="0.2">
      <c r="A384" s="22" t="s">
        <v>10</v>
      </c>
      <c r="B384" s="22" t="s">
        <v>144</v>
      </c>
      <c r="C384" s="23" t="s">
        <v>807</v>
      </c>
      <c r="D384" s="24" t="s">
        <v>8</v>
      </c>
      <c r="E384" s="25">
        <v>15.376237623762377</v>
      </c>
      <c r="F384" s="25" t="s">
        <v>8</v>
      </c>
      <c r="G384" s="25">
        <v>17.256777545254209</v>
      </c>
      <c r="H384" s="25">
        <v>148.76776786589551</v>
      </c>
      <c r="I384" s="25">
        <v>2.0017533066358437</v>
      </c>
      <c r="J384" s="26">
        <v>120</v>
      </c>
      <c r="K384" s="26">
        <v>59</v>
      </c>
    </row>
    <row r="385" spans="1:12" x14ac:dyDescent="0.2">
      <c r="A385" s="22" t="s">
        <v>10</v>
      </c>
      <c r="B385" s="22" t="s">
        <v>145</v>
      </c>
      <c r="C385" s="23" t="s">
        <v>400</v>
      </c>
      <c r="D385" s="24">
        <v>7.83</v>
      </c>
      <c r="E385" s="25">
        <v>14.49074074074074</v>
      </c>
      <c r="F385" s="25">
        <v>0.54034504792332272</v>
      </c>
      <c r="G385" s="25">
        <v>16.232553350665526</v>
      </c>
      <c r="H385" s="25">
        <v>133.18227023319616</v>
      </c>
      <c r="I385" s="25">
        <v>1.9784599543229993</v>
      </c>
      <c r="J385" s="26">
        <v>150</v>
      </c>
      <c r="K385" s="26">
        <v>76</v>
      </c>
    </row>
    <row r="386" spans="1:12" x14ac:dyDescent="0.2">
      <c r="A386" s="22" t="s">
        <v>10</v>
      </c>
      <c r="B386" s="22" t="s">
        <v>145</v>
      </c>
      <c r="C386" s="23" t="s">
        <v>437</v>
      </c>
      <c r="D386" s="24">
        <v>8.0299999999999994</v>
      </c>
      <c r="E386" s="25">
        <v>14.623076923076924</v>
      </c>
      <c r="F386" s="25">
        <v>0.54913203577064695</v>
      </c>
      <c r="G386" s="25">
        <v>15.838239239062297</v>
      </c>
      <c r="H386" s="25">
        <v>120.60449704142013</v>
      </c>
      <c r="I386" s="25">
        <v>2.0799375508163793</v>
      </c>
      <c r="J386" s="26">
        <v>182</v>
      </c>
      <c r="K386" s="26">
        <v>73</v>
      </c>
    </row>
    <row r="387" spans="1:12" x14ac:dyDescent="0.2">
      <c r="A387" s="22" t="s">
        <v>10</v>
      </c>
      <c r="B387" s="22" t="s">
        <v>146</v>
      </c>
      <c r="C387" s="23" t="s">
        <v>594</v>
      </c>
      <c r="D387" s="24">
        <v>8.17</v>
      </c>
      <c r="E387" s="25">
        <v>12.361538461538464</v>
      </c>
      <c r="F387" s="25">
        <v>0.66092097075295564</v>
      </c>
      <c r="G387" s="25">
        <v>13.116667543555661</v>
      </c>
      <c r="H387" s="25">
        <v>103.51068047337279</v>
      </c>
      <c r="I387" s="25">
        <v>1.662118021651148</v>
      </c>
      <c r="J387" s="26">
        <v>100</v>
      </c>
      <c r="K387" s="26">
        <v>58</v>
      </c>
    </row>
    <row r="388" spans="1:12" x14ac:dyDescent="0.2">
      <c r="A388" s="22" t="s">
        <v>10</v>
      </c>
      <c r="B388" s="22" t="s">
        <v>147</v>
      </c>
      <c r="C388" s="23" t="s">
        <v>498</v>
      </c>
      <c r="D388" s="24">
        <v>8.17</v>
      </c>
      <c r="E388" s="25">
        <v>11.773722627737223</v>
      </c>
      <c r="F388" s="25">
        <v>0.69391816491010561</v>
      </c>
      <c r="G388" s="25">
        <v>11.868877242404912</v>
      </c>
      <c r="H388" s="25">
        <v>92.332249986680154</v>
      </c>
      <c r="I388" s="25">
        <v>1.5256884459720104</v>
      </c>
      <c r="J388" s="26">
        <v>108</v>
      </c>
      <c r="K388" s="26">
        <v>96</v>
      </c>
    </row>
    <row r="389" spans="1:12" x14ac:dyDescent="0.2">
      <c r="A389" s="22" t="s">
        <v>10</v>
      </c>
      <c r="B389" s="22" t="s">
        <v>148</v>
      </c>
      <c r="C389" s="23" t="s">
        <v>661</v>
      </c>
      <c r="D389" s="24" t="s">
        <v>8</v>
      </c>
      <c r="E389" s="25">
        <v>13.176923076923078</v>
      </c>
      <c r="F389" s="25" t="s">
        <v>8</v>
      </c>
      <c r="G389" s="25">
        <v>15.657622279360524</v>
      </c>
      <c r="H389" s="25">
        <v>120.80582840236686</v>
      </c>
      <c r="I389" s="25">
        <v>2.0293816836930345</v>
      </c>
      <c r="J389" s="26">
        <v>118</v>
      </c>
      <c r="K389" s="26">
        <v>35</v>
      </c>
    </row>
    <row r="390" spans="1:12" ht="15" x14ac:dyDescent="0.25">
      <c r="A390" s="22" t="s">
        <v>10</v>
      </c>
      <c r="B390" s="8" t="s">
        <v>286</v>
      </c>
      <c r="C390" s="23" t="s">
        <v>703</v>
      </c>
      <c r="D390" s="24">
        <v>7.42</v>
      </c>
      <c r="E390" s="25">
        <v>14.180851063829785</v>
      </c>
      <c r="F390" s="25">
        <v>0.52324081020255075</v>
      </c>
      <c r="G390" s="25">
        <v>23.534764052047649</v>
      </c>
      <c r="H390" s="25">
        <v>260.1535196921684</v>
      </c>
      <c r="I390" s="25">
        <v>2.129070249139621</v>
      </c>
      <c r="J390" s="26">
        <v>186</v>
      </c>
      <c r="K390" s="26">
        <v>45</v>
      </c>
    </row>
    <row r="391" spans="1:12" x14ac:dyDescent="0.2">
      <c r="A391" s="22" t="s">
        <v>10</v>
      </c>
      <c r="B391" s="22" t="s">
        <v>218</v>
      </c>
      <c r="C391" s="23" t="s">
        <v>619</v>
      </c>
      <c r="D391" s="24" t="s">
        <v>8</v>
      </c>
      <c r="E391" s="25">
        <v>8.6927710843373518</v>
      </c>
      <c r="F391" s="25" t="s">
        <v>8</v>
      </c>
      <c r="G391" s="25">
        <v>11.009171153422391</v>
      </c>
      <c r="H391" s="25">
        <v>50.545960952242709</v>
      </c>
      <c r="I391" s="25">
        <v>2.3978542934392468</v>
      </c>
      <c r="J391" s="26">
        <v>62</v>
      </c>
      <c r="K391" s="26">
        <v>46</v>
      </c>
    </row>
    <row r="392" spans="1:12" x14ac:dyDescent="0.2">
      <c r="A392" s="22" t="s">
        <v>10</v>
      </c>
      <c r="B392" s="22" t="s">
        <v>218</v>
      </c>
      <c r="C392" s="23" t="s">
        <v>842</v>
      </c>
      <c r="D392" s="24" t="s">
        <v>8</v>
      </c>
      <c r="E392" s="25">
        <v>13.732758620689657</v>
      </c>
      <c r="F392" s="25" t="s">
        <v>8</v>
      </c>
      <c r="G392" s="25">
        <v>16.954901969698327</v>
      </c>
      <c r="H392" s="25">
        <v>123.60367122473247</v>
      </c>
      <c r="I392" s="25">
        <v>2.3257294702793518</v>
      </c>
      <c r="J392" s="26">
        <v>86</v>
      </c>
      <c r="K392" s="26">
        <v>40</v>
      </c>
    </row>
    <row r="393" spans="1:12" x14ac:dyDescent="0.2">
      <c r="A393" s="22" t="s">
        <v>10</v>
      </c>
      <c r="B393" s="33" t="s">
        <v>986</v>
      </c>
      <c r="C393" s="23" t="s">
        <v>987</v>
      </c>
      <c r="D393" s="24">
        <v>25.39</v>
      </c>
      <c r="E393" s="29">
        <v>28.22</v>
      </c>
      <c r="F393" s="30">
        <f>D393/E393</f>
        <v>0.89971651311126866</v>
      </c>
      <c r="G393" s="29">
        <v>39.03</v>
      </c>
      <c r="H393" s="29" t="s">
        <v>8</v>
      </c>
      <c r="I393" s="25" t="s">
        <v>8</v>
      </c>
      <c r="J393" s="29" t="s">
        <v>8</v>
      </c>
      <c r="K393" s="29" t="s">
        <v>8</v>
      </c>
      <c r="L393" s="21" t="s">
        <v>989</v>
      </c>
    </row>
    <row r="394" spans="1:12" x14ac:dyDescent="0.2">
      <c r="A394" s="22" t="s">
        <v>211</v>
      </c>
      <c r="B394" s="22" t="s">
        <v>287</v>
      </c>
      <c r="C394" s="32" t="s">
        <v>319</v>
      </c>
      <c r="D394" s="24" t="s">
        <v>8</v>
      </c>
      <c r="E394" s="29">
        <v>57.93</v>
      </c>
      <c r="F394" s="25" t="s">
        <v>8</v>
      </c>
      <c r="G394" s="29">
        <v>48.38</v>
      </c>
      <c r="H394" s="29" t="s">
        <v>8</v>
      </c>
      <c r="I394" s="25" t="s">
        <v>8</v>
      </c>
      <c r="J394" s="29" t="s">
        <v>8</v>
      </c>
      <c r="K394" s="29" t="s">
        <v>8</v>
      </c>
      <c r="L394" s="21" t="s">
        <v>994</v>
      </c>
    </row>
    <row r="395" spans="1:12" x14ac:dyDescent="0.2">
      <c r="A395" s="22" t="s">
        <v>211</v>
      </c>
      <c r="B395" s="22" t="s">
        <v>287</v>
      </c>
      <c r="C395" s="23" t="s">
        <v>954</v>
      </c>
      <c r="D395" s="24">
        <v>48.9</v>
      </c>
      <c r="E395" s="29" t="s">
        <v>8</v>
      </c>
      <c r="F395" s="29" t="s">
        <v>8</v>
      </c>
      <c r="G395" s="29" t="s">
        <v>8</v>
      </c>
      <c r="H395" s="29" t="s">
        <v>8</v>
      </c>
      <c r="I395" s="25" t="s">
        <v>8</v>
      </c>
      <c r="J395" s="29" t="s">
        <v>8</v>
      </c>
      <c r="K395" s="29" t="s">
        <v>8</v>
      </c>
      <c r="L395" s="21" t="s">
        <v>974</v>
      </c>
    </row>
    <row r="396" spans="1:12" x14ac:dyDescent="0.2">
      <c r="A396" s="22" t="s">
        <v>211</v>
      </c>
      <c r="B396" s="22" t="s">
        <v>287</v>
      </c>
      <c r="C396" s="23" t="s">
        <v>955</v>
      </c>
      <c r="D396" s="24">
        <v>46.77</v>
      </c>
      <c r="E396" s="29" t="s">
        <v>8</v>
      </c>
      <c r="F396" s="29" t="s">
        <v>8</v>
      </c>
      <c r="G396" s="29" t="s">
        <v>8</v>
      </c>
      <c r="H396" s="29" t="s">
        <v>8</v>
      </c>
      <c r="I396" s="25" t="s">
        <v>8</v>
      </c>
      <c r="J396" s="29" t="s">
        <v>8</v>
      </c>
      <c r="K396" s="29" t="s">
        <v>8</v>
      </c>
      <c r="L396" s="21" t="s">
        <v>974</v>
      </c>
    </row>
    <row r="397" spans="1:12" x14ac:dyDescent="0.2">
      <c r="A397" s="22" t="s">
        <v>211</v>
      </c>
      <c r="B397" s="22" t="s">
        <v>287</v>
      </c>
      <c r="C397" s="23" t="s">
        <v>957</v>
      </c>
      <c r="D397" s="24">
        <v>30.9</v>
      </c>
      <c r="E397" s="29" t="s">
        <v>8</v>
      </c>
      <c r="F397" s="29" t="s">
        <v>8</v>
      </c>
      <c r="G397" s="29" t="s">
        <v>8</v>
      </c>
      <c r="H397" s="29" t="s">
        <v>8</v>
      </c>
      <c r="I397" s="25" t="s">
        <v>8</v>
      </c>
      <c r="J397" s="29" t="s">
        <v>8</v>
      </c>
      <c r="K397" s="29" t="s">
        <v>8</v>
      </c>
      <c r="L397" s="21" t="s">
        <v>974</v>
      </c>
    </row>
    <row r="398" spans="1:12" x14ac:dyDescent="0.2">
      <c r="A398" s="22" t="s">
        <v>211</v>
      </c>
      <c r="B398" s="22" t="s">
        <v>287</v>
      </c>
      <c r="C398" s="32" t="s">
        <v>318</v>
      </c>
      <c r="D398" s="24">
        <v>42.84</v>
      </c>
      <c r="E398" s="29">
        <v>52.66</v>
      </c>
      <c r="F398" s="25">
        <f>D398/E398</f>
        <v>0.81352069882263589</v>
      </c>
      <c r="G398" s="29">
        <v>55.54</v>
      </c>
      <c r="H398" s="29" t="s">
        <v>8</v>
      </c>
      <c r="I398" s="25" t="s">
        <v>8</v>
      </c>
      <c r="J398" s="29" t="s">
        <v>8</v>
      </c>
      <c r="K398" s="29" t="s">
        <v>8</v>
      </c>
      <c r="L398" s="21" t="s">
        <v>974</v>
      </c>
    </row>
    <row r="399" spans="1:12" x14ac:dyDescent="0.2">
      <c r="A399" s="22" t="s">
        <v>211</v>
      </c>
      <c r="B399" s="22" t="s">
        <v>287</v>
      </c>
      <c r="C399" s="23" t="s">
        <v>956</v>
      </c>
      <c r="D399" s="24">
        <v>46</v>
      </c>
      <c r="E399" s="29" t="s">
        <v>8</v>
      </c>
      <c r="F399" s="29" t="s">
        <v>8</v>
      </c>
      <c r="G399" s="29" t="s">
        <v>8</v>
      </c>
      <c r="H399" s="29" t="s">
        <v>8</v>
      </c>
      <c r="I399" s="25" t="s">
        <v>8</v>
      </c>
      <c r="J399" s="29" t="s">
        <v>8</v>
      </c>
      <c r="K399" s="29" t="s">
        <v>8</v>
      </c>
      <c r="L399" s="21" t="s">
        <v>974</v>
      </c>
    </row>
    <row r="400" spans="1:12" x14ac:dyDescent="0.2">
      <c r="A400" s="22" t="s">
        <v>211</v>
      </c>
      <c r="B400" s="22" t="s">
        <v>288</v>
      </c>
      <c r="C400" s="23" t="s">
        <v>716</v>
      </c>
      <c r="D400" s="24">
        <v>53.98</v>
      </c>
      <c r="E400" s="25">
        <v>49.69444444444445</v>
      </c>
      <c r="F400" s="25">
        <v>1.0862381218557853</v>
      </c>
      <c r="G400" s="25">
        <v>56.070831983003202</v>
      </c>
      <c r="H400" s="25">
        <v>1213.5316358024693</v>
      </c>
      <c r="I400" s="25">
        <v>2.5907344370031109</v>
      </c>
      <c r="J400" s="26">
        <v>66</v>
      </c>
      <c r="K400" s="26">
        <v>41</v>
      </c>
    </row>
    <row r="401" spans="1:12" x14ac:dyDescent="0.2">
      <c r="A401" s="22" t="s">
        <v>10</v>
      </c>
      <c r="B401" s="22" t="s">
        <v>212</v>
      </c>
      <c r="C401" s="23" t="s">
        <v>727</v>
      </c>
      <c r="D401" s="24" t="s">
        <v>8</v>
      </c>
      <c r="E401" s="25">
        <v>4.5120481927710845</v>
      </c>
      <c r="F401" s="25" t="s">
        <v>8</v>
      </c>
      <c r="G401" s="25">
        <v>5.0538610188874102</v>
      </c>
      <c r="H401" s="25">
        <v>17.419473073014952</v>
      </c>
      <c r="I401" s="25">
        <v>1.466261986867837</v>
      </c>
      <c r="J401" s="26">
        <v>164</v>
      </c>
      <c r="K401" s="26">
        <v>48</v>
      </c>
    </row>
    <row r="402" spans="1:12" x14ac:dyDescent="0.2">
      <c r="A402" s="22" t="s">
        <v>10</v>
      </c>
      <c r="B402" s="22" t="s">
        <v>212</v>
      </c>
      <c r="C402" s="23" t="s">
        <v>909</v>
      </c>
      <c r="D402" s="24" t="s">
        <v>8</v>
      </c>
      <c r="E402" s="25">
        <v>3.7469879518072289</v>
      </c>
      <c r="F402" s="25" t="s">
        <v>8</v>
      </c>
      <c r="G402" s="25">
        <v>6.9879506239404137</v>
      </c>
      <c r="H402" s="25">
        <v>24.728843083176081</v>
      </c>
      <c r="I402" s="25">
        <v>1.9746760395698013</v>
      </c>
      <c r="J402" s="26">
        <v>146</v>
      </c>
      <c r="K402" s="26">
        <v>49</v>
      </c>
    </row>
    <row r="403" spans="1:12" x14ac:dyDescent="0.2">
      <c r="A403" s="22" t="s">
        <v>10</v>
      </c>
      <c r="B403" s="22" t="s">
        <v>149</v>
      </c>
      <c r="C403" s="23" t="s">
        <v>730</v>
      </c>
      <c r="D403" s="24" t="s">
        <v>8</v>
      </c>
      <c r="E403" s="25">
        <v>7.7289156626506017</v>
      </c>
      <c r="F403" s="25" t="s">
        <v>8</v>
      </c>
      <c r="G403" s="25">
        <v>10.627404654853754</v>
      </c>
      <c r="H403" s="25">
        <v>58.913213093337205</v>
      </c>
      <c r="I403" s="25">
        <v>1.9170865713786776</v>
      </c>
      <c r="J403" s="26">
        <v>85</v>
      </c>
      <c r="K403" s="26">
        <v>37</v>
      </c>
    </row>
    <row r="404" spans="1:12" x14ac:dyDescent="0.2">
      <c r="A404" s="22" t="s">
        <v>211</v>
      </c>
      <c r="B404" s="22" t="s">
        <v>289</v>
      </c>
      <c r="C404" s="23" t="s">
        <v>771</v>
      </c>
      <c r="D404" s="24">
        <v>43</v>
      </c>
      <c r="E404" s="25">
        <v>42.583333333333336</v>
      </c>
      <c r="F404" s="25">
        <v>1.009784735812133</v>
      </c>
      <c r="G404" s="25">
        <v>42.543338575270568</v>
      </c>
      <c r="H404" s="25">
        <v>755.96836419753095</v>
      </c>
      <c r="I404" s="25">
        <v>2.3941949727636715</v>
      </c>
      <c r="J404" s="26">
        <v>71</v>
      </c>
      <c r="K404" s="26">
        <v>52</v>
      </c>
      <c r="L404" s="21" t="s">
        <v>961</v>
      </c>
    </row>
    <row r="405" spans="1:12" x14ac:dyDescent="0.2">
      <c r="A405" s="22" t="s">
        <v>10</v>
      </c>
      <c r="B405" s="22" t="s">
        <v>290</v>
      </c>
      <c r="C405" s="23" t="s">
        <v>773</v>
      </c>
      <c r="D405" s="24" t="s">
        <v>8</v>
      </c>
      <c r="E405" s="25">
        <v>10.215517241379308</v>
      </c>
      <c r="F405" s="25" t="s">
        <v>8</v>
      </c>
      <c r="G405" s="25">
        <v>13.058610430207878</v>
      </c>
      <c r="H405" s="25">
        <v>91.904540725326996</v>
      </c>
      <c r="I405" s="25">
        <v>1.8554829285049697</v>
      </c>
      <c r="J405" s="26">
        <v>66</v>
      </c>
      <c r="K405" s="26">
        <v>31</v>
      </c>
    </row>
    <row r="406" spans="1:12" x14ac:dyDescent="0.2">
      <c r="A406" s="22" t="s">
        <v>10</v>
      </c>
      <c r="B406" s="22" t="s">
        <v>150</v>
      </c>
      <c r="C406" s="23" t="s">
        <v>597</v>
      </c>
      <c r="D406" s="24" t="s">
        <v>8</v>
      </c>
      <c r="E406" s="25">
        <v>11.092307692307694</v>
      </c>
      <c r="F406" s="25" t="s">
        <v>8</v>
      </c>
      <c r="G406" s="25">
        <v>13.775189588590067</v>
      </c>
      <c r="H406" s="25">
        <v>91.448639053254425</v>
      </c>
      <c r="I406" s="25">
        <v>2.0749991488785011</v>
      </c>
      <c r="J406" s="26">
        <v>58</v>
      </c>
      <c r="K406" s="26">
        <v>38</v>
      </c>
    </row>
    <row r="407" spans="1:12" x14ac:dyDescent="0.2">
      <c r="A407" s="22" t="s">
        <v>10</v>
      </c>
      <c r="B407" s="22" t="s">
        <v>150</v>
      </c>
      <c r="C407" s="23" t="s">
        <v>867</v>
      </c>
      <c r="D407" s="24" t="s">
        <v>8</v>
      </c>
      <c r="E407" s="25">
        <v>11.246153846153844</v>
      </c>
      <c r="F407" s="25" t="s">
        <v>8</v>
      </c>
      <c r="G407" s="25">
        <v>13.369239599616645</v>
      </c>
      <c r="H407" s="25">
        <v>87.431331360946743</v>
      </c>
      <c r="I407" s="25">
        <v>2.0443079693487856</v>
      </c>
      <c r="J407" s="26">
        <v>66</v>
      </c>
      <c r="K407" s="26">
        <v>35</v>
      </c>
    </row>
    <row r="408" spans="1:12" x14ac:dyDescent="0.2">
      <c r="A408" s="22" t="s">
        <v>10</v>
      </c>
      <c r="B408" s="22" t="s">
        <v>151</v>
      </c>
      <c r="C408" s="23" t="s">
        <v>384</v>
      </c>
      <c r="D408" s="24">
        <v>7.6033333333333326</v>
      </c>
      <c r="E408" s="25">
        <v>14.212962962962962</v>
      </c>
      <c r="F408" s="25">
        <v>0.53495765472312706</v>
      </c>
      <c r="G408" s="25">
        <v>17.214253703212307</v>
      </c>
      <c r="H408" s="25">
        <v>110.08560528120714</v>
      </c>
      <c r="I408" s="25">
        <v>2.6918190602813139</v>
      </c>
      <c r="J408" s="26">
        <v>39</v>
      </c>
      <c r="K408" s="26">
        <v>22</v>
      </c>
    </row>
    <row r="409" spans="1:12" x14ac:dyDescent="0.2">
      <c r="A409" s="22" t="s">
        <v>10</v>
      </c>
      <c r="B409" s="22" t="s">
        <v>151</v>
      </c>
      <c r="C409" s="23" t="s">
        <v>516</v>
      </c>
      <c r="D409" s="24">
        <v>8.27</v>
      </c>
      <c r="E409" s="25">
        <v>12.021897810218976</v>
      </c>
      <c r="F409" s="25">
        <v>0.68791135397692782</v>
      </c>
      <c r="G409" s="25">
        <v>15.571519083833156</v>
      </c>
      <c r="H409" s="25">
        <v>89.890164633171707</v>
      </c>
      <c r="I409" s="25">
        <v>2.69742755025172</v>
      </c>
      <c r="J409" s="26">
        <v>46</v>
      </c>
      <c r="K409" s="26">
        <v>24</v>
      </c>
    </row>
    <row r="410" spans="1:12" x14ac:dyDescent="0.2">
      <c r="A410" s="22" t="s">
        <v>10</v>
      </c>
      <c r="B410" s="22" t="s">
        <v>151</v>
      </c>
      <c r="C410" s="23" t="s">
        <v>520</v>
      </c>
      <c r="D410" s="24">
        <v>7.7</v>
      </c>
      <c r="E410" s="25">
        <v>14.101851851851849</v>
      </c>
      <c r="F410" s="25">
        <v>0.54602757715036121</v>
      </c>
      <c r="G410" s="25">
        <v>16.524198400260715</v>
      </c>
      <c r="H410" s="25">
        <v>105.54025205761317</v>
      </c>
      <c r="I410" s="25">
        <v>2.5871563450703579</v>
      </c>
      <c r="J410" s="26">
        <v>40</v>
      </c>
      <c r="K410" s="26">
        <v>24</v>
      </c>
    </row>
    <row r="411" spans="1:12" x14ac:dyDescent="0.2">
      <c r="A411" s="22" t="s">
        <v>10</v>
      </c>
      <c r="B411" s="22" t="s">
        <v>152</v>
      </c>
      <c r="C411" s="23" t="s">
        <v>695</v>
      </c>
      <c r="D411" s="24" t="s">
        <v>8</v>
      </c>
      <c r="E411" s="25">
        <v>10.644578313253012</v>
      </c>
      <c r="F411" s="25" t="s">
        <v>8</v>
      </c>
      <c r="G411" s="25">
        <v>13.913585026582449</v>
      </c>
      <c r="H411" s="25">
        <v>78.209174045579914</v>
      </c>
      <c r="I411" s="25">
        <v>2.4752575468846829</v>
      </c>
      <c r="J411" s="26">
        <v>60</v>
      </c>
      <c r="K411" s="26">
        <v>35</v>
      </c>
    </row>
    <row r="412" spans="1:12" x14ac:dyDescent="0.2">
      <c r="A412" s="22" t="s">
        <v>10</v>
      </c>
      <c r="B412" s="22" t="s">
        <v>291</v>
      </c>
      <c r="C412" s="23" t="s">
        <v>702</v>
      </c>
      <c r="D412" s="24">
        <v>1.84</v>
      </c>
      <c r="E412" s="29" t="s">
        <v>8</v>
      </c>
      <c r="F412" s="25" t="s">
        <v>8</v>
      </c>
      <c r="G412" s="29" t="s">
        <v>8</v>
      </c>
      <c r="H412" s="29" t="s">
        <v>8</v>
      </c>
      <c r="I412" s="25" t="s">
        <v>8</v>
      </c>
      <c r="J412" s="29" t="s">
        <v>8</v>
      </c>
      <c r="K412" s="29" t="s">
        <v>8</v>
      </c>
    </row>
    <row r="413" spans="1:12" x14ac:dyDescent="0.2">
      <c r="A413" s="22" t="s">
        <v>211</v>
      </c>
      <c r="B413" s="33" t="s">
        <v>978</v>
      </c>
      <c r="C413" s="23" t="s">
        <v>979</v>
      </c>
      <c r="D413" s="24">
        <v>52.56</v>
      </c>
      <c r="E413" s="24">
        <v>41.68</v>
      </c>
      <c r="F413" s="30">
        <f t="shared" ref="F413:F418" si="0">D413/E413</f>
        <v>1.2610364683301345</v>
      </c>
      <c r="G413" s="29">
        <v>44.44</v>
      </c>
      <c r="H413" s="29" t="s">
        <v>8</v>
      </c>
      <c r="I413" s="25" t="s">
        <v>8</v>
      </c>
      <c r="J413" s="29" t="s">
        <v>8</v>
      </c>
      <c r="K413" s="29" t="s">
        <v>8</v>
      </c>
      <c r="L413" s="21" t="s">
        <v>988</v>
      </c>
    </row>
    <row r="414" spans="1:12" x14ac:dyDescent="0.2">
      <c r="A414" s="22" t="s">
        <v>211</v>
      </c>
      <c r="B414" s="33" t="s">
        <v>978</v>
      </c>
      <c r="C414" s="23" t="s">
        <v>980</v>
      </c>
      <c r="D414" s="24">
        <v>78.73</v>
      </c>
      <c r="E414" s="24">
        <v>49.64</v>
      </c>
      <c r="F414" s="30">
        <f t="shared" si="0"/>
        <v>1.5860193392425463</v>
      </c>
      <c r="G414" s="29">
        <v>47.32</v>
      </c>
      <c r="H414" s="29" t="s">
        <v>8</v>
      </c>
      <c r="I414" s="25" t="s">
        <v>8</v>
      </c>
      <c r="J414" s="29" t="s">
        <v>8</v>
      </c>
      <c r="K414" s="29" t="s">
        <v>8</v>
      </c>
      <c r="L414" s="21" t="s">
        <v>988</v>
      </c>
    </row>
    <row r="415" spans="1:12" x14ac:dyDescent="0.2">
      <c r="A415" s="22" t="s">
        <v>211</v>
      </c>
      <c r="B415" s="22" t="s">
        <v>292</v>
      </c>
      <c r="C415" s="32" t="s">
        <v>317</v>
      </c>
      <c r="D415" s="24">
        <v>45.45</v>
      </c>
      <c r="E415" s="29">
        <v>53.11</v>
      </c>
      <c r="F415" s="25">
        <f t="shared" si="0"/>
        <v>0.85577104123517234</v>
      </c>
      <c r="G415" s="29">
        <v>48.63</v>
      </c>
      <c r="H415" s="29" t="s">
        <v>8</v>
      </c>
      <c r="I415" s="25" t="s">
        <v>8</v>
      </c>
      <c r="J415" s="29" t="s">
        <v>8</v>
      </c>
      <c r="K415" s="29" t="s">
        <v>8</v>
      </c>
      <c r="L415" s="21" t="s">
        <v>988</v>
      </c>
    </row>
    <row r="416" spans="1:12" x14ac:dyDescent="0.2">
      <c r="A416" s="22" t="s">
        <v>211</v>
      </c>
      <c r="B416" s="33" t="s">
        <v>292</v>
      </c>
      <c r="C416" s="23" t="s">
        <v>993</v>
      </c>
      <c r="D416" s="24">
        <v>43.01</v>
      </c>
      <c r="E416" s="29">
        <v>51.35</v>
      </c>
      <c r="F416" s="30">
        <f t="shared" si="0"/>
        <v>0.83758519961051603</v>
      </c>
      <c r="G416" s="29">
        <v>46.67</v>
      </c>
      <c r="H416" s="29" t="s">
        <v>8</v>
      </c>
      <c r="I416" s="25" t="s">
        <v>8</v>
      </c>
      <c r="J416" s="29" t="s">
        <v>8</v>
      </c>
      <c r="K416" s="29" t="s">
        <v>8</v>
      </c>
      <c r="L416" s="21" t="s">
        <v>988</v>
      </c>
    </row>
    <row r="417" spans="1:12" x14ac:dyDescent="0.2">
      <c r="A417" s="22" t="s">
        <v>211</v>
      </c>
      <c r="B417" s="22" t="s">
        <v>981</v>
      </c>
      <c r="C417" s="23" t="s">
        <v>982</v>
      </c>
      <c r="D417" s="24">
        <v>37.49</v>
      </c>
      <c r="E417" s="29">
        <v>45.07</v>
      </c>
      <c r="F417" s="30">
        <f t="shared" si="0"/>
        <v>0.83181717328599958</v>
      </c>
      <c r="G417" s="24">
        <v>39.25</v>
      </c>
      <c r="H417" s="29" t="s">
        <v>8</v>
      </c>
      <c r="I417" s="25" t="s">
        <v>8</v>
      </c>
      <c r="J417" s="29" t="s">
        <v>8</v>
      </c>
      <c r="K417" s="29" t="s">
        <v>8</v>
      </c>
      <c r="L417" s="21" t="s">
        <v>988</v>
      </c>
    </row>
    <row r="418" spans="1:12" x14ac:dyDescent="0.2">
      <c r="A418" s="22" t="s">
        <v>211</v>
      </c>
      <c r="B418" s="33" t="s">
        <v>984</v>
      </c>
      <c r="C418" s="23" t="s">
        <v>985</v>
      </c>
      <c r="D418" s="24">
        <v>39.130000000000003</v>
      </c>
      <c r="E418" s="29">
        <v>50.19</v>
      </c>
      <c r="F418" s="30">
        <f t="shared" si="0"/>
        <v>0.77963737796373789</v>
      </c>
      <c r="G418" s="29">
        <v>38.85</v>
      </c>
      <c r="H418" s="29" t="s">
        <v>8</v>
      </c>
      <c r="I418" s="25" t="s">
        <v>8</v>
      </c>
      <c r="J418" s="29" t="s">
        <v>8</v>
      </c>
      <c r="K418" s="29" t="s">
        <v>8</v>
      </c>
      <c r="L418" s="21" t="s">
        <v>988</v>
      </c>
    </row>
    <row r="419" spans="1:12" x14ac:dyDescent="0.2">
      <c r="A419" s="22" t="s">
        <v>10</v>
      </c>
      <c r="B419" s="22" t="s">
        <v>153</v>
      </c>
      <c r="C419" s="23" t="s">
        <v>425</v>
      </c>
      <c r="D419" s="24">
        <v>4.5599999999999996</v>
      </c>
      <c r="E419" s="25">
        <v>10.392307692307693</v>
      </c>
      <c r="F419" s="25">
        <v>0.43878608438193922</v>
      </c>
      <c r="G419" s="25">
        <v>14.681455876469926</v>
      </c>
      <c r="H419" s="25">
        <v>129.9746449704142</v>
      </c>
      <c r="I419" s="25">
        <v>1.6583630345887639</v>
      </c>
      <c r="J419" s="26">
        <v>161</v>
      </c>
      <c r="K419" s="26">
        <v>48</v>
      </c>
    </row>
    <row r="420" spans="1:12" x14ac:dyDescent="0.2">
      <c r="A420" s="22" t="s">
        <v>10</v>
      </c>
      <c r="B420" s="22" t="s">
        <v>153</v>
      </c>
      <c r="C420" s="23" t="s">
        <v>598</v>
      </c>
      <c r="D420" s="24" t="s">
        <v>8</v>
      </c>
      <c r="E420" s="25">
        <v>8.4879518072289155</v>
      </c>
      <c r="F420" s="25" t="s">
        <v>8</v>
      </c>
      <c r="G420" s="25">
        <v>12.12925879853606</v>
      </c>
      <c r="H420" s="25">
        <v>92.840089272753673</v>
      </c>
      <c r="I420" s="25">
        <v>1.5846486162852096</v>
      </c>
      <c r="J420" s="26">
        <v>166</v>
      </c>
      <c r="K420" s="26">
        <v>39</v>
      </c>
    </row>
    <row r="421" spans="1:12" x14ac:dyDescent="0.2">
      <c r="A421" s="22" t="s">
        <v>10</v>
      </c>
      <c r="B421" s="22" t="s">
        <v>154</v>
      </c>
      <c r="C421" s="23" t="s">
        <v>592</v>
      </c>
      <c r="D421" s="24">
        <v>4.5599999999999996</v>
      </c>
      <c r="E421" s="25">
        <v>14.015384615384615</v>
      </c>
      <c r="F421" s="25">
        <v>0.32535675082327109</v>
      </c>
      <c r="G421" s="25">
        <v>16.159982387428272</v>
      </c>
      <c r="H421" s="25">
        <v>156.69630177514793</v>
      </c>
      <c r="I421" s="25">
        <v>1.6665679266427309</v>
      </c>
      <c r="J421" s="26">
        <v>146</v>
      </c>
      <c r="K421" s="26">
        <v>58</v>
      </c>
      <c r="L421" s="21" t="s">
        <v>921</v>
      </c>
    </row>
    <row r="422" spans="1:12" x14ac:dyDescent="0.2">
      <c r="A422" s="22" t="s">
        <v>10</v>
      </c>
      <c r="B422" s="22" t="s">
        <v>155</v>
      </c>
      <c r="C422" s="23" t="s">
        <v>579</v>
      </c>
      <c r="D422" s="24">
        <v>3.42</v>
      </c>
      <c r="E422" s="25">
        <v>7.8908045977011492</v>
      </c>
      <c r="F422" s="25">
        <v>0.43341587764020395</v>
      </c>
      <c r="G422" s="25">
        <v>7.9476305267682479</v>
      </c>
      <c r="H422" s="25">
        <v>33.081681860219319</v>
      </c>
      <c r="I422" s="25">
        <v>1.9093597253280574</v>
      </c>
      <c r="J422" s="26">
        <v>90</v>
      </c>
      <c r="K422" s="26">
        <v>50</v>
      </c>
    </row>
    <row r="423" spans="1:12" x14ac:dyDescent="0.2">
      <c r="A423" s="22" t="s">
        <v>10</v>
      </c>
      <c r="B423" s="22" t="s">
        <v>155</v>
      </c>
      <c r="C423" s="23" t="s">
        <v>908</v>
      </c>
      <c r="D423" s="24" t="s">
        <v>8</v>
      </c>
      <c r="E423" s="25">
        <v>6.3975903614457827</v>
      </c>
      <c r="F423" s="25" t="s">
        <v>8</v>
      </c>
      <c r="G423" s="25">
        <v>7.6136430405565454</v>
      </c>
      <c r="H423" s="25">
        <v>33.502503991871102</v>
      </c>
      <c r="I423" s="25">
        <v>1.7302456068083778</v>
      </c>
      <c r="J423" s="26">
        <v>103</v>
      </c>
      <c r="K423" s="26">
        <v>38</v>
      </c>
    </row>
    <row r="424" spans="1:12" x14ac:dyDescent="0.2">
      <c r="A424" s="22" t="s">
        <v>10</v>
      </c>
      <c r="B424" s="22" t="s">
        <v>156</v>
      </c>
      <c r="C424" s="23" t="s">
        <v>604</v>
      </c>
      <c r="D424" s="24">
        <v>3.42</v>
      </c>
      <c r="E424" s="25">
        <v>6.3192771084337354</v>
      </c>
      <c r="F424" s="25">
        <v>0.54120114394661578</v>
      </c>
      <c r="G424" s="25">
        <v>8.3711879044677069</v>
      </c>
      <c r="H424" s="25">
        <v>36.69589200174191</v>
      </c>
      <c r="I424" s="25">
        <v>1.9096629924837358</v>
      </c>
      <c r="J424" s="26">
        <v>88</v>
      </c>
      <c r="K424" s="26">
        <v>45</v>
      </c>
      <c r="L424" s="21" t="s">
        <v>943</v>
      </c>
    </row>
    <row r="425" spans="1:12" x14ac:dyDescent="0.2">
      <c r="A425" s="22" t="s">
        <v>10</v>
      </c>
      <c r="B425" s="22" t="s">
        <v>156</v>
      </c>
      <c r="C425" s="23" t="s">
        <v>613</v>
      </c>
      <c r="D425" s="24">
        <v>3.42</v>
      </c>
      <c r="E425" s="25">
        <v>8.9698795180722914</v>
      </c>
      <c r="F425" s="25">
        <v>0.38127602417730011</v>
      </c>
      <c r="G425" s="25">
        <v>9.3501774250633289</v>
      </c>
      <c r="H425" s="25">
        <v>48.573268979532592</v>
      </c>
      <c r="I425" s="25">
        <v>1.7998751106704942</v>
      </c>
      <c r="J425" s="26">
        <v>70</v>
      </c>
      <c r="K425" s="26">
        <v>36</v>
      </c>
    </row>
    <row r="426" spans="1:12" x14ac:dyDescent="0.2">
      <c r="A426" s="22" t="s">
        <v>10</v>
      </c>
      <c r="B426" s="22" t="s">
        <v>216</v>
      </c>
      <c r="C426" s="23" t="s">
        <v>734</v>
      </c>
      <c r="D426" s="24">
        <v>10.23</v>
      </c>
      <c r="E426" s="25">
        <v>12.416058394160585</v>
      </c>
      <c r="F426" s="25">
        <v>0.82393298059964726</v>
      </c>
      <c r="G426" s="25">
        <v>13.772608025449557</v>
      </c>
      <c r="H426" s="25">
        <v>86.123474878789494</v>
      </c>
      <c r="I426" s="25">
        <v>2.2024742045027859</v>
      </c>
      <c r="J426" s="26">
        <v>126</v>
      </c>
      <c r="K426" s="26">
        <v>33</v>
      </c>
      <c r="L426" s="21" t="s">
        <v>944</v>
      </c>
    </row>
    <row r="427" spans="1:12" x14ac:dyDescent="0.2">
      <c r="A427" s="22" t="s">
        <v>10</v>
      </c>
      <c r="B427" s="22" t="s">
        <v>216</v>
      </c>
      <c r="C427" s="23" t="s">
        <v>857</v>
      </c>
      <c r="D427" s="24">
        <v>10.23</v>
      </c>
      <c r="E427" s="25">
        <v>15.78094726054681</v>
      </c>
      <c r="F427" s="25">
        <v>0.64825005946097625</v>
      </c>
      <c r="G427" s="25">
        <v>17.077378959368684</v>
      </c>
      <c r="H427" s="25">
        <v>129.87811735729048</v>
      </c>
      <c r="I427" s="25">
        <v>2.2454658109926608</v>
      </c>
      <c r="J427" s="26">
        <v>158</v>
      </c>
      <c r="K427" s="26">
        <v>54</v>
      </c>
      <c r="L427" s="21" t="s">
        <v>944</v>
      </c>
    </row>
    <row r="428" spans="1:12" x14ac:dyDescent="0.2">
      <c r="A428" s="22" t="s">
        <v>10</v>
      </c>
      <c r="B428" s="22" t="s">
        <v>157</v>
      </c>
      <c r="C428" s="23" t="s">
        <v>511</v>
      </c>
      <c r="D428" s="24">
        <v>9.59</v>
      </c>
      <c r="E428" s="25">
        <v>16.231481481481481</v>
      </c>
      <c r="F428" s="25">
        <v>0.59082715345122649</v>
      </c>
      <c r="G428" s="25">
        <v>17.576980859117349</v>
      </c>
      <c r="H428" s="25">
        <v>131.87397119341563</v>
      </c>
      <c r="I428" s="25">
        <v>2.3427690341458627</v>
      </c>
      <c r="J428" s="26">
        <v>70</v>
      </c>
      <c r="K428" s="26">
        <v>72</v>
      </c>
    </row>
    <row r="429" spans="1:12" x14ac:dyDescent="0.2">
      <c r="A429" s="22" t="s">
        <v>10</v>
      </c>
      <c r="B429" s="22" t="s">
        <v>157</v>
      </c>
      <c r="C429" s="23" t="s">
        <v>565</v>
      </c>
      <c r="D429" s="24">
        <v>10.63</v>
      </c>
      <c r="E429" s="25">
        <v>18.157407407407405</v>
      </c>
      <c r="F429" s="25">
        <v>0.58543600203977575</v>
      </c>
      <c r="G429" s="25">
        <v>18.518486001175077</v>
      </c>
      <c r="H429" s="25">
        <v>137.13138717421126</v>
      </c>
      <c r="I429" s="25">
        <v>2.5007719300618954</v>
      </c>
      <c r="J429" s="26">
        <v>52</v>
      </c>
      <c r="K429" s="26">
        <v>63</v>
      </c>
    </row>
    <row r="430" spans="1:12" x14ac:dyDescent="0.2">
      <c r="A430" s="22" t="s">
        <v>10</v>
      </c>
      <c r="B430" s="22" t="s">
        <v>158</v>
      </c>
      <c r="C430" s="23" t="s">
        <v>435</v>
      </c>
      <c r="D430" s="24">
        <v>9.68</v>
      </c>
      <c r="E430" s="25">
        <v>15.907692307692308</v>
      </c>
      <c r="F430" s="25">
        <v>0.60851063829787233</v>
      </c>
      <c r="G430" s="25">
        <v>16.321647321563901</v>
      </c>
      <c r="H430" s="25">
        <v>149.68281065088757</v>
      </c>
      <c r="I430" s="25">
        <v>1.779737901306802</v>
      </c>
      <c r="J430" s="26">
        <v>90</v>
      </c>
      <c r="K430" s="26">
        <v>50</v>
      </c>
    </row>
    <row r="431" spans="1:12" x14ac:dyDescent="0.2">
      <c r="A431" s="22" t="s">
        <v>10</v>
      </c>
      <c r="B431" s="22" t="s">
        <v>158</v>
      </c>
      <c r="C431" s="23" t="s">
        <v>491</v>
      </c>
      <c r="D431" s="24">
        <v>10.050000000000001</v>
      </c>
      <c r="E431" s="25">
        <v>16.157407407407405</v>
      </c>
      <c r="F431" s="25">
        <v>0.62200573065902598</v>
      </c>
      <c r="G431" s="25">
        <v>17.136936085693407</v>
      </c>
      <c r="H431" s="25">
        <v>132.72466563786008</v>
      </c>
      <c r="I431" s="25">
        <v>2.2126601486903223</v>
      </c>
      <c r="J431" s="26">
        <v>88</v>
      </c>
      <c r="K431" s="26">
        <v>52</v>
      </c>
    </row>
    <row r="432" spans="1:12" x14ac:dyDescent="0.2">
      <c r="A432" s="22" t="s">
        <v>10</v>
      </c>
      <c r="B432" s="22" t="s">
        <v>158</v>
      </c>
      <c r="C432" s="23" t="s">
        <v>745</v>
      </c>
      <c r="D432" s="24" t="s">
        <v>8</v>
      </c>
      <c r="E432" s="25">
        <v>14.445255474452551</v>
      </c>
      <c r="F432" s="25" t="s">
        <v>8</v>
      </c>
      <c r="G432" s="25">
        <v>15.719784692597006</v>
      </c>
      <c r="H432" s="25">
        <v>105.44229847088283</v>
      </c>
      <c r="I432" s="25">
        <v>2.3435721182599725</v>
      </c>
      <c r="J432" s="26">
        <v>111</v>
      </c>
      <c r="K432" s="26">
        <v>52</v>
      </c>
    </row>
    <row r="433" spans="1:12" x14ac:dyDescent="0.2">
      <c r="A433" s="22" t="s">
        <v>10</v>
      </c>
      <c r="B433" s="22" t="s">
        <v>158</v>
      </c>
      <c r="C433" s="23" t="s">
        <v>757</v>
      </c>
      <c r="D433" s="24">
        <v>11.19</v>
      </c>
      <c r="E433" s="25">
        <v>16.422413793103448</v>
      </c>
      <c r="F433" s="25">
        <v>0.68138582677165349</v>
      </c>
      <c r="G433" s="25">
        <v>18.491054286071609</v>
      </c>
      <c r="H433" s="25">
        <v>148.93344976218788</v>
      </c>
      <c r="I433" s="25">
        <v>2.29578438662646</v>
      </c>
      <c r="J433" s="26">
        <v>88</v>
      </c>
      <c r="K433" s="26">
        <v>78</v>
      </c>
    </row>
    <row r="434" spans="1:12" x14ac:dyDescent="0.2">
      <c r="A434" s="22" t="s">
        <v>10</v>
      </c>
      <c r="B434" s="22" t="s">
        <v>158</v>
      </c>
      <c r="C434" s="23" t="s">
        <v>788</v>
      </c>
      <c r="D434" s="24" t="s">
        <v>8</v>
      </c>
      <c r="E434" s="25">
        <v>16.96039603960396</v>
      </c>
      <c r="F434" s="25" t="s">
        <v>8</v>
      </c>
      <c r="G434" s="25">
        <v>19.081534403281559</v>
      </c>
      <c r="H434" s="25">
        <v>147.11288109008922</v>
      </c>
      <c r="I434" s="25">
        <v>2.4750039050669299</v>
      </c>
      <c r="J434" s="26">
        <v>63</v>
      </c>
      <c r="K434" s="26">
        <v>25</v>
      </c>
    </row>
    <row r="435" spans="1:12" x14ac:dyDescent="0.2">
      <c r="A435" s="22" t="s">
        <v>211</v>
      </c>
      <c r="B435" s="22" t="s">
        <v>293</v>
      </c>
      <c r="C435" s="23" t="s">
        <v>762</v>
      </c>
      <c r="D435" s="24" t="s">
        <v>8</v>
      </c>
      <c r="E435" s="25">
        <v>43.361111111111121</v>
      </c>
      <c r="F435" s="25" t="s">
        <v>8</v>
      </c>
      <c r="G435" s="25">
        <v>52.781505805001636</v>
      </c>
      <c r="H435" s="25">
        <v>1221.5177469135801</v>
      </c>
      <c r="I435" s="25">
        <v>2.280676938245513</v>
      </c>
      <c r="J435" s="26">
        <v>50</v>
      </c>
      <c r="K435" s="26">
        <v>21</v>
      </c>
    </row>
    <row r="436" spans="1:12" x14ac:dyDescent="0.2">
      <c r="A436" s="22" t="s">
        <v>211</v>
      </c>
      <c r="B436" s="21" t="s">
        <v>293</v>
      </c>
      <c r="C436" s="23" t="s">
        <v>983</v>
      </c>
      <c r="D436" s="24">
        <v>28.66</v>
      </c>
      <c r="E436" s="29">
        <v>56.34</v>
      </c>
      <c r="F436" s="30">
        <f>D436/E436</f>
        <v>0.50869719559815407</v>
      </c>
      <c r="G436" s="29">
        <v>50.52</v>
      </c>
      <c r="H436" s="29" t="s">
        <v>8</v>
      </c>
      <c r="I436" s="25" t="s">
        <v>8</v>
      </c>
      <c r="J436" s="29" t="s">
        <v>8</v>
      </c>
      <c r="K436" s="29" t="s">
        <v>8</v>
      </c>
      <c r="L436" s="21" t="s">
        <v>974</v>
      </c>
    </row>
    <row r="437" spans="1:12" x14ac:dyDescent="0.2">
      <c r="A437" s="22" t="s">
        <v>10</v>
      </c>
      <c r="B437" s="22" t="s">
        <v>294</v>
      </c>
      <c r="C437" s="23" t="s">
        <v>809</v>
      </c>
      <c r="D437" s="24" t="s">
        <v>8</v>
      </c>
      <c r="E437" s="25">
        <v>21.781609195402297</v>
      </c>
      <c r="F437" s="25" t="s">
        <v>8</v>
      </c>
      <c r="G437" s="25">
        <v>28.080474277851817</v>
      </c>
      <c r="H437" s="25">
        <v>300.53705905667857</v>
      </c>
      <c r="I437" s="25">
        <v>2.6236798820886547</v>
      </c>
      <c r="J437" s="26">
        <v>84</v>
      </c>
      <c r="K437" s="26">
        <v>59</v>
      </c>
    </row>
    <row r="438" spans="1:12" x14ac:dyDescent="0.2">
      <c r="A438" s="22" t="s">
        <v>10</v>
      </c>
      <c r="B438" s="22" t="s">
        <v>295</v>
      </c>
      <c r="C438" s="23" t="s">
        <v>663</v>
      </c>
      <c r="D438" s="24" t="s">
        <v>8</v>
      </c>
      <c r="E438" s="25">
        <v>19.01063829787234</v>
      </c>
      <c r="F438" s="25" t="s">
        <v>8</v>
      </c>
      <c r="G438" s="25">
        <v>24.095570450526953</v>
      </c>
      <c r="H438" s="25">
        <v>257.82531688546851</v>
      </c>
      <c r="I438" s="25">
        <v>2.2518987753022759</v>
      </c>
      <c r="J438" s="26">
        <v>94</v>
      </c>
      <c r="K438" s="26">
        <v>58</v>
      </c>
    </row>
    <row r="439" spans="1:12" x14ac:dyDescent="0.2">
      <c r="A439" s="28" t="s">
        <v>211</v>
      </c>
      <c r="B439" s="22" t="s">
        <v>231</v>
      </c>
      <c r="C439" s="23" t="s">
        <v>484</v>
      </c>
      <c r="D439" s="24">
        <v>28.69</v>
      </c>
      <c r="E439" s="25">
        <v>45.166666666666657</v>
      </c>
      <c r="F439" s="25">
        <v>0.63520295202952048</v>
      </c>
      <c r="G439" s="25">
        <v>43.084277366120475</v>
      </c>
      <c r="H439" s="25">
        <v>777.93672839506166</v>
      </c>
      <c r="I439" s="25">
        <v>2.3861258742602187</v>
      </c>
      <c r="J439" s="26">
        <v>83</v>
      </c>
      <c r="K439" s="26">
        <v>26</v>
      </c>
    </row>
    <row r="440" spans="1:12" x14ac:dyDescent="0.2">
      <c r="A440" s="28" t="s">
        <v>211</v>
      </c>
      <c r="B440" s="22" t="s">
        <v>231</v>
      </c>
      <c r="C440" s="23" t="s">
        <v>486</v>
      </c>
      <c r="D440" s="24">
        <v>39.64</v>
      </c>
      <c r="E440" s="25">
        <v>52.583333333333329</v>
      </c>
      <c r="F440" s="25">
        <v>0.75385103011093513</v>
      </c>
      <c r="G440" s="25">
        <v>58.714799725276251</v>
      </c>
      <c r="H440" s="25">
        <v>1277.4475308641975</v>
      </c>
      <c r="I440" s="25">
        <v>2.6986843870190924</v>
      </c>
      <c r="J440" s="26">
        <v>68</v>
      </c>
      <c r="K440" s="26">
        <v>23</v>
      </c>
    </row>
    <row r="441" spans="1:12" x14ac:dyDescent="0.2">
      <c r="A441" s="22" t="s">
        <v>10</v>
      </c>
      <c r="B441" s="22" t="s">
        <v>159</v>
      </c>
      <c r="C441" s="23" t="s">
        <v>380</v>
      </c>
      <c r="D441" s="24">
        <v>5.69</v>
      </c>
      <c r="E441" s="25">
        <v>21.241379310344826</v>
      </c>
      <c r="F441" s="25">
        <v>0.26787337662337668</v>
      </c>
      <c r="G441" s="25">
        <v>31.492583010427154</v>
      </c>
      <c r="H441" s="25">
        <v>455.98579733121949</v>
      </c>
      <c r="I441" s="25">
        <v>2.1750299910070066</v>
      </c>
      <c r="J441" s="26">
        <v>103</v>
      </c>
      <c r="K441" s="26">
        <v>67</v>
      </c>
    </row>
    <row r="442" spans="1:12" x14ac:dyDescent="0.2">
      <c r="A442" s="22" t="s">
        <v>10</v>
      </c>
      <c r="B442" s="22" t="s">
        <v>159</v>
      </c>
      <c r="C442" s="23" t="s">
        <v>866</v>
      </c>
      <c r="D442" s="24" t="s">
        <v>8</v>
      </c>
      <c r="E442" s="25">
        <v>20.606382978723403</v>
      </c>
      <c r="F442" s="25" t="s">
        <v>8</v>
      </c>
      <c r="G442" s="25">
        <v>21.926442743932263</v>
      </c>
      <c r="H442" s="25">
        <v>229.00135808057945</v>
      </c>
      <c r="I442" s="25">
        <v>2.0994150228304327</v>
      </c>
      <c r="J442" s="26">
        <v>116</v>
      </c>
      <c r="K442" s="26">
        <v>66</v>
      </c>
    </row>
    <row r="443" spans="1:12" x14ac:dyDescent="0.2">
      <c r="A443" s="22" t="s">
        <v>10</v>
      </c>
      <c r="B443" s="22" t="s">
        <v>160</v>
      </c>
      <c r="C443" s="23" t="s">
        <v>528</v>
      </c>
      <c r="D443" s="24">
        <v>5.71</v>
      </c>
      <c r="E443" s="25">
        <v>12.321167883211681</v>
      </c>
      <c r="F443" s="25">
        <v>0.46343009478672981</v>
      </c>
      <c r="G443" s="25">
        <v>11.951396805387592</v>
      </c>
      <c r="H443" s="25">
        <v>90.981378869412339</v>
      </c>
      <c r="I443" s="25">
        <v>1.5699463711672734</v>
      </c>
      <c r="J443" s="26">
        <v>192</v>
      </c>
      <c r="K443" s="26">
        <v>42</v>
      </c>
    </row>
    <row r="444" spans="1:12" ht="13.5" customHeight="1" x14ac:dyDescent="0.2">
      <c r="A444" s="22" t="s">
        <v>10</v>
      </c>
      <c r="B444" s="22" t="s">
        <v>160</v>
      </c>
      <c r="C444" s="23" t="s">
        <v>859</v>
      </c>
      <c r="D444" s="24" t="s">
        <v>8</v>
      </c>
      <c r="E444" s="25">
        <v>12.976923076923081</v>
      </c>
      <c r="F444" s="25" t="s">
        <v>8</v>
      </c>
      <c r="G444" s="25">
        <v>13.612235085620881</v>
      </c>
      <c r="H444" s="25">
        <v>101.29275147928993</v>
      </c>
      <c r="I444" s="25">
        <v>1.8292813781852166</v>
      </c>
      <c r="J444" s="26">
        <v>170</v>
      </c>
      <c r="K444" s="26">
        <v>46</v>
      </c>
    </row>
    <row r="445" spans="1:12" x14ac:dyDescent="0.2">
      <c r="A445" s="22" t="s">
        <v>10</v>
      </c>
      <c r="B445" s="22" t="s">
        <v>161</v>
      </c>
      <c r="C445" s="23" t="s">
        <v>322</v>
      </c>
      <c r="D445" s="24">
        <v>16.466666666666669</v>
      </c>
      <c r="E445" s="25">
        <v>17.022988505747126</v>
      </c>
      <c r="F445" s="25">
        <v>0.96731937879810959</v>
      </c>
      <c r="G445" s="25">
        <v>21.708073150871442</v>
      </c>
      <c r="H445" s="25">
        <v>248.27751354207953</v>
      </c>
      <c r="I445" s="25">
        <v>1.8980391466008337</v>
      </c>
      <c r="J445" s="26">
        <v>102</v>
      </c>
      <c r="K445" s="26">
        <v>40</v>
      </c>
    </row>
    <row r="446" spans="1:12" x14ac:dyDescent="0.2">
      <c r="A446" s="22" t="s">
        <v>10</v>
      </c>
      <c r="B446" s="22" t="s">
        <v>161</v>
      </c>
      <c r="C446" s="23" t="s">
        <v>382</v>
      </c>
      <c r="D446" s="24">
        <v>9.64</v>
      </c>
      <c r="E446" s="25">
        <v>19.850574712643681</v>
      </c>
      <c r="F446" s="25">
        <v>0.48562825709322521</v>
      </c>
      <c r="G446" s="25">
        <v>24.633230710336875</v>
      </c>
      <c r="H446" s="25">
        <v>295.56619104240986</v>
      </c>
      <c r="I446" s="25">
        <v>2.052995483308226</v>
      </c>
      <c r="J446" s="26">
        <v>126</v>
      </c>
      <c r="K446" s="26">
        <v>51</v>
      </c>
    </row>
    <row r="447" spans="1:12" x14ac:dyDescent="0.2">
      <c r="A447" s="22" t="s">
        <v>10</v>
      </c>
      <c r="B447" s="22" t="s">
        <v>161</v>
      </c>
      <c r="C447" s="23" t="s">
        <v>699</v>
      </c>
      <c r="D447" s="24">
        <v>17.59</v>
      </c>
      <c r="E447" s="29" t="s">
        <v>8</v>
      </c>
      <c r="F447" s="25" t="s">
        <v>8</v>
      </c>
      <c r="G447" s="29" t="s">
        <v>8</v>
      </c>
      <c r="H447" s="29" t="s">
        <v>8</v>
      </c>
      <c r="I447" s="25" t="s">
        <v>8</v>
      </c>
      <c r="J447" s="29" t="s">
        <v>8</v>
      </c>
      <c r="K447" s="29" t="s">
        <v>8</v>
      </c>
    </row>
    <row r="448" spans="1:12" x14ac:dyDescent="0.2">
      <c r="A448" s="22" t="s">
        <v>10</v>
      </c>
      <c r="B448" s="22" t="s">
        <v>161</v>
      </c>
      <c r="C448" s="23" t="s">
        <v>700</v>
      </c>
      <c r="D448" s="24">
        <v>9.67</v>
      </c>
      <c r="E448" s="29" t="s">
        <v>8</v>
      </c>
      <c r="F448" s="25" t="s">
        <v>8</v>
      </c>
      <c r="G448" s="29" t="s">
        <v>8</v>
      </c>
      <c r="H448" s="29" t="s">
        <v>8</v>
      </c>
      <c r="I448" s="25" t="s">
        <v>8</v>
      </c>
      <c r="J448" s="29" t="s">
        <v>8</v>
      </c>
      <c r="K448" s="29" t="s">
        <v>8</v>
      </c>
    </row>
    <row r="449" spans="1:12" x14ac:dyDescent="0.2">
      <c r="A449" s="22" t="s">
        <v>10</v>
      </c>
      <c r="B449" s="22" t="s">
        <v>162</v>
      </c>
      <c r="C449" s="23" t="s">
        <v>736</v>
      </c>
      <c r="D449" s="24">
        <v>13.34</v>
      </c>
      <c r="E449" s="25">
        <v>12.912408759124087</v>
      </c>
      <c r="F449" s="25">
        <v>1.0331147540983607</v>
      </c>
      <c r="G449" s="25">
        <v>14.754541777137387</v>
      </c>
      <c r="H449" s="25">
        <v>118.23259097447919</v>
      </c>
      <c r="I449" s="25">
        <v>1.8412563004754148</v>
      </c>
      <c r="J449" s="26">
        <v>116</v>
      </c>
      <c r="K449" s="26">
        <v>46</v>
      </c>
      <c r="L449" s="21" t="s">
        <v>945</v>
      </c>
    </row>
    <row r="450" spans="1:12" x14ac:dyDescent="0.2">
      <c r="A450" s="22" t="s">
        <v>10</v>
      </c>
      <c r="B450" s="22" t="s">
        <v>162</v>
      </c>
      <c r="C450" s="23" t="s">
        <v>810</v>
      </c>
      <c r="D450" s="24">
        <v>13.34</v>
      </c>
      <c r="E450" s="25">
        <v>15.178217821782177</v>
      </c>
      <c r="F450" s="25">
        <v>0.87889106327462496</v>
      </c>
      <c r="G450" s="25">
        <v>16.758634682690968</v>
      </c>
      <c r="H450" s="25">
        <v>156.36339574551516</v>
      </c>
      <c r="I450" s="25">
        <v>1.7961482295062527</v>
      </c>
      <c r="J450" s="26">
        <v>150</v>
      </c>
      <c r="K450" s="26">
        <v>50</v>
      </c>
      <c r="L450" s="21" t="s">
        <v>945</v>
      </c>
    </row>
    <row r="451" spans="1:12" x14ac:dyDescent="0.2">
      <c r="A451" s="22" t="s">
        <v>10</v>
      </c>
      <c r="B451" s="22" t="s">
        <v>163</v>
      </c>
      <c r="C451" s="23" t="s">
        <v>751</v>
      </c>
      <c r="D451" s="24">
        <v>13.34</v>
      </c>
      <c r="E451" s="25">
        <v>16.3448275862069</v>
      </c>
      <c r="F451" s="25">
        <v>0.81616033755274242</v>
      </c>
      <c r="G451" s="25">
        <v>21.401983524671493</v>
      </c>
      <c r="H451" s="25">
        <v>228.11751882679351</v>
      </c>
      <c r="I451" s="25">
        <v>2.0079338980453194</v>
      </c>
      <c r="J451" s="26">
        <v>105</v>
      </c>
      <c r="K451" s="26">
        <v>29</v>
      </c>
      <c r="L451" s="21" t="s">
        <v>945</v>
      </c>
    </row>
    <row r="452" spans="1:12" x14ac:dyDescent="0.2">
      <c r="A452" s="22" t="s">
        <v>10</v>
      </c>
      <c r="B452" s="22" t="s">
        <v>163</v>
      </c>
      <c r="C452" s="23" t="s">
        <v>968</v>
      </c>
      <c r="D452" s="24">
        <v>13.34</v>
      </c>
      <c r="E452" s="25">
        <v>14.405940594059404</v>
      </c>
      <c r="F452" s="25">
        <v>0.92600687285223382</v>
      </c>
      <c r="G452" s="25">
        <v>22.358550369981394</v>
      </c>
      <c r="H452" s="25">
        <v>232.00784236839525</v>
      </c>
      <c r="I452" s="25">
        <v>2.154689124056496</v>
      </c>
      <c r="J452" s="26">
        <v>116</v>
      </c>
      <c r="K452" s="26">
        <v>30</v>
      </c>
      <c r="L452" s="21" t="s">
        <v>945</v>
      </c>
    </row>
    <row r="453" spans="1:12" x14ac:dyDescent="0.2">
      <c r="A453" s="22" t="s">
        <v>10</v>
      </c>
      <c r="B453" s="22" t="s">
        <v>296</v>
      </c>
      <c r="C453" s="23" t="s">
        <v>750</v>
      </c>
      <c r="D453" s="24">
        <v>11.59</v>
      </c>
      <c r="E453" s="25">
        <v>16.53448275862069</v>
      </c>
      <c r="F453" s="25">
        <v>0.70095933263816468</v>
      </c>
      <c r="G453" s="25">
        <v>20.5687656413537</v>
      </c>
      <c r="H453" s="25">
        <v>213.0389045778835</v>
      </c>
      <c r="I453" s="25">
        <v>1.9859007482563522</v>
      </c>
      <c r="J453" s="26">
        <v>106</v>
      </c>
      <c r="K453" s="26">
        <v>38</v>
      </c>
      <c r="L453" s="21" t="s">
        <v>946</v>
      </c>
    </row>
    <row r="454" spans="1:12" x14ac:dyDescent="0.2">
      <c r="A454" s="22" t="s">
        <v>10</v>
      </c>
      <c r="B454" s="22" t="s">
        <v>296</v>
      </c>
      <c r="C454" s="23" t="s">
        <v>864</v>
      </c>
      <c r="D454" s="24">
        <v>11.59</v>
      </c>
      <c r="E454" s="25">
        <v>18.689655172413797</v>
      </c>
      <c r="F454" s="25">
        <v>0.6201291512915128</v>
      </c>
      <c r="G454" s="25">
        <v>20.908600038975781</v>
      </c>
      <c r="H454" s="25">
        <v>200.00661414982164</v>
      </c>
      <c r="I454" s="25">
        <v>2.1857754927163637</v>
      </c>
      <c r="J454" s="26">
        <v>107</v>
      </c>
      <c r="K454" s="26">
        <v>38</v>
      </c>
      <c r="L454" s="21" t="s">
        <v>946</v>
      </c>
    </row>
    <row r="455" spans="1:12" x14ac:dyDescent="0.2">
      <c r="A455" s="22" t="s">
        <v>10</v>
      </c>
      <c r="B455" s="22" t="s">
        <v>164</v>
      </c>
      <c r="C455" s="23" t="s">
        <v>480</v>
      </c>
      <c r="D455" s="24">
        <v>11.59</v>
      </c>
      <c r="E455" s="25">
        <v>17.25</v>
      </c>
      <c r="F455" s="25">
        <v>0.67188405797101447</v>
      </c>
      <c r="G455" s="25">
        <v>19.782852703955719</v>
      </c>
      <c r="H455" s="25">
        <v>167.20674725651577</v>
      </c>
      <c r="I455" s="25">
        <v>2.3405829461296301</v>
      </c>
      <c r="J455" s="26">
        <v>119</v>
      </c>
      <c r="K455" s="26">
        <v>54</v>
      </c>
    </row>
    <row r="456" spans="1:12" x14ac:dyDescent="0.2">
      <c r="A456" s="22" t="s">
        <v>10</v>
      </c>
      <c r="B456" s="22" t="s">
        <v>165</v>
      </c>
      <c r="C456" s="23" t="s">
        <v>430</v>
      </c>
      <c r="D456" s="24">
        <v>8.67</v>
      </c>
      <c r="E456" s="25">
        <v>14.461538461538462</v>
      </c>
      <c r="F456" s="25">
        <v>0.59952127659574472</v>
      </c>
      <c r="G456" s="25">
        <v>14.476944645772608</v>
      </c>
      <c r="H456" s="25">
        <v>61.649053254437867</v>
      </c>
      <c r="I456" s="25">
        <v>3.3995968342251426</v>
      </c>
      <c r="J456" s="26">
        <v>103</v>
      </c>
      <c r="K456" s="26">
        <v>129</v>
      </c>
    </row>
    <row r="457" spans="1:12" x14ac:dyDescent="0.2">
      <c r="A457" s="22" t="s">
        <v>10</v>
      </c>
      <c r="B457" s="22" t="s">
        <v>165</v>
      </c>
      <c r="C457" s="23" t="s">
        <v>454</v>
      </c>
      <c r="D457" s="24">
        <v>8.16</v>
      </c>
      <c r="E457" s="25">
        <v>13.728915662650603</v>
      </c>
      <c r="F457" s="25">
        <v>0.59436594997806047</v>
      </c>
      <c r="G457" s="25">
        <v>13.499561615428233</v>
      </c>
      <c r="H457" s="25">
        <v>54.376560458702279</v>
      </c>
      <c r="I457" s="25">
        <v>3.3514102817729507</v>
      </c>
      <c r="J457" s="26">
        <v>85</v>
      </c>
      <c r="K457" s="26">
        <v>138</v>
      </c>
    </row>
    <row r="458" spans="1:12" x14ac:dyDescent="0.2">
      <c r="A458" s="22" t="s">
        <v>10</v>
      </c>
      <c r="B458" s="22" t="s">
        <v>297</v>
      </c>
      <c r="C458" s="23" t="s">
        <v>829</v>
      </c>
      <c r="D458" s="24" t="s">
        <v>8</v>
      </c>
      <c r="E458" s="25">
        <v>14.853846153846154</v>
      </c>
      <c r="F458" s="25" t="s">
        <v>8</v>
      </c>
      <c r="G458" s="25">
        <v>13.376164795212528</v>
      </c>
      <c r="H458" s="25">
        <v>56.200887573964494</v>
      </c>
      <c r="I458" s="25">
        <v>3.1836113690056731</v>
      </c>
      <c r="J458" s="26">
        <v>90</v>
      </c>
      <c r="K458" s="26">
        <v>128</v>
      </c>
    </row>
    <row r="459" spans="1:12" x14ac:dyDescent="0.2">
      <c r="A459" s="22" t="s">
        <v>10</v>
      </c>
      <c r="B459" s="22" t="s">
        <v>166</v>
      </c>
      <c r="C459" s="23" t="s">
        <v>327</v>
      </c>
      <c r="D459" s="24">
        <v>11.49</v>
      </c>
      <c r="E459" s="25">
        <v>14.379629629629628</v>
      </c>
      <c r="F459" s="25">
        <v>0.79904700579523513</v>
      </c>
      <c r="G459" s="25">
        <v>16.556953308345651</v>
      </c>
      <c r="H459" s="25">
        <v>102.62911522633745</v>
      </c>
      <c r="I459" s="25">
        <v>2.6711007129913171</v>
      </c>
      <c r="J459" s="26">
        <v>94</v>
      </c>
      <c r="K459" s="26">
        <v>135</v>
      </c>
    </row>
    <row r="460" spans="1:12" x14ac:dyDescent="0.2">
      <c r="A460" s="22" t="s">
        <v>10</v>
      </c>
      <c r="B460" s="22" t="s">
        <v>166</v>
      </c>
      <c r="C460" s="23" t="s">
        <v>439</v>
      </c>
      <c r="D460" s="24">
        <v>11.236666666666666</v>
      </c>
      <c r="E460" s="25">
        <v>13.336206896551726</v>
      </c>
      <c r="F460" s="25">
        <v>0.84256841198017651</v>
      </c>
      <c r="G460" s="25">
        <v>16.325548753476763</v>
      </c>
      <c r="H460" s="25">
        <v>93.984653686087981</v>
      </c>
      <c r="I460" s="25">
        <v>2.8358198030110811</v>
      </c>
      <c r="J460" s="26">
        <v>96</v>
      </c>
      <c r="K460" s="26">
        <v>148</v>
      </c>
    </row>
    <row r="461" spans="1:12" x14ac:dyDescent="0.2">
      <c r="A461" s="22" t="s">
        <v>10</v>
      </c>
      <c r="B461" s="22" t="s">
        <v>166</v>
      </c>
      <c r="C461" s="23" t="s">
        <v>839</v>
      </c>
      <c r="D461" s="24">
        <v>10.09</v>
      </c>
      <c r="E461" s="25">
        <v>15.060344827586208</v>
      </c>
      <c r="F461" s="25">
        <v>0.66997137950772745</v>
      </c>
      <c r="G461" s="25">
        <v>18.89036778211214</v>
      </c>
      <c r="H461" s="25">
        <v>114.07416765755055</v>
      </c>
      <c r="I461" s="25">
        <v>3.1281928439285944</v>
      </c>
      <c r="J461" s="26">
        <v>86</v>
      </c>
      <c r="K461" s="26">
        <v>137</v>
      </c>
    </row>
    <row r="462" spans="1:12" x14ac:dyDescent="0.2">
      <c r="A462" s="22" t="s">
        <v>10</v>
      </c>
      <c r="B462" s="22" t="s">
        <v>166</v>
      </c>
      <c r="C462" s="23" t="s">
        <v>871</v>
      </c>
      <c r="D462" s="24" t="s">
        <v>8</v>
      </c>
      <c r="E462" s="25">
        <v>12.930769230769233</v>
      </c>
      <c r="F462" s="25" t="s">
        <v>8</v>
      </c>
      <c r="G462" s="25">
        <v>15.99034979424729</v>
      </c>
      <c r="H462" s="25">
        <v>93.272633136094683</v>
      </c>
      <c r="I462" s="25">
        <v>2.7413323495360489</v>
      </c>
      <c r="J462" s="26">
        <v>92</v>
      </c>
      <c r="K462" s="26">
        <v>133</v>
      </c>
    </row>
    <row r="463" spans="1:12" x14ac:dyDescent="0.2">
      <c r="A463" s="22" t="s">
        <v>10</v>
      </c>
      <c r="B463" s="22" t="s">
        <v>167</v>
      </c>
      <c r="C463" s="23" t="s">
        <v>517</v>
      </c>
      <c r="D463" s="24">
        <v>7.44</v>
      </c>
      <c r="E463" s="25">
        <v>12.398148148148149</v>
      </c>
      <c r="F463" s="25">
        <v>0.60008961911874537</v>
      </c>
      <c r="G463" s="25">
        <v>15.309741351843709</v>
      </c>
      <c r="H463" s="25">
        <v>82.870113168724288</v>
      </c>
      <c r="I463" s="25">
        <v>2.8283801155567003</v>
      </c>
      <c r="J463" s="26">
        <v>48</v>
      </c>
      <c r="K463" s="26">
        <v>30</v>
      </c>
    </row>
    <row r="464" spans="1:12" x14ac:dyDescent="0.2">
      <c r="A464" s="22" t="s">
        <v>10</v>
      </c>
      <c r="B464" s="22" t="s">
        <v>168</v>
      </c>
      <c r="C464" s="23" t="s">
        <v>684</v>
      </c>
      <c r="D464" s="24" t="s">
        <v>8</v>
      </c>
      <c r="E464" s="25">
        <v>12.630769230769232</v>
      </c>
      <c r="F464" s="25" t="s">
        <v>8</v>
      </c>
      <c r="G464" s="25">
        <v>14.914638439317843</v>
      </c>
      <c r="H464" s="25">
        <v>80.29467455621301</v>
      </c>
      <c r="I464" s="25">
        <v>2.7703760056944522</v>
      </c>
      <c r="J464" s="26">
        <v>49</v>
      </c>
      <c r="K464" s="26">
        <v>20</v>
      </c>
    </row>
    <row r="465" spans="1:12" ht="15" x14ac:dyDescent="0.25">
      <c r="A465" s="22" t="s">
        <v>10</v>
      </c>
      <c r="B465" s="8" t="s">
        <v>298</v>
      </c>
      <c r="C465" s="23" t="s">
        <v>357</v>
      </c>
      <c r="D465" s="24" t="s">
        <v>8</v>
      </c>
      <c r="E465" s="25">
        <v>4.3253012048192776</v>
      </c>
      <c r="F465" s="25" t="s">
        <v>8</v>
      </c>
      <c r="G465" s="25">
        <v>6.5383571719569886</v>
      </c>
      <c r="H465" s="25">
        <v>25.822398025838297</v>
      </c>
      <c r="I465" s="25">
        <v>1.6555439376817347</v>
      </c>
      <c r="J465" s="26">
        <v>139</v>
      </c>
      <c r="K465" s="26">
        <v>30</v>
      </c>
    </row>
    <row r="466" spans="1:12" ht="15" x14ac:dyDescent="0.25">
      <c r="A466" s="22" t="s">
        <v>10</v>
      </c>
      <c r="B466" s="8" t="s">
        <v>298</v>
      </c>
      <c r="C466" s="23" t="s">
        <v>580</v>
      </c>
      <c r="D466" s="24">
        <v>2.2200000000000002</v>
      </c>
      <c r="E466" s="25">
        <v>5.1666666666666661</v>
      </c>
      <c r="F466" s="25">
        <v>0.42967741935483877</v>
      </c>
      <c r="G466" s="25">
        <v>6.0499301555311016</v>
      </c>
      <c r="H466" s="25">
        <v>20.137716342977939</v>
      </c>
      <c r="I466" s="25">
        <v>1.81756730820015</v>
      </c>
      <c r="J466" s="26">
        <v>140</v>
      </c>
      <c r="K466" s="26">
        <v>32</v>
      </c>
    </row>
    <row r="467" spans="1:12" ht="15" x14ac:dyDescent="0.25">
      <c r="A467" s="22" t="s">
        <v>10</v>
      </c>
      <c r="B467" s="8" t="s">
        <v>298</v>
      </c>
      <c r="C467" s="23" t="s">
        <v>621</v>
      </c>
      <c r="D467" s="24">
        <v>2.89</v>
      </c>
      <c r="E467" s="25">
        <v>4.8915662650602414</v>
      </c>
      <c r="F467" s="25">
        <v>0.59081280788177337</v>
      </c>
      <c r="G467" s="25">
        <v>5.9827341326928067</v>
      </c>
      <c r="H467" s="25">
        <v>19.034692988822759</v>
      </c>
      <c r="I467" s="25">
        <v>1.8804142374928452</v>
      </c>
      <c r="J467" s="26">
        <v>149</v>
      </c>
      <c r="K467" s="26">
        <v>31</v>
      </c>
    </row>
    <row r="468" spans="1:12" ht="15" x14ac:dyDescent="0.25">
      <c r="A468" s="22" t="s">
        <v>10</v>
      </c>
      <c r="B468" s="8" t="s">
        <v>298</v>
      </c>
      <c r="C468" s="23" t="s">
        <v>628</v>
      </c>
      <c r="D468" s="24">
        <v>2.99</v>
      </c>
      <c r="E468" s="25">
        <v>5.3448275862068968</v>
      </c>
      <c r="F468" s="25">
        <v>0.55941935483870964</v>
      </c>
      <c r="G468" s="25">
        <v>6.4827712566624092</v>
      </c>
      <c r="H468" s="25">
        <v>25.233534813053243</v>
      </c>
      <c r="I468" s="25">
        <v>1.6654948851822458</v>
      </c>
      <c r="J468" s="26">
        <v>156</v>
      </c>
      <c r="K468" s="26">
        <v>28</v>
      </c>
    </row>
    <row r="469" spans="1:12" x14ac:dyDescent="0.2">
      <c r="A469" s="22" t="s">
        <v>10</v>
      </c>
      <c r="B469" s="22" t="s">
        <v>299</v>
      </c>
      <c r="C469" s="23" t="s">
        <v>562</v>
      </c>
      <c r="D469" s="24">
        <v>8.5</v>
      </c>
      <c r="E469" s="25">
        <v>15.166666666666666</v>
      </c>
      <c r="F469" s="25">
        <v>0.56043956043956045</v>
      </c>
      <c r="G469" s="25">
        <v>18.32442864849736</v>
      </c>
      <c r="H469" s="25">
        <v>146.3963477366255</v>
      </c>
      <c r="I469" s="25">
        <v>2.2936684588468323</v>
      </c>
      <c r="J469" s="26">
        <v>52</v>
      </c>
      <c r="K469" s="26">
        <v>35</v>
      </c>
    </row>
    <row r="470" spans="1:12" x14ac:dyDescent="0.2">
      <c r="A470" s="28" t="s">
        <v>211</v>
      </c>
      <c r="B470" s="22" t="s">
        <v>232</v>
      </c>
      <c r="C470" s="23" t="s">
        <v>485</v>
      </c>
      <c r="D470" s="24">
        <v>34</v>
      </c>
      <c r="E470" s="25">
        <v>50.80555555555555</v>
      </c>
      <c r="F470" s="25">
        <v>0.66921815199562606</v>
      </c>
      <c r="G470" s="25">
        <v>57.082445580578053</v>
      </c>
      <c r="H470" s="25">
        <v>1030.3641975308642</v>
      </c>
      <c r="I470" s="25">
        <v>3.1623823899044692</v>
      </c>
      <c r="J470" s="26">
        <v>129</v>
      </c>
      <c r="K470" s="26">
        <v>60</v>
      </c>
    </row>
    <row r="471" spans="1:12" x14ac:dyDescent="0.2">
      <c r="A471" s="22" t="s">
        <v>211</v>
      </c>
      <c r="B471" s="22" t="s">
        <v>300</v>
      </c>
      <c r="C471" s="23" t="s">
        <v>763</v>
      </c>
      <c r="D471" s="24">
        <v>34</v>
      </c>
      <c r="E471" s="25">
        <v>36.749999999999993</v>
      </c>
      <c r="F471" s="25">
        <v>0.92517006802721102</v>
      </c>
      <c r="G471" s="25">
        <v>41.801614798684348</v>
      </c>
      <c r="H471" s="25">
        <v>552.4753086419754</v>
      </c>
      <c r="I471" s="25">
        <v>3.1628110296417797</v>
      </c>
      <c r="J471" s="26">
        <v>96</v>
      </c>
      <c r="K471" s="26">
        <v>52</v>
      </c>
      <c r="L471" s="21" t="s">
        <v>966</v>
      </c>
    </row>
    <row r="472" spans="1:12" x14ac:dyDescent="0.2">
      <c r="A472" s="22" t="s">
        <v>10</v>
      </c>
      <c r="B472" s="22" t="s">
        <v>301</v>
      </c>
      <c r="C472" s="23" t="s">
        <v>660</v>
      </c>
      <c r="D472" s="24" t="s">
        <v>8</v>
      </c>
      <c r="E472" s="25">
        <v>15.836206896551724</v>
      </c>
      <c r="F472" s="25" t="s">
        <v>8</v>
      </c>
      <c r="G472" s="25">
        <v>16.587922719067791</v>
      </c>
      <c r="H472" s="25">
        <v>113.72120243757432</v>
      </c>
      <c r="I472" s="25">
        <v>2.4195943609091732</v>
      </c>
      <c r="J472" s="26">
        <v>88</v>
      </c>
      <c r="K472" s="26">
        <v>80</v>
      </c>
    </row>
    <row r="473" spans="1:12" x14ac:dyDescent="0.2">
      <c r="A473" s="22" t="s">
        <v>10</v>
      </c>
      <c r="B473" s="22" t="s">
        <v>217</v>
      </c>
      <c r="C473" s="23" t="s">
        <v>595</v>
      </c>
      <c r="D473" s="24" t="s">
        <v>8</v>
      </c>
      <c r="E473" s="25">
        <v>11.66923076923077</v>
      </c>
      <c r="F473" s="25" t="s">
        <v>8</v>
      </c>
      <c r="G473" s="25">
        <v>14.66335952040234</v>
      </c>
      <c r="H473" s="25">
        <v>88.357455621301767</v>
      </c>
      <c r="I473" s="25">
        <v>2.4334574927793304</v>
      </c>
      <c r="J473" s="26">
        <v>60</v>
      </c>
      <c r="K473" s="26">
        <v>56</v>
      </c>
    </row>
    <row r="474" spans="1:12" x14ac:dyDescent="0.2">
      <c r="A474" s="22" t="s">
        <v>10</v>
      </c>
      <c r="B474" s="22" t="s">
        <v>217</v>
      </c>
      <c r="C474" s="23" t="s">
        <v>811</v>
      </c>
      <c r="D474" s="24" t="s">
        <v>8</v>
      </c>
      <c r="E474" s="25">
        <v>12.10948905109489</v>
      </c>
      <c r="F474" s="25" t="s">
        <v>8</v>
      </c>
      <c r="G474" s="25">
        <v>14.257988836170714</v>
      </c>
      <c r="H474" s="25">
        <v>84.776253396558161</v>
      </c>
      <c r="I474" s="25">
        <v>2.3979621357107783</v>
      </c>
      <c r="J474" s="26">
        <v>57</v>
      </c>
      <c r="K474" s="26">
        <v>47</v>
      </c>
    </row>
    <row r="475" spans="1:12" x14ac:dyDescent="0.2">
      <c r="A475" s="22" t="s">
        <v>10</v>
      </c>
      <c r="B475" s="22" t="s">
        <v>169</v>
      </c>
      <c r="C475" s="23" t="s">
        <v>330</v>
      </c>
      <c r="D475" s="24">
        <v>4.57</v>
      </c>
      <c r="E475" s="25">
        <v>13.784615384615387</v>
      </c>
      <c r="F475" s="25">
        <v>0.33152901785714284</v>
      </c>
      <c r="G475" s="25">
        <v>13.53719250792312</v>
      </c>
      <c r="H475" s="25">
        <v>105.12147928994085</v>
      </c>
      <c r="I475" s="25">
        <v>1.7432743739376364</v>
      </c>
      <c r="J475" s="26">
        <v>154</v>
      </c>
      <c r="K475" s="26">
        <v>81</v>
      </c>
    </row>
    <row r="476" spans="1:12" x14ac:dyDescent="0.2">
      <c r="A476" s="22" t="s">
        <v>10</v>
      </c>
      <c r="B476" s="22" t="s">
        <v>169</v>
      </c>
      <c r="C476" s="23" t="s">
        <v>442</v>
      </c>
      <c r="D476" s="24">
        <v>4.57</v>
      </c>
      <c r="E476" s="25">
        <v>13.632530120481929</v>
      </c>
      <c r="F476" s="25">
        <v>0.33522757401679187</v>
      </c>
      <c r="G476" s="25">
        <v>13.200170211991772</v>
      </c>
      <c r="H476" s="25">
        <v>103.32951081434169</v>
      </c>
      <c r="I476" s="25">
        <v>1.6862994148751018</v>
      </c>
      <c r="J476" s="26">
        <v>159</v>
      </c>
      <c r="K476" s="26">
        <v>84</v>
      </c>
    </row>
    <row r="477" spans="1:12" x14ac:dyDescent="0.2">
      <c r="A477" s="22" t="s">
        <v>10</v>
      </c>
      <c r="B477" s="22" t="s">
        <v>169</v>
      </c>
      <c r="C477" s="23" t="s">
        <v>654</v>
      </c>
      <c r="D477" s="24" t="s">
        <v>8</v>
      </c>
      <c r="E477" s="25">
        <v>11.869230769230768</v>
      </c>
      <c r="F477" s="25" t="s">
        <v>8</v>
      </c>
      <c r="G477" s="25">
        <v>15.164791064763977</v>
      </c>
      <c r="H477" s="25">
        <v>131.78976331360946</v>
      </c>
      <c r="I477" s="25">
        <v>1.7449829353642756</v>
      </c>
      <c r="J477" s="26">
        <v>107</v>
      </c>
      <c r="K477" s="26">
        <v>44</v>
      </c>
    </row>
    <row r="478" spans="1:12" x14ac:dyDescent="0.2">
      <c r="A478" s="22" t="s">
        <v>10</v>
      </c>
      <c r="B478" s="22" t="s">
        <v>169</v>
      </c>
      <c r="C478" s="23" t="s">
        <v>746</v>
      </c>
      <c r="D478" s="24" t="s">
        <v>8</v>
      </c>
      <c r="E478" s="25">
        <v>14.109489051094892</v>
      </c>
      <c r="F478" s="25" t="s">
        <v>8</v>
      </c>
      <c r="G478" s="25">
        <v>17.550672493541818</v>
      </c>
      <c r="H478" s="25">
        <v>161.31807768128297</v>
      </c>
      <c r="I478" s="25">
        <v>1.9094332724701459</v>
      </c>
      <c r="J478" s="26">
        <v>132</v>
      </c>
      <c r="K478" s="26">
        <v>44</v>
      </c>
    </row>
    <row r="479" spans="1:12" x14ac:dyDescent="0.2">
      <c r="A479" s="22" t="s">
        <v>10</v>
      </c>
      <c r="B479" s="22" t="s">
        <v>169</v>
      </c>
      <c r="C479" s="23" t="s">
        <v>818</v>
      </c>
      <c r="D479" s="24" t="s">
        <v>8</v>
      </c>
      <c r="E479" s="25">
        <v>13.673267326732676</v>
      </c>
      <c r="F479" s="25" t="s">
        <v>8</v>
      </c>
      <c r="G479" s="25">
        <v>18.062558602523193</v>
      </c>
      <c r="H479" s="25">
        <v>185.12072345848446</v>
      </c>
      <c r="I479" s="25">
        <v>1.7623960039392965</v>
      </c>
      <c r="J479" s="26">
        <v>134</v>
      </c>
      <c r="K479" s="26">
        <v>43</v>
      </c>
    </row>
    <row r="480" spans="1:12" x14ac:dyDescent="0.2">
      <c r="A480" s="22" t="s">
        <v>10</v>
      </c>
      <c r="B480" s="22" t="s">
        <v>169</v>
      </c>
      <c r="C480" s="23" t="s">
        <v>826</v>
      </c>
      <c r="D480" s="24" t="s">
        <v>8</v>
      </c>
      <c r="E480" s="25">
        <v>13.905172413793103</v>
      </c>
      <c r="F480" s="25" t="s">
        <v>8</v>
      </c>
      <c r="G480" s="25">
        <v>17.749749902089018</v>
      </c>
      <c r="H480" s="25">
        <v>180.12046670630201</v>
      </c>
      <c r="I480" s="25">
        <v>1.7491272776925693</v>
      </c>
      <c r="J480" s="26">
        <v>146</v>
      </c>
      <c r="K480" s="26">
        <v>48</v>
      </c>
    </row>
    <row r="481" spans="1:11" x14ac:dyDescent="0.2">
      <c r="A481" s="22" t="s">
        <v>10</v>
      </c>
      <c r="B481" s="22" t="s">
        <v>169</v>
      </c>
      <c r="C481" s="23" t="s">
        <v>856</v>
      </c>
      <c r="D481" s="24" t="s">
        <v>8</v>
      </c>
      <c r="E481" s="25">
        <v>14.992307692307694</v>
      </c>
      <c r="F481" s="25" t="s">
        <v>8</v>
      </c>
      <c r="G481" s="25">
        <v>14.517270410298773</v>
      </c>
      <c r="H481" s="25">
        <v>114.46050295857987</v>
      </c>
      <c r="I481" s="25">
        <v>1.8412564571903147</v>
      </c>
      <c r="J481" s="26">
        <v>148</v>
      </c>
      <c r="K481" s="26">
        <v>76</v>
      </c>
    </row>
    <row r="482" spans="1:11" x14ac:dyDescent="0.2">
      <c r="A482" s="22" t="s">
        <v>10</v>
      </c>
      <c r="B482" s="22" t="s">
        <v>170</v>
      </c>
      <c r="C482" s="23" t="s">
        <v>443</v>
      </c>
      <c r="D482" s="24">
        <v>4.2</v>
      </c>
      <c r="E482" s="25">
        <v>11.853448275862069</v>
      </c>
      <c r="F482" s="25">
        <v>0.35432727272727271</v>
      </c>
      <c r="G482" s="25">
        <v>16.718927540115224</v>
      </c>
      <c r="H482" s="25">
        <v>155.72469530321047</v>
      </c>
      <c r="I482" s="25">
        <v>1.7949788731155769</v>
      </c>
      <c r="J482" s="26">
        <v>129</v>
      </c>
      <c r="K482" s="26">
        <v>69</v>
      </c>
    </row>
    <row r="483" spans="1:11" x14ac:dyDescent="0.2">
      <c r="A483" s="22" t="s">
        <v>10</v>
      </c>
      <c r="B483" s="22" t="s">
        <v>170</v>
      </c>
      <c r="C483" s="23" t="s">
        <v>662</v>
      </c>
      <c r="D483" s="24" t="s">
        <v>8</v>
      </c>
      <c r="E483" s="25">
        <v>13.546153846153846</v>
      </c>
      <c r="F483" s="25" t="s">
        <v>8</v>
      </c>
      <c r="G483" s="25">
        <v>14.214254249719403</v>
      </c>
      <c r="H483" s="25">
        <v>109.89473372781066</v>
      </c>
      <c r="I483" s="25">
        <v>1.8385323574839811</v>
      </c>
      <c r="J483" s="26">
        <v>149</v>
      </c>
      <c r="K483" s="26">
        <v>100</v>
      </c>
    </row>
    <row r="484" spans="1:11" x14ac:dyDescent="0.2">
      <c r="A484" s="22" t="s">
        <v>10</v>
      </c>
      <c r="B484" s="22" t="s">
        <v>170</v>
      </c>
      <c r="C484" s="23" t="s">
        <v>820</v>
      </c>
      <c r="D484" s="24" t="s">
        <v>8</v>
      </c>
      <c r="E484" s="25">
        <v>11.532846715328466</v>
      </c>
      <c r="F484" s="25" t="s">
        <v>8</v>
      </c>
      <c r="G484" s="25">
        <v>5.9107971466305829</v>
      </c>
      <c r="H484" s="25">
        <v>16.780968618466623</v>
      </c>
      <c r="I484" s="25">
        <v>2.0819729601406456</v>
      </c>
      <c r="J484" s="26">
        <v>112</v>
      </c>
      <c r="K484" s="26">
        <v>32</v>
      </c>
    </row>
    <row r="485" spans="1:11" x14ac:dyDescent="0.2">
      <c r="A485" s="22" t="s">
        <v>10</v>
      </c>
      <c r="B485" s="22" t="s">
        <v>302</v>
      </c>
      <c r="C485" s="23" t="s">
        <v>691</v>
      </c>
      <c r="D485" s="24" t="s">
        <v>8</v>
      </c>
      <c r="E485" s="25">
        <v>19.010638297872344</v>
      </c>
      <c r="F485" s="25" t="s">
        <v>8</v>
      </c>
      <c r="G485" s="25">
        <v>29.353711196972473</v>
      </c>
      <c r="H485" s="25">
        <v>530.74122906292439</v>
      </c>
      <c r="I485" s="25">
        <v>1.6234660392910827</v>
      </c>
      <c r="J485" s="26">
        <v>42</v>
      </c>
      <c r="K485" s="26">
        <v>63</v>
      </c>
    </row>
    <row r="486" spans="1:11" x14ac:dyDescent="0.2">
      <c r="A486" s="22" t="s">
        <v>10</v>
      </c>
      <c r="B486" s="22" t="s">
        <v>302</v>
      </c>
      <c r="C486" s="23" t="s">
        <v>753</v>
      </c>
      <c r="D486" s="24" t="s">
        <v>8</v>
      </c>
      <c r="E486" s="25">
        <v>19.448275862068968</v>
      </c>
      <c r="F486" s="25" t="s">
        <v>8</v>
      </c>
      <c r="G486" s="25">
        <v>23.144174567584841</v>
      </c>
      <c r="H486" s="25">
        <v>341.93519619500597</v>
      </c>
      <c r="I486" s="25">
        <v>1.566533139540738</v>
      </c>
      <c r="J486" s="26">
        <v>42</v>
      </c>
      <c r="K486" s="26">
        <v>24</v>
      </c>
    </row>
    <row r="487" spans="1:11" x14ac:dyDescent="0.2">
      <c r="A487" s="22" t="s">
        <v>10</v>
      </c>
      <c r="B487" s="22" t="s">
        <v>240</v>
      </c>
      <c r="C487" s="23" t="s">
        <v>515</v>
      </c>
      <c r="D487" s="24">
        <v>8.81</v>
      </c>
      <c r="E487" s="25">
        <v>12.613138686131387</v>
      </c>
      <c r="F487" s="25">
        <v>0.69847800925925929</v>
      </c>
      <c r="G487" s="25">
        <v>15.747005739930231</v>
      </c>
      <c r="H487" s="25">
        <v>73.937663167989768</v>
      </c>
      <c r="I487" s="25">
        <v>3.3537466447918503</v>
      </c>
      <c r="J487" s="26">
        <v>55</v>
      </c>
      <c r="K487" s="26">
        <v>131</v>
      </c>
    </row>
    <row r="488" spans="1:11" x14ac:dyDescent="0.2">
      <c r="A488" s="22" t="s">
        <v>10</v>
      </c>
      <c r="B488" s="22" t="s">
        <v>171</v>
      </c>
      <c r="C488" s="23" t="s">
        <v>466</v>
      </c>
      <c r="D488" s="24">
        <v>5.61</v>
      </c>
      <c r="E488" s="25">
        <v>8.6325301204819276</v>
      </c>
      <c r="F488" s="25">
        <v>0.64986741102582002</v>
      </c>
      <c r="G488" s="25">
        <v>11.933814704175404</v>
      </c>
      <c r="H488" s="25">
        <v>58.055704746697629</v>
      </c>
      <c r="I488" s="25">
        <v>2.4530911133534059</v>
      </c>
      <c r="J488" s="26">
        <v>91</v>
      </c>
      <c r="K488" s="26">
        <v>114</v>
      </c>
    </row>
    <row r="489" spans="1:11" ht="13.5" customHeight="1" x14ac:dyDescent="0.2">
      <c r="A489" s="22" t="s">
        <v>10</v>
      </c>
      <c r="B489" s="22" t="s">
        <v>171</v>
      </c>
      <c r="C489" s="23" t="s">
        <v>678</v>
      </c>
      <c r="D489" s="24" t="s">
        <v>8</v>
      </c>
      <c r="E489" s="25">
        <v>10.23076923076923</v>
      </c>
      <c r="F489" s="25" t="s">
        <v>8</v>
      </c>
      <c r="G489" s="25">
        <v>14.319402988071801</v>
      </c>
      <c r="H489" s="25">
        <v>80.267189349112428</v>
      </c>
      <c r="I489" s="25">
        <v>2.5545344691587482</v>
      </c>
      <c r="J489" s="26">
        <v>68</v>
      </c>
      <c r="K489" s="26">
        <v>103</v>
      </c>
    </row>
    <row r="490" spans="1:11" ht="11.25" customHeight="1" x14ac:dyDescent="0.2">
      <c r="A490" s="22" t="s">
        <v>10</v>
      </c>
      <c r="B490" s="22" t="s">
        <v>171</v>
      </c>
      <c r="C490" s="23" t="s">
        <v>813</v>
      </c>
      <c r="D490" s="24" t="s">
        <v>8</v>
      </c>
      <c r="E490" s="25">
        <v>9.1927710843373518</v>
      </c>
      <c r="F490" s="25" t="s">
        <v>8</v>
      </c>
      <c r="G490" s="25">
        <v>12.710934986484979</v>
      </c>
      <c r="H490" s="25">
        <v>68.943478734213969</v>
      </c>
      <c r="I490" s="25">
        <v>2.3434829689043242</v>
      </c>
      <c r="J490" s="26">
        <v>60</v>
      </c>
      <c r="K490" s="26">
        <v>102</v>
      </c>
    </row>
    <row r="491" spans="1:11" ht="13.5" customHeight="1" x14ac:dyDescent="0.25">
      <c r="A491" s="22" t="s">
        <v>10</v>
      </c>
      <c r="B491" s="8" t="s">
        <v>316</v>
      </c>
      <c r="C491" s="23" t="s">
        <v>741</v>
      </c>
      <c r="D491" s="24" t="s">
        <v>8</v>
      </c>
      <c r="E491" s="25">
        <v>9.4817518248175183</v>
      </c>
      <c r="F491" s="25" t="s">
        <v>8</v>
      </c>
      <c r="G491" s="25">
        <v>15.275619564593772</v>
      </c>
      <c r="H491" s="25">
        <v>80.501518461292562</v>
      </c>
      <c r="I491" s="25">
        <v>2.8986354238075491</v>
      </c>
      <c r="J491" s="26">
        <v>58</v>
      </c>
      <c r="K491" s="26">
        <v>31</v>
      </c>
    </row>
    <row r="492" spans="1:11" x14ac:dyDescent="0.2">
      <c r="A492" s="22" t="s">
        <v>10</v>
      </c>
      <c r="B492" s="22" t="s">
        <v>172</v>
      </c>
      <c r="C492" s="23" t="s">
        <v>410</v>
      </c>
      <c r="D492" s="24">
        <v>2.64</v>
      </c>
      <c r="E492" s="25">
        <v>7.1204819277108431</v>
      </c>
      <c r="F492" s="25">
        <v>0.370761421319797</v>
      </c>
      <c r="G492" s="25">
        <v>9.3002646439152254</v>
      </c>
      <c r="H492" s="25">
        <v>49.328077369719843</v>
      </c>
      <c r="I492" s="25">
        <v>1.7534622685285257</v>
      </c>
      <c r="J492" s="26">
        <v>162</v>
      </c>
      <c r="K492" s="26">
        <v>29</v>
      </c>
    </row>
    <row r="493" spans="1:11" x14ac:dyDescent="0.2">
      <c r="A493" s="22" t="s">
        <v>10</v>
      </c>
      <c r="B493" s="22" t="s">
        <v>172</v>
      </c>
      <c r="C493" s="23" t="s">
        <v>726</v>
      </c>
      <c r="D493" s="24" t="s">
        <v>8</v>
      </c>
      <c r="E493" s="25">
        <v>7.6807228915662673</v>
      </c>
      <c r="F493" s="25" t="s">
        <v>8</v>
      </c>
      <c r="G493" s="25">
        <v>9.5423347187439518</v>
      </c>
      <c r="H493" s="25">
        <v>55.02678182609958</v>
      </c>
      <c r="I493" s="25">
        <v>1.6547606249682161</v>
      </c>
      <c r="J493" s="26">
        <v>138</v>
      </c>
      <c r="K493" s="26">
        <v>36</v>
      </c>
    </row>
    <row r="494" spans="1:11" x14ac:dyDescent="0.2">
      <c r="A494" s="22" t="s">
        <v>10</v>
      </c>
      <c r="B494" s="22" t="s">
        <v>172</v>
      </c>
      <c r="C494" s="23" t="s">
        <v>803</v>
      </c>
      <c r="D494" s="24" t="s">
        <v>8</v>
      </c>
      <c r="E494" s="25">
        <v>7.7951807228915673</v>
      </c>
      <c r="F494" s="25" t="s">
        <v>8</v>
      </c>
      <c r="G494" s="25">
        <v>10.118335006719727</v>
      </c>
      <c r="H494" s="25">
        <v>57.422412541733195</v>
      </c>
      <c r="I494" s="25">
        <v>1.7829397751932163</v>
      </c>
      <c r="J494" s="26">
        <v>172</v>
      </c>
      <c r="K494" s="26">
        <v>39</v>
      </c>
    </row>
    <row r="495" spans="1:11" x14ac:dyDescent="0.2">
      <c r="A495" s="22" t="s">
        <v>10</v>
      </c>
      <c r="B495" s="22" t="s">
        <v>172</v>
      </c>
      <c r="C495" s="23" t="s">
        <v>804</v>
      </c>
      <c r="D495" s="24" t="s">
        <v>8</v>
      </c>
      <c r="E495" s="25">
        <v>7.3674698795180724</v>
      </c>
      <c r="F495" s="25" t="s">
        <v>8</v>
      </c>
      <c r="G495" s="25">
        <v>8.4205898176921661</v>
      </c>
      <c r="H495" s="25">
        <v>44.564414283640588</v>
      </c>
      <c r="I495" s="25">
        <v>1.5910976059624866</v>
      </c>
      <c r="J495" s="26">
        <v>166</v>
      </c>
      <c r="K495" s="26">
        <v>46</v>
      </c>
    </row>
    <row r="496" spans="1:11" x14ac:dyDescent="0.2">
      <c r="A496" s="22" t="s">
        <v>10</v>
      </c>
      <c r="B496" s="22" t="s">
        <v>172</v>
      </c>
      <c r="C496" s="23" t="s">
        <v>914</v>
      </c>
      <c r="D496" s="24" t="s">
        <v>8</v>
      </c>
      <c r="E496" s="25">
        <v>7.1325301204819294</v>
      </c>
      <c r="F496" s="25" t="s">
        <v>8</v>
      </c>
      <c r="G496" s="25">
        <v>8.8589263132781841</v>
      </c>
      <c r="H496" s="25">
        <v>40.107181739004211</v>
      </c>
      <c r="I496" s="25">
        <v>1.9567711322825332</v>
      </c>
      <c r="J496" s="26">
        <v>153</v>
      </c>
      <c r="K496" s="26">
        <v>29</v>
      </c>
    </row>
    <row r="497" spans="1:12" x14ac:dyDescent="0.2">
      <c r="A497" s="22" t="s">
        <v>10</v>
      </c>
      <c r="B497" s="22" t="s">
        <v>173</v>
      </c>
      <c r="C497" s="23" t="s">
        <v>487</v>
      </c>
      <c r="D497" s="24">
        <v>6.85</v>
      </c>
      <c r="E497" s="25">
        <v>26.261538461538461</v>
      </c>
      <c r="F497" s="25">
        <v>0.26083772700644403</v>
      </c>
      <c r="G497" s="25">
        <v>29.500253889512415</v>
      </c>
      <c r="H497" s="25">
        <v>401.79846153846154</v>
      </c>
      <c r="I497" s="25">
        <v>2.1659241207980275</v>
      </c>
      <c r="J497" s="26">
        <v>104</v>
      </c>
      <c r="K497" s="26">
        <v>148</v>
      </c>
    </row>
    <row r="498" spans="1:12" ht="15" x14ac:dyDescent="0.25">
      <c r="A498" s="22" t="s">
        <v>10</v>
      </c>
      <c r="B498" s="8" t="s">
        <v>303</v>
      </c>
      <c r="C498" s="23" t="s">
        <v>701</v>
      </c>
      <c r="D498" s="9">
        <v>0.89</v>
      </c>
      <c r="E498" s="25">
        <v>14.646551724137931</v>
      </c>
      <c r="F498" s="25">
        <v>6.0765155974102418E-2</v>
      </c>
      <c r="G498" s="25">
        <v>20.704565712975594</v>
      </c>
      <c r="H498" s="25">
        <v>179.98669738406659</v>
      </c>
      <c r="I498" s="25">
        <v>2.3817262475136323</v>
      </c>
      <c r="J498" s="26">
        <v>179</v>
      </c>
      <c r="K498" s="26">
        <v>93</v>
      </c>
    </row>
    <row r="499" spans="1:12" ht="15" x14ac:dyDescent="0.25">
      <c r="A499" s="22" t="s">
        <v>10</v>
      </c>
      <c r="B499" s="22" t="s">
        <v>174</v>
      </c>
      <c r="C499" s="23" t="s">
        <v>735</v>
      </c>
      <c r="D499" s="9">
        <v>0.89</v>
      </c>
      <c r="E499" s="25">
        <v>11.715328467153284</v>
      </c>
      <c r="F499" s="25">
        <v>7.5968847352024929E-2</v>
      </c>
      <c r="G499" s="25">
        <v>14.966151092619649</v>
      </c>
      <c r="H499" s="25">
        <v>108.46462251585061</v>
      </c>
      <c r="I499" s="25">
        <v>2.0650574660358765</v>
      </c>
      <c r="J499" s="26">
        <v>200</v>
      </c>
      <c r="K499" s="26">
        <v>88</v>
      </c>
      <c r="L499" s="21" t="s">
        <v>947</v>
      </c>
    </row>
    <row r="500" spans="1:12" ht="15" x14ac:dyDescent="0.25">
      <c r="A500" s="22" t="s">
        <v>10</v>
      </c>
      <c r="B500" s="22" t="s">
        <v>174</v>
      </c>
      <c r="C500" s="23" t="s">
        <v>862</v>
      </c>
      <c r="D500" s="9">
        <v>0.89</v>
      </c>
      <c r="E500" s="25">
        <v>13.923076923076923</v>
      </c>
      <c r="F500" s="25">
        <v>6.3922651933701655E-2</v>
      </c>
      <c r="G500" s="25">
        <v>14.944369284592391</v>
      </c>
      <c r="H500" s="25">
        <v>90.917071005917151</v>
      </c>
      <c r="I500" s="25">
        <v>2.4564602757575993</v>
      </c>
      <c r="J500" s="26">
        <v>144</v>
      </c>
      <c r="K500" s="26">
        <v>87</v>
      </c>
      <c r="L500" s="21" t="s">
        <v>947</v>
      </c>
    </row>
    <row r="501" spans="1:12" x14ac:dyDescent="0.2">
      <c r="A501" s="22" t="s">
        <v>10</v>
      </c>
      <c r="B501" s="22" t="s">
        <v>175</v>
      </c>
      <c r="C501" s="23" t="s">
        <v>680</v>
      </c>
      <c r="D501" s="24" t="s">
        <v>8</v>
      </c>
      <c r="E501" s="25">
        <v>12.915384615384616</v>
      </c>
      <c r="F501" s="25" t="s">
        <v>8</v>
      </c>
      <c r="G501" s="25">
        <v>17.336695054391591</v>
      </c>
      <c r="H501" s="25">
        <v>104.97458579881658</v>
      </c>
      <c r="I501" s="25">
        <v>2.8631786743601912</v>
      </c>
      <c r="J501" s="26">
        <v>107</v>
      </c>
      <c r="K501" s="26">
        <v>102</v>
      </c>
    </row>
    <row r="502" spans="1:12" x14ac:dyDescent="0.2">
      <c r="A502" s="22" t="s">
        <v>10</v>
      </c>
      <c r="B502" s="22" t="s">
        <v>176</v>
      </c>
      <c r="C502" s="23" t="s">
        <v>345</v>
      </c>
      <c r="D502" s="24">
        <v>5.69</v>
      </c>
      <c r="E502" s="25">
        <v>7.8012048192771068</v>
      </c>
      <c r="F502" s="25">
        <v>0.72937451737451753</v>
      </c>
      <c r="G502" s="25">
        <v>8.7880501659362231</v>
      </c>
      <c r="H502" s="25">
        <v>30.628229786616345</v>
      </c>
      <c r="I502" s="25">
        <v>2.5215243015043232</v>
      </c>
      <c r="J502" s="26">
        <v>92</v>
      </c>
      <c r="K502" s="26">
        <v>101</v>
      </c>
    </row>
    <row r="503" spans="1:12" x14ac:dyDescent="0.2">
      <c r="A503" s="22" t="s">
        <v>10</v>
      </c>
      <c r="B503" s="22" t="s">
        <v>176</v>
      </c>
      <c r="C503" s="23" t="s">
        <v>427</v>
      </c>
      <c r="D503" s="24">
        <v>5.56</v>
      </c>
      <c r="E503" s="25">
        <v>8.4638554216867483</v>
      </c>
      <c r="F503" s="25">
        <v>0.65691103202846957</v>
      </c>
      <c r="G503" s="25">
        <v>10.567849493944493</v>
      </c>
      <c r="H503" s="25">
        <v>42.570383945420232</v>
      </c>
      <c r="I503" s="25">
        <v>2.6234069927545831</v>
      </c>
      <c r="J503" s="26">
        <v>102</v>
      </c>
      <c r="K503" s="26">
        <v>102</v>
      </c>
    </row>
    <row r="504" spans="1:12" x14ac:dyDescent="0.2">
      <c r="A504" s="22" t="s">
        <v>10</v>
      </c>
      <c r="B504" s="22" t="s">
        <v>176</v>
      </c>
      <c r="C504" s="23" t="s">
        <v>715</v>
      </c>
      <c r="D504" s="24">
        <v>7.62</v>
      </c>
      <c r="E504" s="25">
        <v>26.876923076923081</v>
      </c>
      <c r="F504" s="25">
        <v>0.28351459645105892</v>
      </c>
      <c r="G504" s="25">
        <v>34.366424542128357</v>
      </c>
      <c r="H504" s="25">
        <v>695.21195266272184</v>
      </c>
      <c r="I504" s="25">
        <v>1.6988360618459943</v>
      </c>
      <c r="J504" s="26">
        <v>48</v>
      </c>
      <c r="K504" s="26">
        <v>66</v>
      </c>
    </row>
    <row r="505" spans="1:12" x14ac:dyDescent="0.2">
      <c r="A505" s="22" t="s">
        <v>10</v>
      </c>
      <c r="B505" s="22" t="s">
        <v>176</v>
      </c>
      <c r="C505" s="23" t="s">
        <v>895</v>
      </c>
      <c r="D505" s="24" t="s">
        <v>8</v>
      </c>
      <c r="E505" s="25">
        <v>8.6566265060240966</v>
      </c>
      <c r="F505" s="25" t="s">
        <v>8</v>
      </c>
      <c r="G505" s="25">
        <v>9.4365438412748457</v>
      </c>
      <c r="H505" s="25">
        <v>38.793946871824652</v>
      </c>
      <c r="I505" s="25">
        <v>2.295418920959972</v>
      </c>
      <c r="J505" s="26">
        <v>86</v>
      </c>
      <c r="K505" s="26">
        <v>45</v>
      </c>
    </row>
    <row r="506" spans="1:12" x14ac:dyDescent="0.2">
      <c r="A506" s="22" t="s">
        <v>10</v>
      </c>
      <c r="B506" s="22" t="s">
        <v>177</v>
      </c>
      <c r="C506" s="23" t="s">
        <v>344</v>
      </c>
      <c r="D506" s="24">
        <v>4.9800000000000004</v>
      </c>
      <c r="E506" s="25">
        <v>8.3674698795180724</v>
      </c>
      <c r="F506" s="25">
        <v>0.59516198704103673</v>
      </c>
      <c r="G506" s="25">
        <v>9.838583760017368</v>
      </c>
      <c r="H506" s="25">
        <v>39.326516911017563</v>
      </c>
      <c r="I506" s="25">
        <v>2.4613858029150562</v>
      </c>
      <c r="J506" s="26">
        <v>90</v>
      </c>
      <c r="K506" s="26">
        <v>58</v>
      </c>
    </row>
    <row r="507" spans="1:12" x14ac:dyDescent="0.2">
      <c r="A507" s="22" t="s">
        <v>10</v>
      </c>
      <c r="B507" s="22" t="s">
        <v>177</v>
      </c>
      <c r="C507" s="23" t="s">
        <v>464</v>
      </c>
      <c r="D507" s="24">
        <v>5.15</v>
      </c>
      <c r="E507" s="25">
        <v>8.5421686746987948</v>
      </c>
      <c r="F507" s="25">
        <v>0.60289139633286326</v>
      </c>
      <c r="G507" s="25">
        <v>10.168050168081125</v>
      </c>
      <c r="H507" s="25">
        <v>39.009544200899988</v>
      </c>
      <c r="I507" s="25">
        <v>2.6503576583247876</v>
      </c>
      <c r="J507" s="26">
        <v>100</v>
      </c>
      <c r="K507" s="26">
        <v>68</v>
      </c>
    </row>
    <row r="508" spans="1:12" x14ac:dyDescent="0.2">
      <c r="A508" s="22" t="s">
        <v>10</v>
      </c>
      <c r="B508" s="22" t="s">
        <v>177</v>
      </c>
      <c r="C508" s="23" t="s">
        <v>559</v>
      </c>
      <c r="D508" s="24">
        <v>5.34</v>
      </c>
      <c r="E508" s="25">
        <v>8.1927710843373482</v>
      </c>
      <c r="F508" s="25">
        <v>0.65179411764705886</v>
      </c>
      <c r="G508" s="25">
        <v>9.8881072715201555</v>
      </c>
      <c r="H508" s="25">
        <v>38.031426912469158</v>
      </c>
      <c r="I508" s="25">
        <v>2.570891322014345</v>
      </c>
      <c r="J508" s="26">
        <v>80</v>
      </c>
      <c r="K508" s="26">
        <v>55</v>
      </c>
    </row>
    <row r="509" spans="1:12" x14ac:dyDescent="0.2">
      <c r="A509" s="22" t="s">
        <v>10</v>
      </c>
      <c r="B509" s="22" t="s">
        <v>177</v>
      </c>
      <c r="C509" s="23" t="s">
        <v>622</v>
      </c>
      <c r="D509" s="24">
        <v>5.04</v>
      </c>
      <c r="E509" s="25">
        <v>9.7048192771084363</v>
      </c>
      <c r="F509" s="25">
        <v>0.5193296089385474</v>
      </c>
      <c r="G509" s="25">
        <v>10.235044477752419</v>
      </c>
      <c r="H509" s="25">
        <v>37.50916315865873</v>
      </c>
      <c r="I509" s="25">
        <v>2.7928145189074436</v>
      </c>
      <c r="J509" s="26">
        <v>90</v>
      </c>
      <c r="K509" s="26">
        <v>61</v>
      </c>
    </row>
    <row r="510" spans="1:12" x14ac:dyDescent="0.2">
      <c r="A510" s="22" t="s">
        <v>10</v>
      </c>
      <c r="B510" s="22" t="s">
        <v>177</v>
      </c>
      <c r="C510" s="23" t="s">
        <v>712</v>
      </c>
      <c r="D510" s="24">
        <v>8.6999999999999993</v>
      </c>
      <c r="E510" s="25">
        <v>11.934306569343066</v>
      </c>
      <c r="F510" s="25">
        <v>0.72899082568807327</v>
      </c>
      <c r="G510" s="25">
        <v>13.458738642140585</v>
      </c>
      <c r="H510" s="25">
        <v>137.84386488358464</v>
      </c>
      <c r="I510" s="25">
        <v>1.3140784030571626</v>
      </c>
      <c r="J510" s="26">
        <v>164</v>
      </c>
      <c r="K510" s="26">
        <v>34</v>
      </c>
    </row>
    <row r="511" spans="1:12" x14ac:dyDescent="0.2">
      <c r="A511" s="22" t="s">
        <v>10</v>
      </c>
      <c r="B511" s="22" t="s">
        <v>178</v>
      </c>
      <c r="C511" s="23" t="s">
        <v>346</v>
      </c>
      <c r="D511" s="24">
        <v>5.3900000000000006</v>
      </c>
      <c r="E511" s="25">
        <v>8.2349397590361431</v>
      </c>
      <c r="F511" s="25">
        <v>0.65452816386247281</v>
      </c>
      <c r="G511" s="25">
        <v>10.929238691007878</v>
      </c>
      <c r="H511" s="25">
        <v>38.965760632893023</v>
      </c>
      <c r="I511" s="25">
        <v>3.0654671287025033</v>
      </c>
      <c r="J511" s="26">
        <v>80</v>
      </c>
      <c r="K511" s="26">
        <v>44</v>
      </c>
      <c r="L511" s="27" t="s">
        <v>971</v>
      </c>
    </row>
    <row r="512" spans="1:12" x14ac:dyDescent="0.2">
      <c r="A512" s="22" t="s">
        <v>10</v>
      </c>
      <c r="B512" s="22" t="s">
        <v>304</v>
      </c>
      <c r="C512" s="23" t="s">
        <v>844</v>
      </c>
      <c r="D512" s="24">
        <v>5.95</v>
      </c>
      <c r="E512" s="25">
        <v>10.328467153284672</v>
      </c>
      <c r="F512" s="25">
        <v>0.57607773851590105</v>
      </c>
      <c r="G512" s="25">
        <v>14.219796705929173</v>
      </c>
      <c r="H512" s="25">
        <v>87.567185252277696</v>
      </c>
      <c r="I512" s="25">
        <v>2.3091140565431698</v>
      </c>
      <c r="J512" s="26">
        <v>82</v>
      </c>
      <c r="K512" s="26">
        <v>52</v>
      </c>
      <c r="L512" s="21" t="s">
        <v>948</v>
      </c>
    </row>
    <row r="513" spans="1:12" x14ac:dyDescent="0.2">
      <c r="A513" s="22" t="s">
        <v>10</v>
      </c>
      <c r="B513" s="22" t="s">
        <v>179</v>
      </c>
      <c r="C513" s="23" t="s">
        <v>605</v>
      </c>
      <c r="D513" s="24">
        <v>5.95</v>
      </c>
      <c r="E513" s="25">
        <v>7.1746987951807242</v>
      </c>
      <c r="F513" s="25">
        <v>0.82930310663308127</v>
      </c>
      <c r="G513" s="25">
        <v>8.0856746574789788</v>
      </c>
      <c r="H513" s="25">
        <v>21.878647118594863</v>
      </c>
      <c r="I513" s="25">
        <v>2.9882165159578045</v>
      </c>
      <c r="J513" s="26">
        <v>124</v>
      </c>
      <c r="K513" s="26">
        <v>93</v>
      </c>
      <c r="L513" s="21" t="s">
        <v>948</v>
      </c>
    </row>
    <row r="514" spans="1:12" x14ac:dyDescent="0.2">
      <c r="A514" s="22" t="s">
        <v>10</v>
      </c>
      <c r="B514" s="22" t="s">
        <v>179</v>
      </c>
      <c r="C514" s="23" t="s">
        <v>896</v>
      </c>
      <c r="D514" s="24">
        <v>5.95</v>
      </c>
      <c r="E514" s="25">
        <v>7.9578313253012034</v>
      </c>
      <c r="F514" s="25">
        <v>0.74769114307342932</v>
      </c>
      <c r="G514" s="25">
        <v>9.022934285812358</v>
      </c>
      <c r="H514" s="25">
        <v>26.998584700246774</v>
      </c>
      <c r="I514" s="25">
        <v>3.0154670709588722</v>
      </c>
      <c r="J514" s="26">
        <v>112</v>
      </c>
      <c r="K514" s="26">
        <v>88</v>
      </c>
      <c r="L514" s="21" t="s">
        <v>948</v>
      </c>
    </row>
    <row r="515" spans="1:12" x14ac:dyDescent="0.2">
      <c r="A515" s="22" t="s">
        <v>10</v>
      </c>
      <c r="B515" s="22" t="s">
        <v>180</v>
      </c>
      <c r="C515" s="23" t="s">
        <v>722</v>
      </c>
      <c r="D515" s="24">
        <v>5.95</v>
      </c>
      <c r="E515" s="25">
        <v>8.8855421686747</v>
      </c>
      <c r="F515" s="25">
        <v>0.66962711864406776</v>
      </c>
      <c r="G515" s="25">
        <v>9.8627898663724061</v>
      </c>
      <c r="H515" s="25">
        <v>40.819258963565105</v>
      </c>
      <c r="I515" s="25">
        <v>2.3830570769313733</v>
      </c>
      <c r="J515" s="26">
        <v>68</v>
      </c>
      <c r="K515" s="26">
        <v>60</v>
      </c>
      <c r="L515" s="21" t="s">
        <v>948</v>
      </c>
    </row>
    <row r="516" spans="1:12" x14ac:dyDescent="0.2">
      <c r="A516" s="22" t="s">
        <v>10</v>
      </c>
      <c r="B516" s="22" t="s">
        <v>181</v>
      </c>
      <c r="C516" s="23" t="s">
        <v>334</v>
      </c>
      <c r="D516" s="24">
        <v>8.48</v>
      </c>
      <c r="E516" s="25">
        <v>15.101851851851851</v>
      </c>
      <c r="F516" s="25">
        <v>0.56152053954629066</v>
      </c>
      <c r="G516" s="25">
        <v>17.633727179471574</v>
      </c>
      <c r="H516" s="25">
        <v>150.52516289437585</v>
      </c>
      <c r="I516" s="25">
        <v>2.0657565038360284</v>
      </c>
      <c r="J516" s="26">
        <v>143</v>
      </c>
      <c r="K516" s="26">
        <v>43</v>
      </c>
    </row>
    <row r="517" spans="1:12" x14ac:dyDescent="0.2">
      <c r="A517" s="22" t="s">
        <v>10</v>
      </c>
      <c r="B517" s="22" t="s">
        <v>181</v>
      </c>
      <c r="C517" s="23" t="s">
        <v>479</v>
      </c>
      <c r="D517" s="24">
        <v>9.0299999999999994</v>
      </c>
      <c r="E517" s="25">
        <v>13.525862068965516</v>
      </c>
      <c r="F517" s="25">
        <v>0.66760994263862339</v>
      </c>
      <c r="G517" s="25">
        <v>13.764790428086943</v>
      </c>
      <c r="H517" s="25">
        <v>101.67861920332936</v>
      </c>
      <c r="I517" s="25">
        <v>1.863414914695753</v>
      </c>
      <c r="J517" s="26">
        <v>162</v>
      </c>
      <c r="K517" s="26">
        <v>69</v>
      </c>
    </row>
    <row r="518" spans="1:12" x14ac:dyDescent="0.2">
      <c r="A518" s="22" t="s">
        <v>10</v>
      </c>
      <c r="B518" s="22" t="s">
        <v>181</v>
      </c>
      <c r="C518" s="23" t="s">
        <v>529</v>
      </c>
      <c r="D518" s="24">
        <v>8.2066666666666652</v>
      </c>
      <c r="E518" s="25">
        <v>12.284671532846716</v>
      </c>
      <c r="F518" s="25">
        <v>0.66804119627649028</v>
      </c>
      <c r="G518" s="25">
        <v>13.081425176291251</v>
      </c>
      <c r="H518" s="25">
        <v>94.378896052000627</v>
      </c>
      <c r="I518" s="25">
        <v>1.8131562436227411</v>
      </c>
      <c r="J518" s="26">
        <v>164</v>
      </c>
      <c r="K518" s="26">
        <v>60</v>
      </c>
    </row>
    <row r="519" spans="1:12" x14ac:dyDescent="0.2">
      <c r="A519" s="22" t="s">
        <v>10</v>
      </c>
      <c r="B519" s="22" t="s">
        <v>182</v>
      </c>
      <c r="C519" s="23" t="s">
        <v>600</v>
      </c>
      <c r="D519" s="24">
        <v>9.2100000000000009</v>
      </c>
      <c r="E519" s="25">
        <v>10.554216867469879</v>
      </c>
      <c r="F519" s="25">
        <v>0.87263698630136999</v>
      </c>
      <c r="G519" s="25">
        <v>11.58710690530223</v>
      </c>
      <c r="H519" s="25">
        <v>70.91230584990565</v>
      </c>
      <c r="I519" s="25">
        <v>1.8933391718932697</v>
      </c>
      <c r="J519" s="26">
        <v>164</v>
      </c>
      <c r="K519" s="26">
        <v>57</v>
      </c>
      <c r="L519" s="21" t="s">
        <v>949</v>
      </c>
    </row>
    <row r="520" spans="1:12" x14ac:dyDescent="0.2">
      <c r="A520" s="22" t="s">
        <v>10</v>
      </c>
      <c r="B520" s="22" t="s">
        <v>182</v>
      </c>
      <c r="C520" s="23" t="s">
        <v>860</v>
      </c>
      <c r="D520" s="24">
        <v>9.2100000000000009</v>
      </c>
      <c r="E520" s="25">
        <v>11.253846153846156</v>
      </c>
      <c r="F520" s="25">
        <v>0.818386876281613</v>
      </c>
      <c r="G520" s="25">
        <v>11.993879677257718</v>
      </c>
      <c r="H520" s="25">
        <v>77.36650887573964</v>
      </c>
      <c r="I520" s="25">
        <v>1.8593723796375765</v>
      </c>
      <c r="J520" s="26">
        <v>150</v>
      </c>
      <c r="K520" s="26">
        <v>72</v>
      </c>
      <c r="L520" s="21" t="s">
        <v>949</v>
      </c>
    </row>
    <row r="521" spans="1:12" x14ac:dyDescent="0.2">
      <c r="A521" s="22" t="s">
        <v>10</v>
      </c>
      <c r="B521" s="22" t="s">
        <v>183</v>
      </c>
      <c r="C521" s="23" t="s">
        <v>445</v>
      </c>
      <c r="D521" s="24">
        <v>9.8949999999999996</v>
      </c>
      <c r="E521" s="25">
        <v>13.738461538461538</v>
      </c>
      <c r="F521" s="25">
        <v>0.72024076147816352</v>
      </c>
      <c r="G521" s="25">
        <v>14.481954275459398</v>
      </c>
      <c r="H521" s="25">
        <v>98.542366863905329</v>
      </c>
      <c r="I521" s="25">
        <v>2.1282926959339834</v>
      </c>
      <c r="J521" s="26">
        <v>150</v>
      </c>
      <c r="K521" s="26">
        <v>66</v>
      </c>
    </row>
    <row r="522" spans="1:12" x14ac:dyDescent="0.2">
      <c r="A522" s="22" t="s">
        <v>10</v>
      </c>
      <c r="B522" s="22" t="s">
        <v>183</v>
      </c>
      <c r="C522" s="23" t="s">
        <v>564</v>
      </c>
      <c r="D522" s="24">
        <v>10.43</v>
      </c>
      <c r="E522" s="25">
        <v>14.129629629629628</v>
      </c>
      <c r="F522" s="25">
        <v>0.73816513761467895</v>
      </c>
      <c r="G522" s="25">
        <v>15.694813989578611</v>
      </c>
      <c r="H522" s="25">
        <v>122.73589677640602</v>
      </c>
      <c r="I522" s="25">
        <v>2.0069693760108236</v>
      </c>
      <c r="J522" s="26">
        <v>122</v>
      </c>
      <c r="K522" s="26">
        <v>78</v>
      </c>
    </row>
    <row r="523" spans="1:12" x14ac:dyDescent="0.2">
      <c r="A523" s="22" t="s">
        <v>10</v>
      </c>
      <c r="B523" s="22" t="s">
        <v>183</v>
      </c>
      <c r="C523" s="23" t="s">
        <v>821</v>
      </c>
      <c r="D523" s="24" t="s">
        <v>8</v>
      </c>
      <c r="E523" s="25">
        <v>13.883211678832115</v>
      </c>
      <c r="F523" s="25" t="s">
        <v>8</v>
      </c>
      <c r="G523" s="25">
        <v>12.761550206937745</v>
      </c>
      <c r="H523" s="25">
        <v>94.098007352549416</v>
      </c>
      <c r="I523" s="25">
        <v>1.7307185164296732</v>
      </c>
      <c r="J523" s="26">
        <v>168</v>
      </c>
      <c r="K523" s="26">
        <v>67</v>
      </c>
    </row>
    <row r="524" spans="1:12" x14ac:dyDescent="0.2">
      <c r="A524" s="22" t="s">
        <v>10</v>
      </c>
      <c r="B524" s="22" t="s">
        <v>184</v>
      </c>
      <c r="C524" s="23" t="s">
        <v>687</v>
      </c>
      <c r="D524" s="24" t="s">
        <v>8</v>
      </c>
      <c r="E524" s="25">
        <v>13.439655172413792</v>
      </c>
      <c r="F524" s="25" t="s">
        <v>8</v>
      </c>
      <c r="G524" s="25">
        <v>18.878162109236861</v>
      </c>
      <c r="H524" s="25">
        <v>131.93917211652797</v>
      </c>
      <c r="I524" s="25">
        <v>2.7011311266063505</v>
      </c>
      <c r="J524" s="26">
        <v>42</v>
      </c>
      <c r="K524" s="26">
        <v>31</v>
      </c>
    </row>
    <row r="525" spans="1:12" x14ac:dyDescent="0.2">
      <c r="A525" s="22" t="s">
        <v>10</v>
      </c>
      <c r="B525" s="22" t="s">
        <v>184</v>
      </c>
      <c r="C525" s="23" t="s">
        <v>868</v>
      </c>
      <c r="D525" s="24" t="s">
        <v>8</v>
      </c>
      <c r="E525" s="25">
        <v>11.507692307692309</v>
      </c>
      <c r="F525" s="25" t="s">
        <v>8</v>
      </c>
      <c r="G525" s="25">
        <v>16.40582488813148</v>
      </c>
      <c r="H525" s="25">
        <v>100.39958579881659</v>
      </c>
      <c r="I525" s="25">
        <v>2.6807988112557215</v>
      </c>
      <c r="J525" s="26">
        <v>57</v>
      </c>
      <c r="K525" s="26">
        <v>39</v>
      </c>
    </row>
    <row r="526" spans="1:12" x14ac:dyDescent="0.2">
      <c r="A526" s="22" t="s">
        <v>10</v>
      </c>
      <c r="B526" s="22" t="s">
        <v>185</v>
      </c>
      <c r="C526" s="23" t="s">
        <v>632</v>
      </c>
      <c r="D526" s="24">
        <v>10.11</v>
      </c>
      <c r="E526" s="25">
        <v>19.797872340425531</v>
      </c>
      <c r="F526" s="25">
        <v>0.51066093498119292</v>
      </c>
      <c r="G526" s="25">
        <v>22.255278059396321</v>
      </c>
      <c r="H526" s="25">
        <v>234.71361475780895</v>
      </c>
      <c r="I526" s="25">
        <v>2.1102201592017731</v>
      </c>
      <c r="J526" s="26">
        <v>140</v>
      </c>
      <c r="K526" s="26">
        <v>36</v>
      </c>
    </row>
    <row r="527" spans="1:12" x14ac:dyDescent="0.2">
      <c r="A527" s="22" t="s">
        <v>10</v>
      </c>
      <c r="B527" s="22" t="s">
        <v>185</v>
      </c>
      <c r="C527" s="23" t="s">
        <v>863</v>
      </c>
      <c r="D527" s="24" t="s">
        <v>8</v>
      </c>
      <c r="E527" s="25">
        <v>19.946808510638299</v>
      </c>
      <c r="F527" s="25" t="s">
        <v>8</v>
      </c>
      <c r="G527" s="25">
        <v>21.65603140042721</v>
      </c>
      <c r="H527" s="25">
        <v>201.90221819827974</v>
      </c>
      <c r="I527" s="25">
        <v>2.3228258718570389</v>
      </c>
      <c r="J527" s="26">
        <v>144</v>
      </c>
      <c r="K527" s="26">
        <v>39</v>
      </c>
    </row>
    <row r="528" spans="1:12" x14ac:dyDescent="0.2">
      <c r="A528" s="22" t="s">
        <v>10</v>
      </c>
      <c r="B528" s="22" t="s">
        <v>305</v>
      </c>
      <c r="C528" s="23" t="s">
        <v>967</v>
      </c>
      <c r="D528" s="24" t="s">
        <v>8</v>
      </c>
      <c r="E528" s="25">
        <v>12.649635036496351</v>
      </c>
      <c r="F528" s="25" t="s">
        <v>8</v>
      </c>
      <c r="G528" s="25">
        <v>14.352645441719048</v>
      </c>
      <c r="H528" s="25">
        <v>91.793835579945664</v>
      </c>
      <c r="I528" s="25">
        <v>2.2441423203880517</v>
      </c>
      <c r="J528" s="26">
        <v>166</v>
      </c>
      <c r="K528" s="26">
        <v>54</v>
      </c>
    </row>
    <row r="529" spans="1:12" x14ac:dyDescent="0.2">
      <c r="A529" s="22" t="s">
        <v>10</v>
      </c>
      <c r="B529" s="22" t="s">
        <v>186</v>
      </c>
      <c r="C529" s="23" t="s">
        <v>581</v>
      </c>
      <c r="D529" s="24">
        <v>12.67</v>
      </c>
      <c r="E529" s="25">
        <v>17.482758620689651</v>
      </c>
      <c r="F529" s="25">
        <v>0.72471400394477337</v>
      </c>
      <c r="G529" s="25">
        <v>24.107303673488993</v>
      </c>
      <c r="H529" s="25">
        <v>307.58640507332541</v>
      </c>
      <c r="I529" s="25">
        <v>1.8894271034744623</v>
      </c>
      <c r="J529" s="26">
        <v>70</v>
      </c>
      <c r="K529" s="26">
        <v>64</v>
      </c>
    </row>
    <row r="530" spans="1:12" x14ac:dyDescent="0.2">
      <c r="A530" s="22" t="s">
        <v>10</v>
      </c>
      <c r="B530" s="22" t="s">
        <v>186</v>
      </c>
      <c r="C530" s="23" t="s">
        <v>759</v>
      </c>
      <c r="D530" s="24">
        <v>12.51</v>
      </c>
      <c r="E530" s="25">
        <v>20.680851063829785</v>
      </c>
      <c r="F530" s="25">
        <v>0.60490740740740745</v>
      </c>
      <c r="G530" s="25">
        <v>24.736728800549837</v>
      </c>
      <c r="H530" s="25">
        <v>324.59795156179268</v>
      </c>
      <c r="I530" s="25">
        <v>1.8851189565669988</v>
      </c>
      <c r="J530" s="26">
        <v>60</v>
      </c>
      <c r="K530" s="26">
        <v>54</v>
      </c>
    </row>
    <row r="531" spans="1:12" x14ac:dyDescent="0.2">
      <c r="A531" s="22" t="s">
        <v>10</v>
      </c>
      <c r="B531" s="22" t="s">
        <v>187</v>
      </c>
      <c r="C531" s="23" t="s">
        <v>589</v>
      </c>
      <c r="D531" s="24" t="s">
        <v>8</v>
      </c>
      <c r="E531" s="25">
        <v>15.546296296296294</v>
      </c>
      <c r="F531" s="25" t="s">
        <v>8</v>
      </c>
      <c r="G531" s="25">
        <v>19.514329876667716</v>
      </c>
      <c r="H531" s="25">
        <v>199.05697016460903</v>
      </c>
      <c r="I531" s="25">
        <v>1.9130657430407907</v>
      </c>
      <c r="J531" s="26">
        <v>112</v>
      </c>
      <c r="K531" s="26">
        <v>55</v>
      </c>
    </row>
    <row r="532" spans="1:12" x14ac:dyDescent="0.2">
      <c r="A532" s="22" t="s">
        <v>10</v>
      </c>
      <c r="B532" s="22" t="s">
        <v>187</v>
      </c>
      <c r="C532" s="23" t="s">
        <v>711</v>
      </c>
      <c r="D532" s="24">
        <v>3.26</v>
      </c>
      <c r="E532" s="25">
        <v>16.755319148936174</v>
      </c>
      <c r="F532" s="25">
        <v>0.1945650793650793</v>
      </c>
      <c r="G532" s="25">
        <v>24.874673073051095</v>
      </c>
      <c r="H532" s="25">
        <v>306.81665912177459</v>
      </c>
      <c r="I532" s="25">
        <v>2.0166745908200294</v>
      </c>
      <c r="J532" s="26">
        <v>98</v>
      </c>
      <c r="K532" s="26">
        <v>49</v>
      </c>
    </row>
    <row r="533" spans="1:12" x14ac:dyDescent="0.2">
      <c r="A533" s="22" t="s">
        <v>10</v>
      </c>
      <c r="B533" s="22" t="s">
        <v>188</v>
      </c>
      <c r="C533" s="23" t="s">
        <v>655</v>
      </c>
      <c r="D533" s="24">
        <v>3.06</v>
      </c>
      <c r="E533" s="25">
        <v>15.000000000000002</v>
      </c>
      <c r="F533" s="25">
        <v>0.20399999999999999</v>
      </c>
      <c r="G533" s="25">
        <v>17.83971500615182</v>
      </c>
      <c r="H533" s="25">
        <v>161.49754437869822</v>
      </c>
      <c r="I533" s="25">
        <v>1.9706518308070127</v>
      </c>
      <c r="J533" s="26">
        <v>120</v>
      </c>
      <c r="K533" s="26">
        <v>86</v>
      </c>
      <c r="L533" s="21" t="s">
        <v>951</v>
      </c>
    </row>
    <row r="534" spans="1:12" x14ac:dyDescent="0.2">
      <c r="A534" s="22" t="s">
        <v>10</v>
      </c>
      <c r="B534" s="22" t="s">
        <v>188</v>
      </c>
      <c r="C534" s="23" t="s">
        <v>836</v>
      </c>
      <c r="D534" s="24">
        <v>3.06</v>
      </c>
      <c r="E534" s="25">
        <v>17.435643564356432</v>
      </c>
      <c r="F534" s="25">
        <v>0.17550255536626921</v>
      </c>
      <c r="G534" s="25">
        <v>18.677577454031979</v>
      </c>
      <c r="H534" s="25">
        <v>185.30153906479757</v>
      </c>
      <c r="I534" s="25">
        <v>1.8826173884577111</v>
      </c>
      <c r="J534" s="26">
        <v>133</v>
      </c>
      <c r="K534" s="26">
        <v>85</v>
      </c>
      <c r="L534" s="21" t="s">
        <v>951</v>
      </c>
    </row>
    <row r="535" spans="1:12" x14ac:dyDescent="0.2">
      <c r="A535" s="22" t="s">
        <v>10</v>
      </c>
      <c r="B535" s="22" t="s">
        <v>188</v>
      </c>
      <c r="C535" s="23" t="s">
        <v>837</v>
      </c>
      <c r="D535" s="24">
        <v>3.06</v>
      </c>
      <c r="E535" s="25">
        <v>19.172413793103448</v>
      </c>
      <c r="F535" s="25">
        <v>0.1596043165467626</v>
      </c>
      <c r="G535" s="25">
        <v>23.376565167022807</v>
      </c>
      <c r="H535" s="25">
        <v>272.83980710794026</v>
      </c>
      <c r="I535" s="25">
        <v>2.0028741582853899</v>
      </c>
      <c r="J535" s="26">
        <v>85</v>
      </c>
      <c r="K535" s="26">
        <v>67</v>
      </c>
      <c r="L535" s="21" t="s">
        <v>951</v>
      </c>
    </row>
    <row r="536" spans="1:12" x14ac:dyDescent="0.2">
      <c r="A536" s="22" t="s">
        <v>10</v>
      </c>
      <c r="B536" s="22" t="s">
        <v>306</v>
      </c>
      <c r="C536" s="23" t="s">
        <v>527</v>
      </c>
      <c r="D536" s="24">
        <v>3.21</v>
      </c>
      <c r="E536" s="25">
        <v>2.0421686746987948</v>
      </c>
      <c r="F536" s="25">
        <v>1.5718584070796462</v>
      </c>
      <c r="G536" s="25">
        <v>2.9438825997430258</v>
      </c>
      <c r="H536" s="25">
        <v>10.851883437363915</v>
      </c>
      <c r="I536" s="25">
        <v>0.7986120391996181</v>
      </c>
      <c r="J536" s="26">
        <v>138</v>
      </c>
      <c r="K536" s="26">
        <v>49</v>
      </c>
      <c r="L536" s="21" t="s">
        <v>950</v>
      </c>
    </row>
    <row r="537" spans="1:12" x14ac:dyDescent="0.2">
      <c r="A537" s="22" t="s">
        <v>10</v>
      </c>
      <c r="B537" s="22" t="s">
        <v>306</v>
      </c>
      <c r="C537" s="23" t="s">
        <v>615</v>
      </c>
      <c r="D537" s="24">
        <v>3.21</v>
      </c>
      <c r="E537" s="25">
        <v>7.5060240963855422</v>
      </c>
      <c r="F537" s="25">
        <v>0.42765650080256823</v>
      </c>
      <c r="G537" s="25">
        <v>6.5056189598285226</v>
      </c>
      <c r="H537" s="25">
        <v>23.306974887501816</v>
      </c>
      <c r="I537" s="25">
        <v>1.8158975265887367</v>
      </c>
      <c r="J537" s="26">
        <v>108</v>
      </c>
      <c r="K537" s="26">
        <v>45</v>
      </c>
      <c r="L537" s="21" t="s">
        <v>950</v>
      </c>
    </row>
    <row r="538" spans="1:12" x14ac:dyDescent="0.2">
      <c r="A538" s="22" t="s">
        <v>10</v>
      </c>
      <c r="B538" s="22" t="s">
        <v>306</v>
      </c>
      <c r="C538" s="23" t="s">
        <v>910</v>
      </c>
      <c r="D538" s="24">
        <v>3.21</v>
      </c>
      <c r="E538" s="25">
        <v>4.5000000000000018</v>
      </c>
      <c r="F538" s="25">
        <v>0.71333333333333304</v>
      </c>
      <c r="G538" s="25">
        <v>3.1426948575569669</v>
      </c>
      <c r="H538" s="25">
        <v>10.992796487153432</v>
      </c>
      <c r="I538" s="25">
        <v>0.89845481804898908</v>
      </c>
      <c r="J538" s="26">
        <v>138</v>
      </c>
      <c r="K538" s="26">
        <v>46</v>
      </c>
      <c r="L538" s="21" t="s">
        <v>950</v>
      </c>
    </row>
    <row r="539" spans="1:12" ht="15" x14ac:dyDescent="0.25">
      <c r="A539" s="22" t="s">
        <v>10</v>
      </c>
      <c r="B539" s="8" t="s">
        <v>307</v>
      </c>
      <c r="C539" s="23" t="s">
        <v>426</v>
      </c>
      <c r="D539" s="24">
        <v>3.91</v>
      </c>
      <c r="E539" s="25">
        <v>3.5843373493975914</v>
      </c>
      <c r="F539" s="25">
        <v>1.0908571428571425</v>
      </c>
      <c r="G539" s="25">
        <v>7.175869135727539</v>
      </c>
      <c r="H539" s="25">
        <v>29.975831034983308</v>
      </c>
      <c r="I539" s="25">
        <v>1.7178205265766295</v>
      </c>
      <c r="J539" s="26">
        <v>112</v>
      </c>
      <c r="K539" s="26">
        <v>42</v>
      </c>
    </row>
    <row r="540" spans="1:12" ht="15" x14ac:dyDescent="0.25">
      <c r="A540" s="22" t="s">
        <v>10</v>
      </c>
      <c r="B540" s="8" t="s">
        <v>307</v>
      </c>
      <c r="C540" s="23" t="s">
        <v>721</v>
      </c>
      <c r="D540" s="24">
        <v>3.21</v>
      </c>
      <c r="E540" s="25">
        <v>7.5120481927710863</v>
      </c>
      <c r="F540" s="25">
        <v>0.42731355252606246</v>
      </c>
      <c r="G540" s="25">
        <v>7.5515739815119156</v>
      </c>
      <c r="H540" s="25">
        <v>34.241834809115986</v>
      </c>
      <c r="I540" s="25">
        <v>1.6653976025567994</v>
      </c>
      <c r="J540" s="26">
        <v>112</v>
      </c>
      <c r="K540" s="26">
        <v>43</v>
      </c>
      <c r="L540" s="21" t="s">
        <v>950</v>
      </c>
    </row>
    <row r="541" spans="1:12" x14ac:dyDescent="0.2">
      <c r="A541" s="22" t="s">
        <v>10</v>
      </c>
      <c r="B541" s="22" t="s">
        <v>307</v>
      </c>
      <c r="C541" s="23" t="s">
        <v>801</v>
      </c>
      <c r="D541" s="24">
        <v>3.21</v>
      </c>
      <c r="E541" s="25">
        <v>5.1265060240963845</v>
      </c>
      <c r="F541" s="25">
        <v>0.62615746180963583</v>
      </c>
      <c r="G541" s="25">
        <v>7.727154444825973</v>
      </c>
      <c r="H541" s="25">
        <v>34.060222818986787</v>
      </c>
      <c r="I541" s="25">
        <v>1.7530394951177244</v>
      </c>
      <c r="J541" s="26">
        <v>106</v>
      </c>
      <c r="K541" s="26">
        <v>47</v>
      </c>
      <c r="L541" s="21" t="s">
        <v>950</v>
      </c>
    </row>
    <row r="542" spans="1:12" x14ac:dyDescent="0.2">
      <c r="A542" s="22" t="s">
        <v>10</v>
      </c>
      <c r="B542" s="22" t="s">
        <v>222</v>
      </c>
      <c r="C542" s="23" t="s">
        <v>611</v>
      </c>
      <c r="D542" s="24">
        <v>3.21</v>
      </c>
      <c r="E542" s="25">
        <v>7.8614457831325311</v>
      </c>
      <c r="F542" s="25">
        <v>0.40832183908045971</v>
      </c>
      <c r="G542" s="25">
        <v>7.7044322645002943</v>
      </c>
      <c r="H542" s="25">
        <v>28.78794092030774</v>
      </c>
      <c r="I542" s="25">
        <v>2.0619146288576791</v>
      </c>
      <c r="J542" s="26">
        <v>115</v>
      </c>
      <c r="K542" s="26">
        <v>38</v>
      </c>
      <c r="L542" s="21" t="s">
        <v>950</v>
      </c>
    </row>
    <row r="543" spans="1:12" x14ac:dyDescent="0.2">
      <c r="A543" s="22" t="s">
        <v>10</v>
      </c>
      <c r="B543" s="22" t="s">
        <v>222</v>
      </c>
      <c r="C543" s="23" t="s">
        <v>907</v>
      </c>
      <c r="D543" s="24">
        <v>3.21</v>
      </c>
      <c r="E543" s="25">
        <v>7.2108433734939776</v>
      </c>
      <c r="F543" s="25">
        <v>0.44516290726817032</v>
      </c>
      <c r="G543" s="25">
        <v>6.9042410434763406</v>
      </c>
      <c r="H543" s="25">
        <v>27.248421396429087</v>
      </c>
      <c r="I543" s="25">
        <v>1.7494057249375279</v>
      </c>
      <c r="J543" s="26">
        <v>109</v>
      </c>
      <c r="K543" s="26">
        <v>34</v>
      </c>
      <c r="L543" s="21" t="s">
        <v>950</v>
      </c>
    </row>
    <row r="544" spans="1:12" x14ac:dyDescent="0.2">
      <c r="A544" s="22" t="s">
        <v>10</v>
      </c>
      <c r="B544" s="22" t="s">
        <v>189</v>
      </c>
      <c r="C544" s="23" t="s">
        <v>477</v>
      </c>
      <c r="D544" s="24">
        <v>3.605</v>
      </c>
      <c r="E544" s="25">
        <v>6.6746987951807224</v>
      </c>
      <c r="F544" s="25">
        <v>0.54009927797833934</v>
      </c>
      <c r="G544" s="25">
        <v>7.5090635214771995</v>
      </c>
      <c r="H544" s="25">
        <v>27.561420380316445</v>
      </c>
      <c r="I544" s="25">
        <v>2.0458319706138517</v>
      </c>
      <c r="J544" s="26">
        <v>133</v>
      </c>
      <c r="K544" s="26">
        <v>50</v>
      </c>
    </row>
    <row r="545" spans="1:12" x14ac:dyDescent="0.2">
      <c r="A545" s="22" t="s">
        <v>10</v>
      </c>
      <c r="B545" s="22" t="s">
        <v>189</v>
      </c>
      <c r="C545" s="23" t="s">
        <v>557</v>
      </c>
      <c r="D545" s="24">
        <v>3.57</v>
      </c>
      <c r="E545" s="25">
        <v>6.30722891566265</v>
      </c>
      <c r="F545" s="25">
        <v>0.56601719197707745</v>
      </c>
      <c r="G545" s="25">
        <v>7.09911272985312</v>
      </c>
      <c r="H545" s="25">
        <v>26.105512411090146</v>
      </c>
      <c r="I545" s="25">
        <v>1.9305271912514841</v>
      </c>
      <c r="J545" s="26">
        <v>114</v>
      </c>
      <c r="K545" s="26">
        <v>40</v>
      </c>
    </row>
    <row r="546" spans="1:12" x14ac:dyDescent="0.2">
      <c r="A546" s="22" t="s">
        <v>10</v>
      </c>
      <c r="B546" s="22" t="s">
        <v>190</v>
      </c>
      <c r="C546" s="23" t="s">
        <v>343</v>
      </c>
      <c r="D546" s="24">
        <v>3.9</v>
      </c>
      <c r="E546" s="25">
        <v>5.5481927710843379</v>
      </c>
      <c r="F546" s="25">
        <v>0.70293159609120515</v>
      </c>
      <c r="G546" s="25">
        <v>8.0636264029082074</v>
      </c>
      <c r="H546" s="25">
        <v>31.825881840615473</v>
      </c>
      <c r="I546" s="25">
        <v>2.0430563744096681</v>
      </c>
      <c r="J546" s="26">
        <v>74</v>
      </c>
      <c r="K546" s="26">
        <v>48</v>
      </c>
    </row>
    <row r="547" spans="1:12" x14ac:dyDescent="0.2">
      <c r="A547" s="22" t="s">
        <v>10</v>
      </c>
      <c r="B547" s="22" t="s">
        <v>190</v>
      </c>
      <c r="C547" s="23" t="s">
        <v>729</v>
      </c>
      <c r="D547" s="24" t="s">
        <v>8</v>
      </c>
      <c r="E547" s="25">
        <v>7.1385542168674707</v>
      </c>
      <c r="F547" s="25" t="s">
        <v>8</v>
      </c>
      <c r="G547" s="25">
        <v>8.3574170498071716</v>
      </c>
      <c r="H547" s="25">
        <v>33.199520975468133</v>
      </c>
      <c r="I547" s="25">
        <v>2.1038381787501903</v>
      </c>
      <c r="J547" s="26">
        <v>102</v>
      </c>
      <c r="K547" s="26">
        <v>74</v>
      </c>
    </row>
    <row r="548" spans="1:12" x14ac:dyDescent="0.2">
      <c r="A548" s="22" t="s">
        <v>10</v>
      </c>
      <c r="B548" s="22" t="s">
        <v>191</v>
      </c>
      <c r="C548" s="23" t="s">
        <v>424</v>
      </c>
      <c r="D548" s="24">
        <v>1.07</v>
      </c>
      <c r="E548" s="25">
        <v>1.6566265060240966</v>
      </c>
      <c r="F548" s="25">
        <v>0.64589090909090907</v>
      </c>
      <c r="G548" s="25">
        <v>2.6862672098425495</v>
      </c>
      <c r="H548" s="25">
        <v>8.4571055305559586</v>
      </c>
      <c r="I548" s="25">
        <v>0.85325073650829841</v>
      </c>
      <c r="J548" s="26">
        <v>164</v>
      </c>
      <c r="K548" s="26">
        <v>55</v>
      </c>
    </row>
    <row r="549" spans="1:12" x14ac:dyDescent="0.2">
      <c r="A549" s="22" t="s">
        <v>10</v>
      </c>
      <c r="B549" s="22" t="s">
        <v>191</v>
      </c>
      <c r="C549" s="23" t="s">
        <v>614</v>
      </c>
      <c r="D549" s="24" t="s">
        <v>8</v>
      </c>
      <c r="E549" s="25">
        <v>5.2951807228915673</v>
      </c>
      <c r="F549" s="25" t="s">
        <v>8</v>
      </c>
      <c r="G549" s="25">
        <v>5.7410871372512311</v>
      </c>
      <c r="H549" s="25">
        <v>18.665499346784728</v>
      </c>
      <c r="I549" s="25">
        <v>1.7658290788341087</v>
      </c>
      <c r="J549" s="26">
        <v>150</v>
      </c>
      <c r="K549" s="26">
        <v>34</v>
      </c>
    </row>
    <row r="550" spans="1:12" x14ac:dyDescent="0.2">
      <c r="A550" s="22" t="s">
        <v>10</v>
      </c>
      <c r="B550" s="22" t="s">
        <v>191</v>
      </c>
      <c r="C550" s="23" t="s">
        <v>617</v>
      </c>
      <c r="D550" s="24" t="s">
        <v>8</v>
      </c>
      <c r="E550" s="25">
        <v>3.8795180722891569</v>
      </c>
      <c r="F550" s="25" t="s">
        <v>8</v>
      </c>
      <c r="G550" s="25">
        <v>5.870180760846516</v>
      </c>
      <c r="H550" s="25">
        <v>18.022354478153581</v>
      </c>
      <c r="I550" s="25">
        <v>1.9120155586099075</v>
      </c>
      <c r="J550" s="26">
        <v>110</v>
      </c>
      <c r="K550" s="26">
        <v>48</v>
      </c>
    </row>
    <row r="551" spans="1:12" x14ac:dyDescent="0.2">
      <c r="A551" s="22" t="s">
        <v>10</v>
      </c>
      <c r="B551" s="22" t="s">
        <v>192</v>
      </c>
      <c r="C551" s="23" t="s">
        <v>372</v>
      </c>
      <c r="D551" s="24">
        <v>7.26</v>
      </c>
      <c r="E551" s="25">
        <v>10.3</v>
      </c>
      <c r="F551" s="25">
        <v>0.70485436893203879</v>
      </c>
      <c r="G551" s="25" t="s">
        <v>8</v>
      </c>
      <c r="H551" s="25" t="s">
        <v>8</v>
      </c>
      <c r="I551" s="25" t="s">
        <v>8</v>
      </c>
      <c r="J551" s="26">
        <v>56</v>
      </c>
      <c r="K551" s="26">
        <v>50</v>
      </c>
    </row>
    <row r="552" spans="1:12" x14ac:dyDescent="0.2">
      <c r="A552" s="22" t="s">
        <v>10</v>
      </c>
      <c r="B552" s="22" t="s">
        <v>192</v>
      </c>
      <c r="C552" s="23" t="s">
        <v>633</v>
      </c>
      <c r="D552" s="24">
        <v>7.03</v>
      </c>
      <c r="E552" s="25">
        <v>11.910344827586206</v>
      </c>
      <c r="F552" s="25">
        <v>0.59024319629415178</v>
      </c>
      <c r="G552" s="25">
        <v>16.163553937126988</v>
      </c>
      <c r="H552" s="25">
        <v>108.1986920332937</v>
      </c>
      <c r="I552" s="25">
        <v>2.4146361750659717</v>
      </c>
      <c r="J552" s="26">
        <v>54</v>
      </c>
      <c r="K552" s="26">
        <v>44</v>
      </c>
    </row>
    <row r="553" spans="1:12" x14ac:dyDescent="0.2">
      <c r="A553" s="22" t="s">
        <v>10</v>
      </c>
      <c r="B553" s="22" t="s">
        <v>192</v>
      </c>
      <c r="C553" s="23" t="s">
        <v>876</v>
      </c>
      <c r="D553" s="24" t="s">
        <v>8</v>
      </c>
      <c r="E553" s="25">
        <v>13.069230769230771</v>
      </c>
      <c r="F553" s="25" t="s">
        <v>8</v>
      </c>
      <c r="G553" s="25">
        <v>14.588820697819406</v>
      </c>
      <c r="H553" s="25">
        <v>90.741005917159768</v>
      </c>
      <c r="I553" s="25">
        <v>2.3455072731662936</v>
      </c>
      <c r="J553" s="26">
        <v>82</v>
      </c>
      <c r="K553" s="26">
        <v>66</v>
      </c>
    </row>
    <row r="554" spans="1:12" x14ac:dyDescent="0.2">
      <c r="A554" s="22" t="s">
        <v>10</v>
      </c>
      <c r="B554" s="22" t="s">
        <v>193</v>
      </c>
      <c r="C554" s="23" t="s">
        <v>323</v>
      </c>
      <c r="D554" s="24">
        <v>7.7974999999999994</v>
      </c>
      <c r="E554" s="25">
        <v>13.919540229885058</v>
      </c>
      <c r="F554" s="25">
        <v>0.56018373245251851</v>
      </c>
      <c r="G554" s="25">
        <v>20.31450319020071</v>
      </c>
      <c r="H554" s="25">
        <v>196.31919672347732</v>
      </c>
      <c r="I554" s="25">
        <v>2.1020819499681846</v>
      </c>
      <c r="J554" s="26">
        <v>90</v>
      </c>
      <c r="K554" s="26">
        <v>62</v>
      </c>
    </row>
    <row r="555" spans="1:12" x14ac:dyDescent="0.2">
      <c r="A555" s="22" t="s">
        <v>10</v>
      </c>
      <c r="B555" s="22" t="s">
        <v>193</v>
      </c>
      <c r="C555" s="23" t="s">
        <v>897</v>
      </c>
      <c r="D555" s="24" t="s">
        <v>8</v>
      </c>
      <c r="E555" s="25">
        <v>13.112068965517242</v>
      </c>
      <c r="F555" s="25" t="s">
        <v>8</v>
      </c>
      <c r="G555" s="25">
        <v>16.869620342154931</v>
      </c>
      <c r="H555" s="25">
        <v>146.6416468489893</v>
      </c>
      <c r="I555" s="25">
        <v>1.9406771309756941</v>
      </c>
      <c r="J555" s="26">
        <v>96</v>
      </c>
      <c r="K555" s="26">
        <v>61</v>
      </c>
    </row>
    <row r="556" spans="1:12" ht="15" x14ac:dyDescent="0.25">
      <c r="A556" s="22" t="s">
        <v>10</v>
      </c>
      <c r="B556" s="8" t="s">
        <v>308</v>
      </c>
      <c r="C556" s="23" t="s">
        <v>677</v>
      </c>
      <c r="D556" s="24">
        <v>7.81</v>
      </c>
      <c r="E556" s="25">
        <v>12.192307692307692</v>
      </c>
      <c r="F556" s="25">
        <v>0.64056782334384854</v>
      </c>
      <c r="G556" s="25">
        <v>16.334635804654965</v>
      </c>
      <c r="H556" s="25">
        <v>125.07423076923075</v>
      </c>
      <c r="I556" s="25">
        <v>2.1332957654803812</v>
      </c>
      <c r="J556" s="26">
        <v>134</v>
      </c>
      <c r="K556" s="26">
        <v>82</v>
      </c>
      <c r="L556" s="21" t="s">
        <v>940</v>
      </c>
    </row>
    <row r="557" spans="1:12" ht="15" x14ac:dyDescent="0.25">
      <c r="A557" s="22" t="s">
        <v>10</v>
      </c>
      <c r="B557" s="8" t="s">
        <v>308</v>
      </c>
      <c r="C557" s="23" t="s">
        <v>898</v>
      </c>
      <c r="D557" s="24">
        <v>7.81</v>
      </c>
      <c r="E557" s="25">
        <v>13.361538461538464</v>
      </c>
      <c r="F557" s="25">
        <v>0.58451352907311449</v>
      </c>
      <c r="G557" s="25">
        <v>16.829391746602269</v>
      </c>
      <c r="H557" s="25">
        <v>137.31192307692308</v>
      </c>
      <c r="I557" s="25">
        <v>2.0626644810876189</v>
      </c>
      <c r="J557" s="26">
        <v>164</v>
      </c>
      <c r="K557" s="26">
        <v>86</v>
      </c>
      <c r="L557" s="21" t="s">
        <v>940</v>
      </c>
    </row>
    <row r="558" spans="1:12" x14ac:dyDescent="0.2">
      <c r="A558" s="22" t="s">
        <v>10</v>
      </c>
      <c r="B558" s="22" t="s">
        <v>194</v>
      </c>
      <c r="C558" s="23" t="s">
        <v>577</v>
      </c>
      <c r="D558" s="24">
        <v>9.41</v>
      </c>
      <c r="E558" s="25">
        <v>13.574074074074074</v>
      </c>
      <c r="F558" s="25">
        <v>0.69323328785811733</v>
      </c>
      <c r="G558" s="25">
        <v>23.711827784078775</v>
      </c>
      <c r="H558" s="25">
        <v>320.60648148148147</v>
      </c>
      <c r="I558" s="25">
        <v>1.7537099507898946</v>
      </c>
      <c r="J558" s="26">
        <v>42</v>
      </c>
      <c r="K558" s="26">
        <v>20</v>
      </c>
    </row>
    <row r="559" spans="1:12" x14ac:dyDescent="0.2">
      <c r="A559" s="22" t="s">
        <v>10</v>
      </c>
      <c r="B559" s="22" t="s">
        <v>195</v>
      </c>
      <c r="C559" s="23" t="s">
        <v>328</v>
      </c>
      <c r="D559" s="24">
        <v>8.92</v>
      </c>
      <c r="E559" s="25">
        <v>15.101851851851849</v>
      </c>
      <c r="F559" s="25">
        <v>0.59065603923973031</v>
      </c>
      <c r="G559" s="25">
        <v>19.701376562109978</v>
      </c>
      <c r="H559" s="25">
        <v>154.06288580246914</v>
      </c>
      <c r="I559" s="25">
        <v>2.5193883421066987</v>
      </c>
      <c r="J559" s="26">
        <v>73</v>
      </c>
      <c r="K559" s="26">
        <v>177</v>
      </c>
    </row>
    <row r="560" spans="1:12" x14ac:dyDescent="0.2">
      <c r="A560" s="22" t="s">
        <v>10</v>
      </c>
      <c r="B560" s="22" t="s">
        <v>195</v>
      </c>
      <c r="C560" s="23" t="s">
        <v>365</v>
      </c>
      <c r="D560" s="24">
        <v>8.34</v>
      </c>
      <c r="E560" s="25">
        <v>13.916666666666666</v>
      </c>
      <c r="F560" s="25">
        <v>0.59928143712574855</v>
      </c>
      <c r="G560" s="25">
        <v>19.320715070501201</v>
      </c>
      <c r="H560" s="25">
        <v>146.01984739368999</v>
      </c>
      <c r="I560" s="25">
        <v>2.5564335088575318</v>
      </c>
      <c r="J560" s="26">
        <v>92</v>
      </c>
      <c r="K560" s="26">
        <v>158</v>
      </c>
    </row>
    <row r="561" spans="1:12" x14ac:dyDescent="0.2">
      <c r="A561" s="22" t="s">
        <v>10</v>
      </c>
      <c r="B561" s="22" t="s">
        <v>196</v>
      </c>
      <c r="C561" s="23" t="s">
        <v>561</v>
      </c>
      <c r="D561" s="24">
        <v>8.35</v>
      </c>
      <c r="E561" s="25">
        <v>14.064814814814817</v>
      </c>
      <c r="F561" s="25">
        <v>0.5936800526662277</v>
      </c>
      <c r="G561" s="25">
        <v>16.110781198416277</v>
      </c>
      <c r="H561" s="25">
        <v>133.46622085048011</v>
      </c>
      <c r="I561" s="25">
        <v>1.944741292360566</v>
      </c>
      <c r="J561" s="26">
        <v>126</v>
      </c>
      <c r="K561" s="26">
        <v>46</v>
      </c>
    </row>
    <row r="562" spans="1:12" x14ac:dyDescent="0.2">
      <c r="A562" s="22" t="s">
        <v>10</v>
      </c>
      <c r="B562" s="22" t="s">
        <v>196</v>
      </c>
      <c r="C562" s="23" t="s">
        <v>737</v>
      </c>
      <c r="D562" s="24" t="s">
        <v>8</v>
      </c>
      <c r="E562" s="25">
        <v>12.036496350364962</v>
      </c>
      <c r="F562" s="25" t="s">
        <v>8</v>
      </c>
      <c r="G562" s="25">
        <v>15.106690345532494</v>
      </c>
      <c r="H562" s="25">
        <v>98.799962704459489</v>
      </c>
      <c r="I562" s="25">
        <v>2.3098398718879674</v>
      </c>
      <c r="J562" s="26">
        <v>162</v>
      </c>
      <c r="K562" s="26">
        <v>48</v>
      </c>
    </row>
    <row r="563" spans="1:12" x14ac:dyDescent="0.2">
      <c r="A563" s="22" t="s">
        <v>10</v>
      </c>
      <c r="B563" s="22" t="s">
        <v>197</v>
      </c>
      <c r="C563" s="23" t="s">
        <v>368</v>
      </c>
      <c r="D563" s="24">
        <v>7.15</v>
      </c>
      <c r="E563" s="25">
        <v>9.6445783132530121</v>
      </c>
      <c r="F563" s="25">
        <v>0.74134915677701441</v>
      </c>
      <c r="G563" s="25">
        <v>10.605210109298488</v>
      </c>
      <c r="H563" s="25">
        <v>76.24439323559298</v>
      </c>
      <c r="I563" s="25">
        <v>1.4751311760700396</v>
      </c>
      <c r="J563" s="26">
        <v>158</v>
      </c>
      <c r="K563" s="26">
        <v>47</v>
      </c>
    </row>
    <row r="564" spans="1:12" x14ac:dyDescent="0.2">
      <c r="A564" s="22" t="s">
        <v>10</v>
      </c>
      <c r="B564" s="22" t="s">
        <v>197</v>
      </c>
      <c r="C564" s="23" t="s">
        <v>392</v>
      </c>
      <c r="D564" s="24">
        <v>6.6410000000000009</v>
      </c>
      <c r="E564" s="25">
        <v>10.246153846153844</v>
      </c>
      <c r="F564" s="25">
        <v>0.64814564564564592</v>
      </c>
      <c r="G564" s="25">
        <v>12.696640851218358</v>
      </c>
      <c r="H564" s="25">
        <v>86.048284023668643</v>
      </c>
      <c r="I564" s="25">
        <v>1.8734213091394769</v>
      </c>
      <c r="J564" s="26">
        <v>130</v>
      </c>
      <c r="K564" s="26">
        <v>63</v>
      </c>
    </row>
    <row r="565" spans="1:12" x14ac:dyDescent="0.2">
      <c r="A565" s="22" t="s">
        <v>10</v>
      </c>
      <c r="B565" s="22" t="s">
        <v>197</v>
      </c>
      <c r="C565" s="23" t="s">
        <v>462</v>
      </c>
      <c r="D565" s="24">
        <v>7.58</v>
      </c>
      <c r="E565" s="25">
        <v>11.430769230769233</v>
      </c>
      <c r="F565" s="25">
        <v>0.66312247644683708</v>
      </c>
      <c r="G565" s="25">
        <v>13.080704659224807</v>
      </c>
      <c r="H565" s="25">
        <v>94.047633136094674</v>
      </c>
      <c r="I565" s="25">
        <v>1.8193422702542952</v>
      </c>
      <c r="J565" s="26">
        <v>137</v>
      </c>
      <c r="K565" s="26">
        <v>70</v>
      </c>
    </row>
    <row r="566" spans="1:12" x14ac:dyDescent="0.2">
      <c r="A566" s="22" t="s">
        <v>10</v>
      </c>
      <c r="B566" s="22" t="s">
        <v>197</v>
      </c>
      <c r="C566" s="23" t="s">
        <v>827</v>
      </c>
      <c r="D566" s="24" t="s">
        <v>8</v>
      </c>
      <c r="E566" s="25">
        <v>10.62043795620438</v>
      </c>
      <c r="F566" s="25" t="s">
        <v>8</v>
      </c>
      <c r="G566" s="25">
        <v>11.155455364797788</v>
      </c>
      <c r="H566" s="25">
        <v>88.186158026533121</v>
      </c>
      <c r="I566" s="25">
        <v>1.4111532601131513</v>
      </c>
      <c r="J566" s="26">
        <v>180</v>
      </c>
      <c r="K566" s="26">
        <v>53</v>
      </c>
    </row>
    <row r="567" spans="1:12" x14ac:dyDescent="0.2">
      <c r="A567" s="22" t="s">
        <v>10</v>
      </c>
      <c r="B567" s="22" t="s">
        <v>309</v>
      </c>
      <c r="C567" s="23" t="s">
        <v>784</v>
      </c>
      <c r="D567" s="24">
        <v>8.32</v>
      </c>
      <c r="E567" s="25">
        <v>16.138686131386862</v>
      </c>
      <c r="F567" s="25">
        <v>0.5155314337403889</v>
      </c>
      <c r="G567" s="25">
        <v>17.207546325304577</v>
      </c>
      <c r="H567" s="25">
        <v>164.12302200436892</v>
      </c>
      <c r="I567" s="25">
        <v>1.804132332693831</v>
      </c>
      <c r="J567" s="26">
        <v>168</v>
      </c>
      <c r="K567" s="26">
        <v>52</v>
      </c>
      <c r="L567" s="21" t="s">
        <v>938</v>
      </c>
    </row>
    <row r="568" spans="1:12" x14ac:dyDescent="0.2">
      <c r="A568" s="22" t="s">
        <v>10</v>
      </c>
      <c r="B568" s="22" t="s">
        <v>198</v>
      </c>
      <c r="C568" s="23" t="s">
        <v>367</v>
      </c>
      <c r="D568" s="24">
        <v>12.74</v>
      </c>
      <c r="E568" s="25">
        <v>18.324074074074069</v>
      </c>
      <c r="F568" s="25">
        <v>0.69526023244062674</v>
      </c>
      <c r="G568" s="25">
        <v>20.205981755414467</v>
      </c>
      <c r="H568" s="25">
        <v>189.81652949245543</v>
      </c>
      <c r="I568" s="25">
        <v>2.1509280555904913</v>
      </c>
      <c r="J568" s="26">
        <v>138</v>
      </c>
      <c r="K568" s="26">
        <v>44</v>
      </c>
    </row>
    <row r="569" spans="1:12" x14ac:dyDescent="0.2">
      <c r="A569" s="22" t="s">
        <v>10</v>
      </c>
      <c r="B569" s="22" t="s">
        <v>198</v>
      </c>
      <c r="C569" s="23" t="s">
        <v>786</v>
      </c>
      <c r="D569" s="24" t="s">
        <v>8</v>
      </c>
      <c r="E569" s="25">
        <v>19.504950495049503</v>
      </c>
      <c r="F569" s="25" t="s">
        <v>8</v>
      </c>
      <c r="G569" s="25">
        <v>18.058921487469988</v>
      </c>
      <c r="H569" s="25">
        <v>141.21429271640037</v>
      </c>
      <c r="I569" s="25">
        <v>2.3094308587131405</v>
      </c>
      <c r="J569" s="26">
        <v>126</v>
      </c>
      <c r="K569" s="26">
        <v>32</v>
      </c>
    </row>
    <row r="570" spans="1:12" x14ac:dyDescent="0.2">
      <c r="A570" s="22" t="s">
        <v>10</v>
      </c>
      <c r="B570" s="22" t="s">
        <v>198</v>
      </c>
      <c r="C570" s="23" t="s">
        <v>787</v>
      </c>
      <c r="D570" s="24" t="s">
        <v>8</v>
      </c>
      <c r="E570" s="25">
        <v>16.077586206896548</v>
      </c>
      <c r="F570" s="25" t="s">
        <v>8</v>
      </c>
      <c r="G570" s="25">
        <v>17.550623884538602</v>
      </c>
      <c r="H570" s="25">
        <v>139.50836058263971</v>
      </c>
      <c r="I570" s="25">
        <v>2.2079278793766224</v>
      </c>
      <c r="J570" s="26">
        <v>138</v>
      </c>
      <c r="K570" s="26">
        <v>48</v>
      </c>
    </row>
    <row r="571" spans="1:12" x14ac:dyDescent="0.2">
      <c r="A571" s="22" t="s">
        <v>10</v>
      </c>
      <c r="B571" s="22" t="s">
        <v>199</v>
      </c>
      <c r="C571" s="23" t="s">
        <v>402</v>
      </c>
      <c r="D571" s="24">
        <v>8</v>
      </c>
      <c r="E571" s="25">
        <v>12.453846153846154</v>
      </c>
      <c r="F571" s="25">
        <v>0.64237183446571955</v>
      </c>
      <c r="G571" s="25">
        <v>15.202532536343217</v>
      </c>
      <c r="H571" s="25">
        <v>111.17831360946744</v>
      </c>
      <c r="I571" s="25">
        <v>2.0787956573114745</v>
      </c>
      <c r="J571" s="26">
        <v>124</v>
      </c>
      <c r="K571" s="26">
        <v>60</v>
      </c>
    </row>
    <row r="572" spans="1:12" x14ac:dyDescent="0.2">
      <c r="A572" s="22" t="s">
        <v>10</v>
      </c>
      <c r="B572" s="22" t="s">
        <v>199</v>
      </c>
      <c r="C572" s="23" t="s">
        <v>816</v>
      </c>
      <c r="D572" s="24" t="s">
        <v>8</v>
      </c>
      <c r="E572" s="25">
        <v>10.35766423357664</v>
      </c>
      <c r="F572" s="25" t="s">
        <v>8</v>
      </c>
      <c r="G572" s="25">
        <v>13.430497257230975</v>
      </c>
      <c r="H572" s="25">
        <v>89.711199318024399</v>
      </c>
      <c r="I572" s="25">
        <v>2.0106548340419734</v>
      </c>
      <c r="J572" s="26">
        <v>111</v>
      </c>
      <c r="K572" s="26">
        <v>43</v>
      </c>
      <c r="L572" s="21" t="s">
        <v>938</v>
      </c>
    </row>
    <row r="573" spans="1:12" x14ac:dyDescent="0.2">
      <c r="A573" s="22" t="s">
        <v>10</v>
      </c>
      <c r="B573" s="22" t="s">
        <v>310</v>
      </c>
      <c r="C573" s="23" t="s">
        <v>819</v>
      </c>
      <c r="D573" s="24">
        <v>8.32</v>
      </c>
      <c r="E573" s="25">
        <v>11.884615384615389</v>
      </c>
      <c r="F573" s="25">
        <v>0.70006472491909366</v>
      </c>
      <c r="G573" s="25">
        <v>14.170982853644006</v>
      </c>
      <c r="H573" s="25">
        <v>90.770562130177524</v>
      </c>
      <c r="I573" s="25">
        <v>2.2123555294311545</v>
      </c>
      <c r="J573" s="26">
        <v>149</v>
      </c>
      <c r="K573" s="26">
        <v>50</v>
      </c>
    </row>
    <row r="574" spans="1:12" x14ac:dyDescent="0.2">
      <c r="A574" s="22" t="s">
        <v>10</v>
      </c>
      <c r="B574" s="22" t="s">
        <v>200</v>
      </c>
      <c r="C574" s="23" t="s">
        <v>375</v>
      </c>
      <c r="D574" s="24">
        <v>8.8733333333333331</v>
      </c>
      <c r="E574" s="25">
        <v>11.823076923076922</v>
      </c>
      <c r="F574" s="25">
        <v>0.75050965083495991</v>
      </c>
      <c r="G574" s="25">
        <v>13.341327993596709</v>
      </c>
      <c r="H574" s="25">
        <v>80.729112426035499</v>
      </c>
      <c r="I574" s="25">
        <v>2.204793627525679</v>
      </c>
      <c r="J574" s="26">
        <v>160</v>
      </c>
      <c r="K574" s="26">
        <v>69</v>
      </c>
    </row>
    <row r="575" spans="1:12" x14ac:dyDescent="0.2">
      <c r="A575" s="22" t="s">
        <v>10</v>
      </c>
      <c r="B575" s="22" t="s">
        <v>200</v>
      </c>
      <c r="C575" s="23" t="s">
        <v>436</v>
      </c>
      <c r="D575" s="24">
        <v>9.44</v>
      </c>
      <c r="E575" s="25">
        <v>12.246987951807228</v>
      </c>
      <c r="F575" s="25">
        <v>0.77080177078209544</v>
      </c>
      <c r="G575" s="25">
        <v>13.643020849873263</v>
      </c>
      <c r="H575" s="25">
        <v>77.035491363042524</v>
      </c>
      <c r="I575" s="25">
        <v>2.4161852493793878</v>
      </c>
      <c r="J575" s="26">
        <v>142</v>
      </c>
      <c r="K575" s="26">
        <v>77</v>
      </c>
    </row>
    <row r="576" spans="1:12" x14ac:dyDescent="0.2">
      <c r="A576" s="22" t="s">
        <v>10</v>
      </c>
      <c r="B576" s="22" t="s">
        <v>200</v>
      </c>
      <c r="C576" s="23" t="s">
        <v>452</v>
      </c>
      <c r="D576" s="24">
        <v>9.2100000000000009</v>
      </c>
      <c r="E576" s="25">
        <v>10.784615384615384</v>
      </c>
      <c r="F576" s="25">
        <v>0.85399429386590597</v>
      </c>
      <c r="G576" s="25">
        <v>13.740065599399077</v>
      </c>
      <c r="H576" s="25">
        <v>85.023727810650882</v>
      </c>
      <c r="I576" s="25">
        <v>2.2204319610194787</v>
      </c>
      <c r="J576" s="26">
        <v>146</v>
      </c>
      <c r="K576" s="26">
        <v>66</v>
      </c>
    </row>
    <row r="577" spans="1:12" x14ac:dyDescent="0.2">
      <c r="A577" s="22" t="s">
        <v>10</v>
      </c>
      <c r="B577" s="22" t="s">
        <v>200</v>
      </c>
      <c r="C577" s="23" t="s">
        <v>817</v>
      </c>
      <c r="D577" s="24" t="s">
        <v>8</v>
      </c>
      <c r="E577" s="25">
        <v>12.277372262773724</v>
      </c>
      <c r="F577" s="25" t="s">
        <v>8</v>
      </c>
      <c r="G577" s="25">
        <v>13.056466545406003</v>
      </c>
      <c r="H577" s="25">
        <v>80.100031967606157</v>
      </c>
      <c r="I577" s="25">
        <v>2.128230344779984</v>
      </c>
      <c r="J577" s="26">
        <v>138</v>
      </c>
      <c r="K577" s="26">
        <v>84</v>
      </c>
    </row>
    <row r="578" spans="1:12" x14ac:dyDescent="0.2">
      <c r="A578" s="22" t="s">
        <v>10</v>
      </c>
      <c r="B578" s="22" t="s">
        <v>201</v>
      </c>
      <c r="C578" s="23" t="s">
        <v>409</v>
      </c>
      <c r="D578" s="24">
        <v>6.663333333333334</v>
      </c>
      <c r="E578" s="25">
        <v>9.4819277108433724</v>
      </c>
      <c r="F578" s="25">
        <v>0.70274036425243558</v>
      </c>
      <c r="G578" s="25">
        <v>9.9649197848234508</v>
      </c>
      <c r="H578" s="25">
        <v>46.940103788648571</v>
      </c>
      <c r="I578" s="25">
        <v>2.1154539147393039</v>
      </c>
      <c r="J578" s="26">
        <v>88</v>
      </c>
      <c r="K578" s="26">
        <v>66</v>
      </c>
    </row>
    <row r="579" spans="1:12" x14ac:dyDescent="0.2">
      <c r="A579" s="22" t="s">
        <v>10</v>
      </c>
      <c r="B579" s="22" t="s">
        <v>201</v>
      </c>
      <c r="C579" s="23" t="s">
        <v>475</v>
      </c>
      <c r="D579" s="24">
        <v>6.14</v>
      </c>
      <c r="E579" s="25">
        <v>7.4036144578313277</v>
      </c>
      <c r="F579" s="25">
        <v>0.82932465419039836</v>
      </c>
      <c r="G579" s="25">
        <v>9.6802504328020138</v>
      </c>
      <c r="H579" s="25">
        <v>42.49713311075628</v>
      </c>
      <c r="I579" s="25">
        <v>2.2050251765817519</v>
      </c>
      <c r="J579" s="26">
        <v>132</v>
      </c>
      <c r="K579" s="26">
        <v>45</v>
      </c>
    </row>
    <row r="580" spans="1:12" x14ac:dyDescent="0.2">
      <c r="A580" s="22" t="s">
        <v>10</v>
      </c>
      <c r="B580" s="22" t="s">
        <v>201</v>
      </c>
      <c r="C580" s="23" t="s">
        <v>825</v>
      </c>
      <c r="D580" s="24" t="s">
        <v>8</v>
      </c>
      <c r="E580" s="25">
        <v>8.4759036144578328</v>
      </c>
      <c r="F580" s="25" t="s">
        <v>8</v>
      </c>
      <c r="G580" s="25">
        <v>11.022563477522725</v>
      </c>
      <c r="H580" s="25">
        <v>62.232635360719989</v>
      </c>
      <c r="I580" s="25">
        <v>1.9523021146667414</v>
      </c>
      <c r="J580" s="26">
        <v>94</v>
      </c>
      <c r="K580" s="26">
        <v>56</v>
      </c>
    </row>
    <row r="581" spans="1:12" x14ac:dyDescent="0.2">
      <c r="A581" s="22" t="s">
        <v>10</v>
      </c>
      <c r="B581" s="22" t="s">
        <v>202</v>
      </c>
      <c r="C581" s="23" t="s">
        <v>643</v>
      </c>
      <c r="D581" s="24">
        <v>8.32</v>
      </c>
      <c r="E581" s="25">
        <v>9.1987951807228914</v>
      </c>
      <c r="F581" s="25">
        <v>0.90446627373935828</v>
      </c>
      <c r="G581" s="25">
        <v>11.203375533400184</v>
      </c>
      <c r="H581" s="25">
        <v>55.884417186819569</v>
      </c>
      <c r="I581" s="25">
        <v>2.245986084507166</v>
      </c>
      <c r="J581" s="26">
        <v>84</v>
      </c>
      <c r="K581" s="26">
        <v>40</v>
      </c>
      <c r="L581" s="21" t="s">
        <v>938</v>
      </c>
    </row>
    <row r="582" spans="1:12" x14ac:dyDescent="0.2">
      <c r="A582" s="22" t="s">
        <v>10</v>
      </c>
      <c r="B582" s="22" t="s">
        <v>203</v>
      </c>
      <c r="C582" s="23" t="s">
        <v>645</v>
      </c>
      <c r="D582" s="24">
        <v>8.32</v>
      </c>
      <c r="E582" s="25">
        <v>11.198795180722891</v>
      </c>
      <c r="F582" s="25">
        <v>0.74293706293706296</v>
      </c>
      <c r="G582" s="25">
        <v>10.577961611216946</v>
      </c>
      <c r="H582" s="25">
        <v>50.298428654376536</v>
      </c>
      <c r="I582" s="25">
        <v>2.2245878219625737</v>
      </c>
      <c r="J582" s="26">
        <v>119</v>
      </c>
      <c r="K582" s="26">
        <v>71</v>
      </c>
      <c r="L582" s="21" t="s">
        <v>938</v>
      </c>
    </row>
    <row r="583" spans="1:12" x14ac:dyDescent="0.2">
      <c r="A583" s="22" t="s">
        <v>10</v>
      </c>
      <c r="B583" s="22" t="s">
        <v>203</v>
      </c>
      <c r="C583" s="23" t="s">
        <v>822</v>
      </c>
      <c r="D583" s="24">
        <v>8.32</v>
      </c>
      <c r="E583" s="25">
        <v>8.9939759036144604</v>
      </c>
      <c r="F583" s="25">
        <v>0.92506363027461469</v>
      </c>
      <c r="G583" s="25">
        <v>10.132946553618066</v>
      </c>
      <c r="H583" s="25">
        <v>49.88205835389752</v>
      </c>
      <c r="I583" s="25">
        <v>2.0583875093930968</v>
      </c>
      <c r="J583" s="26">
        <v>162</v>
      </c>
      <c r="K583" s="26">
        <v>58</v>
      </c>
      <c r="L583" s="21" t="s">
        <v>938</v>
      </c>
    </row>
    <row r="584" spans="1:12" x14ac:dyDescent="0.2">
      <c r="A584" s="22" t="s">
        <v>10</v>
      </c>
      <c r="B584" s="22" t="s">
        <v>204</v>
      </c>
      <c r="C584" s="23" t="s">
        <v>647</v>
      </c>
      <c r="D584" s="24">
        <v>8.32</v>
      </c>
      <c r="E584" s="25">
        <v>9.2831325301204846</v>
      </c>
      <c r="F584" s="25">
        <v>0.89624918883841642</v>
      </c>
      <c r="G584" s="25">
        <v>10.942020637583191</v>
      </c>
      <c r="H584" s="25">
        <v>55.217103353171723</v>
      </c>
      <c r="I584" s="25">
        <v>2.1683103307232647</v>
      </c>
      <c r="J584" s="26">
        <v>172</v>
      </c>
      <c r="K584" s="26">
        <v>55</v>
      </c>
      <c r="L584" s="21" t="s">
        <v>938</v>
      </c>
    </row>
    <row r="585" spans="1:12" x14ac:dyDescent="0.2">
      <c r="A585" s="22" t="s">
        <v>10</v>
      </c>
      <c r="B585" s="22" t="s">
        <v>204</v>
      </c>
      <c r="C585" s="23" t="s">
        <v>724</v>
      </c>
      <c r="D585" s="24">
        <v>8.32</v>
      </c>
      <c r="E585" s="25">
        <v>10.614457831325302</v>
      </c>
      <c r="F585" s="25">
        <v>0.78383654937570946</v>
      </c>
      <c r="G585" s="25">
        <v>12.099004687460292</v>
      </c>
      <c r="H585" s="25">
        <v>68.761431267237626</v>
      </c>
      <c r="I585" s="25">
        <v>2.1288956865697735</v>
      </c>
      <c r="J585" s="26">
        <v>158</v>
      </c>
      <c r="K585" s="26">
        <v>84</v>
      </c>
      <c r="L585" s="21" t="s">
        <v>938</v>
      </c>
    </row>
    <row r="586" spans="1:12" x14ac:dyDescent="0.2">
      <c r="A586" s="22" t="s">
        <v>10</v>
      </c>
      <c r="B586" s="22" t="s">
        <v>205</v>
      </c>
      <c r="C586" s="23" t="s">
        <v>627</v>
      </c>
      <c r="D586" s="24">
        <v>9.44</v>
      </c>
      <c r="E586" s="25">
        <v>11.548192771084338</v>
      </c>
      <c r="F586" s="25">
        <v>0.81744392279603539</v>
      </c>
      <c r="G586" s="25">
        <v>12.18000538123886</v>
      </c>
      <c r="H586" s="25">
        <v>78.571617796487146</v>
      </c>
      <c r="I586" s="25">
        <v>1.8881185757338483</v>
      </c>
      <c r="J586" s="26">
        <v>132</v>
      </c>
      <c r="K586" s="26">
        <v>63</v>
      </c>
    </row>
    <row r="587" spans="1:12" x14ac:dyDescent="0.2">
      <c r="A587" s="22" t="s">
        <v>10</v>
      </c>
      <c r="B587" s="22" t="s">
        <v>205</v>
      </c>
      <c r="C587" s="23" t="s">
        <v>641</v>
      </c>
      <c r="D587" s="24">
        <v>8.4</v>
      </c>
      <c r="E587" s="25">
        <v>10.060240963855421</v>
      </c>
      <c r="F587" s="25">
        <v>0.83497005988023965</v>
      </c>
      <c r="G587" s="25">
        <v>12.851172972084861</v>
      </c>
      <c r="H587" s="25">
        <v>70.506586587313109</v>
      </c>
      <c r="I587" s="25">
        <v>2.3423718939212108</v>
      </c>
      <c r="J587" s="26">
        <v>97</v>
      </c>
      <c r="K587" s="26">
        <v>53</v>
      </c>
    </row>
    <row r="588" spans="1:12" x14ac:dyDescent="0.2">
      <c r="A588" s="22" t="s">
        <v>10</v>
      </c>
      <c r="B588" s="22" t="s">
        <v>206</v>
      </c>
      <c r="C588" s="23" t="s">
        <v>340</v>
      </c>
      <c r="D588" s="24">
        <v>9.48</v>
      </c>
      <c r="E588" s="25">
        <v>14.240875912408756</v>
      </c>
      <c r="F588" s="25">
        <v>0.6656893900563815</v>
      </c>
      <c r="G588" s="25">
        <v>16.087900912932067</v>
      </c>
      <c r="H588" s="25">
        <v>168.43060365496297</v>
      </c>
      <c r="I588" s="25">
        <v>1.5366599072133293</v>
      </c>
      <c r="J588" s="26">
        <v>150</v>
      </c>
      <c r="K588" s="26">
        <v>51</v>
      </c>
    </row>
    <row r="589" spans="1:12" x14ac:dyDescent="0.2">
      <c r="A589" s="22" t="s">
        <v>10</v>
      </c>
      <c r="B589" s="22" t="s">
        <v>207</v>
      </c>
      <c r="C589" s="23" t="s">
        <v>629</v>
      </c>
      <c r="D589" s="24">
        <v>5.78</v>
      </c>
      <c r="E589" s="25">
        <v>11.066265060240964</v>
      </c>
      <c r="F589" s="25">
        <v>0.52230811105062602</v>
      </c>
      <c r="G589" s="25">
        <v>14.0441377114632</v>
      </c>
      <c r="H589" s="25">
        <v>98.104986209899835</v>
      </c>
      <c r="I589" s="25">
        <v>2.0104768542196627</v>
      </c>
      <c r="J589" s="26">
        <v>150</v>
      </c>
      <c r="K589" s="26">
        <v>37</v>
      </c>
    </row>
    <row r="590" spans="1:12" x14ac:dyDescent="0.2">
      <c r="A590" s="22" t="s">
        <v>10</v>
      </c>
      <c r="B590" s="22" t="s">
        <v>207</v>
      </c>
      <c r="C590" s="23" t="s">
        <v>783</v>
      </c>
      <c r="D590" s="24">
        <v>6.1349999999999998</v>
      </c>
      <c r="E590" s="25">
        <v>11.394160583941607</v>
      </c>
      <c r="F590" s="25">
        <v>0.53843369634849447</v>
      </c>
      <c r="G590" s="25">
        <v>13.729154320304019</v>
      </c>
      <c r="H590" s="25">
        <v>93.23954392881879</v>
      </c>
      <c r="I590" s="25">
        <v>2.0215637100779889</v>
      </c>
      <c r="J590" s="26">
        <v>170</v>
      </c>
      <c r="K590" s="26">
        <v>55</v>
      </c>
      <c r="L590" s="21" t="s">
        <v>972</v>
      </c>
    </row>
    <row r="591" spans="1:12" x14ac:dyDescent="0.2">
      <c r="A591" s="22" t="s">
        <v>10</v>
      </c>
      <c r="B591" s="22" t="s">
        <v>223</v>
      </c>
      <c r="C591" s="23" t="s">
        <v>326</v>
      </c>
      <c r="D591" s="24">
        <v>0.1</v>
      </c>
      <c r="E591" s="25">
        <v>10.686131386861314</v>
      </c>
      <c r="F591" s="25">
        <v>9.3579234972677606E-3</v>
      </c>
      <c r="G591" s="25">
        <v>13.321022548017824</v>
      </c>
      <c r="H591" s="25">
        <v>100.50921732644254</v>
      </c>
      <c r="I591" s="25">
        <v>1.7655061540123527</v>
      </c>
      <c r="J591" s="26">
        <v>54</v>
      </c>
      <c r="K591" s="26">
        <v>55</v>
      </c>
      <c r="L591" s="21" t="s">
        <v>977</v>
      </c>
    </row>
    <row r="592" spans="1:12" x14ac:dyDescent="0.2">
      <c r="A592" s="22" t="s">
        <v>10</v>
      </c>
      <c r="B592" s="22" t="s">
        <v>223</v>
      </c>
      <c r="C592" s="23" t="s">
        <v>920</v>
      </c>
      <c r="D592" s="24">
        <v>0.1</v>
      </c>
      <c r="E592" s="29" t="s">
        <v>8</v>
      </c>
      <c r="F592" s="25" t="s">
        <v>8</v>
      </c>
      <c r="G592" s="29" t="s">
        <v>8</v>
      </c>
      <c r="H592" s="29" t="s">
        <v>8</v>
      </c>
      <c r="I592" s="25" t="s">
        <v>8</v>
      </c>
      <c r="J592" s="29" t="s">
        <v>8</v>
      </c>
      <c r="K592" s="29" t="s">
        <v>8</v>
      </c>
      <c r="L592" s="21" t="s">
        <v>930</v>
      </c>
    </row>
    <row r="593" spans="1:12" x14ac:dyDescent="0.2">
      <c r="A593" s="22" t="s">
        <v>10</v>
      </c>
      <c r="B593" s="22" t="s">
        <v>223</v>
      </c>
      <c r="C593" s="23" t="s">
        <v>587</v>
      </c>
      <c r="D593" s="24">
        <v>0.1</v>
      </c>
      <c r="E593" s="25">
        <v>12.157407407407405</v>
      </c>
      <c r="F593" s="25">
        <v>8.2254379284082274E-3</v>
      </c>
      <c r="G593" s="25">
        <v>19.043915960710407</v>
      </c>
      <c r="H593" s="25">
        <v>206.19410150891633</v>
      </c>
      <c r="I593" s="25">
        <v>1.758880261193688</v>
      </c>
      <c r="J593" s="26">
        <v>80</v>
      </c>
      <c r="K593" s="26">
        <v>67</v>
      </c>
      <c r="L593" s="21" t="s">
        <v>930</v>
      </c>
    </row>
    <row r="594" spans="1:12" x14ac:dyDescent="0.2">
      <c r="A594" s="22" t="s">
        <v>10</v>
      </c>
      <c r="B594" s="22" t="s">
        <v>223</v>
      </c>
      <c r="C594" s="23" t="s">
        <v>593</v>
      </c>
      <c r="D594" s="24">
        <v>0.1</v>
      </c>
      <c r="E594" s="25">
        <v>11.538461538461538</v>
      </c>
      <c r="F594" s="25">
        <v>8.666666666666668E-3</v>
      </c>
      <c r="G594" s="25">
        <v>15.403411714224838</v>
      </c>
      <c r="H594" s="25">
        <v>133.30053254437871</v>
      </c>
      <c r="I594" s="25">
        <v>1.7799260656286435</v>
      </c>
      <c r="J594" s="26">
        <v>88</v>
      </c>
      <c r="K594" s="26">
        <v>66</v>
      </c>
      <c r="L594" s="21" t="s">
        <v>930</v>
      </c>
    </row>
    <row r="595" spans="1:12" x14ac:dyDescent="0.2">
      <c r="A595" s="22" t="s">
        <v>10</v>
      </c>
      <c r="B595" s="22" t="s">
        <v>223</v>
      </c>
      <c r="C595" s="23" t="s">
        <v>657</v>
      </c>
      <c r="D595" s="24">
        <v>0.1</v>
      </c>
      <c r="E595" s="25">
        <v>10.102409638554215</v>
      </c>
      <c r="F595" s="25">
        <v>9.8986285032796675E-3</v>
      </c>
      <c r="G595" s="25">
        <v>12.180142007270398</v>
      </c>
      <c r="H595" s="25">
        <v>90.076752794309755</v>
      </c>
      <c r="I595" s="25">
        <v>1.6469938659538885</v>
      </c>
      <c r="J595" s="26">
        <v>77</v>
      </c>
      <c r="K595" s="26">
        <v>68</v>
      </c>
      <c r="L595" s="21" t="s">
        <v>930</v>
      </c>
    </row>
    <row r="596" spans="1:12" x14ac:dyDescent="0.2">
      <c r="A596" s="22" t="s">
        <v>10</v>
      </c>
      <c r="B596" s="22" t="s">
        <v>223</v>
      </c>
      <c r="C596" s="23" t="s">
        <v>659</v>
      </c>
      <c r="D596" s="24">
        <v>0.1</v>
      </c>
      <c r="E596" s="25">
        <v>14.379310344827584</v>
      </c>
      <c r="F596" s="25">
        <v>6.9544364508393299E-3</v>
      </c>
      <c r="G596" s="25">
        <v>21.343767767329325</v>
      </c>
      <c r="H596" s="25">
        <v>255.47343192627824</v>
      </c>
      <c r="I596" s="25">
        <v>1.7831851205457083</v>
      </c>
      <c r="J596" s="26">
        <v>68</v>
      </c>
      <c r="K596" s="26">
        <v>66</v>
      </c>
      <c r="L596" s="21" t="s">
        <v>930</v>
      </c>
    </row>
    <row r="597" spans="1:12" x14ac:dyDescent="0.2">
      <c r="A597" s="22" t="s">
        <v>10</v>
      </c>
      <c r="B597" s="22" t="s">
        <v>223</v>
      </c>
      <c r="C597" s="23" t="s">
        <v>805</v>
      </c>
      <c r="D597" s="24">
        <v>0.1</v>
      </c>
      <c r="E597" s="25">
        <v>9.9489051094890524</v>
      </c>
      <c r="F597" s="25">
        <v>1.0051357300073368E-2</v>
      </c>
      <c r="G597" s="25">
        <v>13.106487047215706</v>
      </c>
      <c r="H597" s="25">
        <v>94.620011721455569</v>
      </c>
      <c r="I597" s="25">
        <v>1.8154722198145861</v>
      </c>
      <c r="J597" s="26">
        <v>56</v>
      </c>
      <c r="K597" s="26">
        <v>67</v>
      </c>
      <c r="L597" s="21" t="s">
        <v>930</v>
      </c>
    </row>
    <row r="598" spans="1:12" x14ac:dyDescent="0.2">
      <c r="A598" s="22" t="s">
        <v>10</v>
      </c>
      <c r="B598" s="22" t="s">
        <v>223</v>
      </c>
      <c r="C598" s="23" t="s">
        <v>806</v>
      </c>
      <c r="D598" s="24">
        <v>0.1</v>
      </c>
      <c r="E598" s="25">
        <v>10.781021897810218</v>
      </c>
      <c r="F598" s="25">
        <v>9.2755585646580926E-3</v>
      </c>
      <c r="G598" s="25">
        <v>13.850026160677956</v>
      </c>
      <c r="H598" s="25">
        <v>114.38323831850391</v>
      </c>
      <c r="I598" s="25">
        <v>1.6770221535197809</v>
      </c>
      <c r="J598" s="26">
        <v>60</v>
      </c>
      <c r="K598" s="26">
        <v>73</v>
      </c>
      <c r="L598" s="21" t="s">
        <v>930</v>
      </c>
    </row>
    <row r="599" spans="1:12" x14ac:dyDescent="0.2">
      <c r="A599" s="22" t="s">
        <v>10</v>
      </c>
      <c r="B599" s="22" t="s">
        <v>208</v>
      </c>
      <c r="C599" s="23" t="s">
        <v>415</v>
      </c>
      <c r="D599" s="24">
        <v>9.86</v>
      </c>
      <c r="E599" s="25">
        <v>16.025862068965516</v>
      </c>
      <c r="F599" s="25">
        <v>0.61525551371705223</v>
      </c>
      <c r="G599" s="25">
        <v>17.918436619827158</v>
      </c>
      <c r="H599" s="25">
        <v>129.95132282996434</v>
      </c>
      <c r="I599" s="25">
        <v>2.4706972111308905</v>
      </c>
      <c r="J599" s="26">
        <v>60</v>
      </c>
      <c r="K599" s="26">
        <v>80</v>
      </c>
    </row>
    <row r="600" spans="1:12" x14ac:dyDescent="0.2">
      <c r="A600" s="22" t="s">
        <v>10</v>
      </c>
      <c r="B600" s="22" t="s">
        <v>224</v>
      </c>
      <c r="C600" s="23" t="s">
        <v>388</v>
      </c>
      <c r="D600" s="24">
        <v>9.35</v>
      </c>
      <c r="E600" s="29" t="s">
        <v>8</v>
      </c>
      <c r="F600" s="25" t="s">
        <v>8</v>
      </c>
      <c r="G600" s="29" t="s">
        <v>8</v>
      </c>
      <c r="H600" s="29" t="s">
        <v>8</v>
      </c>
      <c r="I600" s="25" t="s">
        <v>8</v>
      </c>
      <c r="J600" s="29" t="s">
        <v>8</v>
      </c>
      <c r="K600" s="29" t="s">
        <v>8</v>
      </c>
    </row>
    <row r="601" spans="1:12" x14ac:dyDescent="0.2">
      <c r="A601" s="22" t="s">
        <v>10</v>
      </c>
      <c r="B601" s="22" t="s">
        <v>224</v>
      </c>
      <c r="C601" s="23" t="s">
        <v>537</v>
      </c>
      <c r="D601" s="24">
        <v>7.91</v>
      </c>
      <c r="E601" s="25">
        <v>14.080291970802918</v>
      </c>
      <c r="F601" s="25">
        <v>0.56177812337998967</v>
      </c>
      <c r="G601" s="25">
        <v>15.267434783695233</v>
      </c>
      <c r="H601" s="25">
        <v>133.81786456390859</v>
      </c>
      <c r="I601" s="25">
        <v>1.7418792747441134</v>
      </c>
      <c r="J601" s="26">
        <v>154</v>
      </c>
      <c r="K601" s="26">
        <v>52</v>
      </c>
    </row>
    <row r="602" spans="1:12" x14ac:dyDescent="0.2">
      <c r="A602" s="22" t="s">
        <v>10</v>
      </c>
      <c r="B602" s="22" t="s">
        <v>209</v>
      </c>
      <c r="C602" s="23" t="s">
        <v>586</v>
      </c>
      <c r="D602" s="24" t="s">
        <v>8</v>
      </c>
      <c r="E602" s="25">
        <v>16.453703703703702</v>
      </c>
      <c r="F602" s="25" t="s">
        <v>8</v>
      </c>
      <c r="G602" s="25">
        <v>22.692871658544604</v>
      </c>
      <c r="H602" s="25">
        <v>344.17541152263379</v>
      </c>
      <c r="I602" s="25">
        <v>1.4962324642337546</v>
      </c>
      <c r="J602" s="26">
        <v>192</v>
      </c>
      <c r="K602" s="26">
        <v>77</v>
      </c>
    </row>
    <row r="603" spans="1:12" x14ac:dyDescent="0.2">
      <c r="A603" s="28" t="s">
        <v>211</v>
      </c>
      <c r="B603" s="22" t="s">
        <v>230</v>
      </c>
      <c r="C603" s="23" t="s">
        <v>483</v>
      </c>
      <c r="D603" s="24">
        <v>27.91</v>
      </c>
      <c r="E603" s="25">
        <v>36.153846153846153</v>
      </c>
      <c r="F603" s="25">
        <v>0.77197872340425533</v>
      </c>
      <c r="G603" s="25">
        <v>32.835172600534733</v>
      </c>
      <c r="H603" s="25">
        <v>409.85550295857985</v>
      </c>
      <c r="I603" s="25">
        <v>2.6305577256476775</v>
      </c>
      <c r="J603" s="26">
        <v>70</v>
      </c>
      <c r="K603" s="26">
        <v>44</v>
      </c>
    </row>
    <row r="604" spans="1:12" x14ac:dyDescent="0.2">
      <c r="A604" s="28" t="s">
        <v>211</v>
      </c>
      <c r="B604" s="22" t="s">
        <v>230</v>
      </c>
      <c r="C604" s="23" t="s">
        <v>549</v>
      </c>
      <c r="D604" s="24">
        <v>26.86</v>
      </c>
      <c r="E604" s="25">
        <v>38.692307692307693</v>
      </c>
      <c r="F604" s="25">
        <v>0.69419483101391644</v>
      </c>
      <c r="G604" s="25">
        <v>34.386721894092176</v>
      </c>
      <c r="H604" s="25">
        <v>429.96449704142015</v>
      </c>
      <c r="I604" s="25">
        <v>2.7501029753806128</v>
      </c>
      <c r="J604" s="26">
        <v>53</v>
      </c>
      <c r="K604" s="26">
        <v>24</v>
      </c>
    </row>
    <row r="605" spans="1:12" x14ac:dyDescent="0.2">
      <c r="A605" s="28" t="s">
        <v>211</v>
      </c>
      <c r="B605" s="22" t="s">
        <v>235</v>
      </c>
      <c r="C605" s="23" t="s">
        <v>576</v>
      </c>
      <c r="D605" s="24">
        <v>36.92</v>
      </c>
      <c r="E605" s="25">
        <v>40.53846153846154</v>
      </c>
      <c r="F605" s="25">
        <v>0.91074003795066416</v>
      </c>
      <c r="G605" s="25">
        <v>32.779098617252032</v>
      </c>
      <c r="H605" s="25">
        <v>367.01585798816575</v>
      </c>
      <c r="I605" s="25">
        <v>2.9275827808894834</v>
      </c>
      <c r="J605" s="26">
        <v>80</v>
      </c>
      <c r="K605" s="26">
        <v>33</v>
      </c>
    </row>
    <row r="606" spans="1:12" x14ac:dyDescent="0.2">
      <c r="A606" s="22" t="s">
        <v>211</v>
      </c>
      <c r="B606" s="33" t="s">
        <v>991</v>
      </c>
      <c r="C606" s="23" t="s">
        <v>992</v>
      </c>
      <c r="D606" s="24">
        <v>38.590000000000003</v>
      </c>
      <c r="E606" s="29">
        <v>41.91</v>
      </c>
      <c r="F606" s="30">
        <f>D606/E606</f>
        <v>0.92078262944404687</v>
      </c>
      <c r="G606" s="29">
        <v>37.61</v>
      </c>
      <c r="H606" s="29" t="s">
        <v>8</v>
      </c>
      <c r="I606" s="25" t="s">
        <v>8</v>
      </c>
      <c r="J606" s="29" t="s">
        <v>8</v>
      </c>
      <c r="K606" s="29" t="s">
        <v>8</v>
      </c>
      <c r="L606" s="21" t="s">
        <v>988</v>
      </c>
    </row>
    <row r="607" spans="1:12" x14ac:dyDescent="0.2">
      <c r="A607" s="28" t="s">
        <v>211</v>
      </c>
      <c r="B607" s="22" t="s">
        <v>236</v>
      </c>
      <c r="C607" s="23" t="s">
        <v>582</v>
      </c>
      <c r="D607" s="24">
        <v>45.5</v>
      </c>
      <c r="E607" s="25">
        <v>53.189655172413794</v>
      </c>
      <c r="F607" s="25">
        <v>0.85542949756888165</v>
      </c>
      <c r="G607" s="25">
        <v>45.564145308046406</v>
      </c>
      <c r="H607" s="25">
        <v>783.4808263971463</v>
      </c>
      <c r="I607" s="25">
        <v>2.6498304332471272</v>
      </c>
      <c r="J607" s="26">
        <v>60</v>
      </c>
      <c r="K607" s="26">
        <v>38</v>
      </c>
      <c r="L607" s="21" t="s">
        <v>959</v>
      </c>
    </row>
    <row r="608" spans="1:12" x14ac:dyDescent="0.2">
      <c r="A608" s="22" t="s">
        <v>211</v>
      </c>
      <c r="B608" s="22" t="s">
        <v>311</v>
      </c>
      <c r="C608" s="23" t="s">
        <v>623</v>
      </c>
      <c r="D608" s="24">
        <v>34.07</v>
      </c>
      <c r="E608" s="25">
        <v>47.775862068965523</v>
      </c>
      <c r="F608" s="25">
        <v>0.71312161674485741</v>
      </c>
      <c r="G608" s="25">
        <v>41.129727367536304</v>
      </c>
      <c r="H608" s="25">
        <v>683.29503567181928</v>
      </c>
      <c r="I608" s="25">
        <v>2.4757306653993489</v>
      </c>
      <c r="J608" s="26">
        <v>76</v>
      </c>
      <c r="K608" s="26">
        <v>44</v>
      </c>
    </row>
    <row r="609" spans="1:12" x14ac:dyDescent="0.2">
      <c r="A609" s="22" t="s">
        <v>211</v>
      </c>
      <c r="B609" s="22" t="s">
        <v>312</v>
      </c>
      <c r="C609" s="23" t="s">
        <v>772</v>
      </c>
      <c r="D609" s="24">
        <v>30.5</v>
      </c>
      <c r="E609" s="25">
        <v>39.215384615384622</v>
      </c>
      <c r="F609" s="25">
        <v>0.77775598273832858</v>
      </c>
      <c r="G609" s="25">
        <v>33.173095404328315</v>
      </c>
      <c r="H609" s="25">
        <v>377.62710059171593</v>
      </c>
      <c r="I609" s="25">
        <v>2.9141294599363539</v>
      </c>
      <c r="J609" s="26">
        <v>73</v>
      </c>
      <c r="K609" s="26">
        <v>33</v>
      </c>
      <c r="L609" s="21" t="s">
        <v>960</v>
      </c>
    </row>
    <row r="610" spans="1:12" x14ac:dyDescent="0.2">
      <c r="A610" s="22" t="s">
        <v>211</v>
      </c>
      <c r="B610" s="22" t="s">
        <v>313</v>
      </c>
      <c r="C610" s="23" t="s">
        <v>775</v>
      </c>
      <c r="D610" s="24">
        <v>32.1</v>
      </c>
      <c r="E610" s="25">
        <v>49.362068965517238</v>
      </c>
      <c r="F610" s="25">
        <v>0.65029689137268609</v>
      </c>
      <c r="G610" s="25">
        <v>41.307286243993758</v>
      </c>
      <c r="H610" s="25">
        <v>707.37217598097504</v>
      </c>
      <c r="I610" s="25">
        <v>2.4121557997061043</v>
      </c>
      <c r="J610" s="26">
        <v>66</v>
      </c>
      <c r="K610" s="26">
        <v>48</v>
      </c>
      <c r="L610" s="21" t="s">
        <v>964</v>
      </c>
    </row>
    <row r="611" spans="1:12" x14ac:dyDescent="0.2">
      <c r="A611" s="22" t="s">
        <v>211</v>
      </c>
      <c r="B611" s="22" t="s">
        <v>314</v>
      </c>
      <c r="C611" s="23" t="s">
        <v>774</v>
      </c>
      <c r="D611" s="24">
        <v>31.6</v>
      </c>
      <c r="E611" s="25">
        <v>24.568965517241381</v>
      </c>
      <c r="F611" s="25">
        <v>1.2861754385964912</v>
      </c>
      <c r="G611" s="25">
        <v>35.042825523932983</v>
      </c>
      <c r="H611" s="25">
        <v>602.04354934601668</v>
      </c>
      <c r="I611" s="25">
        <v>2.0397189240458617</v>
      </c>
      <c r="J611" s="26">
        <v>62</v>
      </c>
      <c r="K611" s="26">
        <v>34</v>
      </c>
      <c r="L611" s="21" t="s">
        <v>962</v>
      </c>
    </row>
    <row r="612" spans="1:12" x14ac:dyDescent="0.2">
      <c r="A612" s="28" t="s">
        <v>211</v>
      </c>
      <c r="B612" s="22" t="s">
        <v>233</v>
      </c>
      <c r="C612" s="23" t="s">
        <v>547</v>
      </c>
      <c r="D612" s="24">
        <v>28.86</v>
      </c>
      <c r="E612" s="25">
        <v>27.678160919540225</v>
      </c>
      <c r="F612" s="25">
        <v>1.0426993355481728</v>
      </c>
      <c r="G612" s="25">
        <v>24.059435701524528</v>
      </c>
      <c r="H612" s="25">
        <v>194.92641035803939</v>
      </c>
      <c r="I612" s="25">
        <v>2.9696152779531197</v>
      </c>
      <c r="J612" s="26">
        <v>96</v>
      </c>
      <c r="K612" s="26">
        <v>47</v>
      </c>
    </row>
    <row r="613" spans="1:12" x14ac:dyDescent="0.2">
      <c r="A613" s="28" t="s">
        <v>211</v>
      </c>
      <c r="B613" s="22" t="s">
        <v>234</v>
      </c>
      <c r="C613" s="23" t="s">
        <v>548</v>
      </c>
      <c r="D613" s="24">
        <v>32.56</v>
      </c>
      <c r="E613" s="25">
        <v>42.030769230769231</v>
      </c>
      <c r="F613" s="25">
        <v>0.77467057101024894</v>
      </c>
      <c r="G613" s="25">
        <v>33.453696248371642</v>
      </c>
      <c r="H613" s="25">
        <v>375.0897041420119</v>
      </c>
      <c r="I613" s="25">
        <v>2.9836857165628734</v>
      </c>
      <c r="J613" s="26">
        <v>54</v>
      </c>
      <c r="K613" s="26">
        <v>52</v>
      </c>
    </row>
    <row r="614" spans="1:12" x14ac:dyDescent="0.2">
      <c r="A614" s="28" t="s">
        <v>211</v>
      </c>
      <c r="B614" s="22" t="s">
        <v>237</v>
      </c>
      <c r="C614" s="23" t="s">
        <v>583</v>
      </c>
      <c r="D614" s="24">
        <v>43.8</v>
      </c>
      <c r="E614" s="25">
        <v>47.482758620689651</v>
      </c>
      <c r="F614" s="25">
        <v>0.92244008714596948</v>
      </c>
      <c r="G614" s="25">
        <v>43.095456607767332</v>
      </c>
      <c r="H614" s="25">
        <v>793.45734244946493</v>
      </c>
      <c r="I614" s="25">
        <v>2.3406656928759126</v>
      </c>
      <c r="J614" s="26">
        <v>56</v>
      </c>
      <c r="K614" s="26">
        <v>28</v>
      </c>
      <c r="L614" s="21" t="s">
        <v>952</v>
      </c>
    </row>
    <row r="615" spans="1:12" x14ac:dyDescent="0.2">
      <c r="A615" s="22" t="s">
        <v>10</v>
      </c>
      <c r="B615" s="22" t="s">
        <v>210</v>
      </c>
      <c r="C615" s="23" t="s">
        <v>488</v>
      </c>
      <c r="D615" s="24">
        <v>1</v>
      </c>
      <c r="E615" s="25">
        <v>15.999999999999998</v>
      </c>
      <c r="F615" s="25">
        <v>6.25E-2</v>
      </c>
      <c r="G615" s="25">
        <v>16.376533194539558</v>
      </c>
      <c r="H615" s="25">
        <v>169.32510288065845</v>
      </c>
      <c r="I615" s="25">
        <v>1.5838811547091092</v>
      </c>
      <c r="J615" s="26">
        <v>130</v>
      </c>
      <c r="K615" s="26">
        <v>40</v>
      </c>
      <c r="L615" s="21" t="s">
        <v>939</v>
      </c>
    </row>
    <row r="616" spans="1:12" x14ac:dyDescent="0.2">
      <c r="A616" s="22" t="s">
        <v>10</v>
      </c>
      <c r="B616" s="22" t="s">
        <v>210</v>
      </c>
      <c r="C616" s="23" t="s">
        <v>664</v>
      </c>
      <c r="D616" s="24" t="s">
        <v>8</v>
      </c>
      <c r="E616" s="25">
        <v>15.4468085106383</v>
      </c>
      <c r="F616" s="25" t="s">
        <v>8</v>
      </c>
      <c r="G616" s="25">
        <v>23.150898592229105</v>
      </c>
      <c r="H616" s="25">
        <v>289.70246717971929</v>
      </c>
      <c r="I616" s="25">
        <v>1.8500501940675078</v>
      </c>
      <c r="J616" s="26">
        <v>145</v>
      </c>
      <c r="K616" s="26">
        <v>29</v>
      </c>
    </row>
  </sheetData>
  <sortState xmlns:xlrd2="http://schemas.microsoft.com/office/spreadsheetml/2017/richdata2" ref="A2:L616">
    <sortCondition ref="B1:B616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EB42-6A75-4A39-8A8D-74AC3F579194}">
  <dimension ref="A1:V303"/>
  <sheetViews>
    <sheetView zoomScale="85" zoomScaleNormal="85" workbookViewId="0">
      <selection activeCell="V16" sqref="V16"/>
    </sheetView>
  </sheetViews>
  <sheetFormatPr defaultColWidth="11.42578125" defaultRowHeight="15" x14ac:dyDescent="0.25"/>
  <cols>
    <col min="1" max="1" width="20" customWidth="1"/>
    <col min="2" max="2" width="30.42578125" customWidth="1"/>
    <col min="3" max="15" width="11.42578125" style="15"/>
    <col min="16" max="16" width="12.7109375" style="15" customWidth="1"/>
    <col min="17" max="17" width="11.42578125" style="15"/>
    <col min="18" max="18" width="14.7109375" style="15" customWidth="1"/>
    <col min="19" max="19" width="8.28515625" style="15" customWidth="1"/>
  </cols>
  <sheetData>
    <row r="1" spans="1:22" x14ac:dyDescent="0.25">
      <c r="A1" s="12" t="s">
        <v>9</v>
      </c>
      <c r="B1" s="12" t="s">
        <v>7</v>
      </c>
      <c r="C1" s="13" t="s">
        <v>995</v>
      </c>
      <c r="D1" s="13" t="s">
        <v>996</v>
      </c>
      <c r="E1" s="13" t="s">
        <v>997</v>
      </c>
      <c r="F1" s="13" t="s">
        <v>998</v>
      </c>
      <c r="G1" s="13" t="s">
        <v>999</v>
      </c>
      <c r="H1" s="13" t="s">
        <v>1000</v>
      </c>
      <c r="I1" s="13" t="s">
        <v>1001</v>
      </c>
      <c r="J1" s="13" t="s">
        <v>1002</v>
      </c>
      <c r="K1" s="13" t="s">
        <v>1028</v>
      </c>
      <c r="L1" s="13" t="s">
        <v>1004</v>
      </c>
      <c r="M1" s="13" t="s">
        <v>1005</v>
      </c>
      <c r="N1" s="13" t="s">
        <v>1006</v>
      </c>
      <c r="O1" s="13" t="s">
        <v>1007</v>
      </c>
      <c r="P1" s="14" t="s">
        <v>1008</v>
      </c>
      <c r="Q1" s="14" t="s">
        <v>1009</v>
      </c>
      <c r="R1" s="14" t="s">
        <v>1010</v>
      </c>
      <c r="S1" s="14" t="s">
        <v>988</v>
      </c>
    </row>
    <row r="2" spans="1:22" x14ac:dyDescent="0.25">
      <c r="A2" t="s">
        <v>10</v>
      </c>
      <c r="B2" t="s">
        <v>223</v>
      </c>
      <c r="C2" s="15">
        <v>8</v>
      </c>
      <c r="D2" s="15">
        <v>0.1</v>
      </c>
      <c r="E2" s="15">
        <v>0</v>
      </c>
      <c r="F2" s="15">
        <v>11.3714285714286</v>
      </c>
      <c r="G2" s="15">
        <v>1.5358431839593201</v>
      </c>
      <c r="H2" s="15">
        <v>0.01</v>
      </c>
      <c r="I2" s="15">
        <v>0</v>
      </c>
      <c r="J2" s="15">
        <v>1.74857142857143</v>
      </c>
      <c r="K2" s="15">
        <v>6.0670852812140297E-2</v>
      </c>
      <c r="L2" s="15">
        <v>69</v>
      </c>
      <c r="M2" s="15">
        <v>13.0511813003013</v>
      </c>
      <c r="N2" s="15">
        <v>66</v>
      </c>
      <c r="O2" s="15">
        <v>5.41602560309064</v>
      </c>
      <c r="P2" s="15">
        <v>1</v>
      </c>
      <c r="Q2" s="15">
        <v>0</v>
      </c>
      <c r="R2" s="15">
        <v>0</v>
      </c>
      <c r="S2" s="15">
        <v>0</v>
      </c>
    </row>
    <row r="3" spans="1:22" x14ac:dyDescent="0.25">
      <c r="A3" t="s">
        <v>10</v>
      </c>
      <c r="B3" t="s">
        <v>303</v>
      </c>
      <c r="C3" s="15">
        <v>1</v>
      </c>
      <c r="D3" s="15">
        <v>0.89</v>
      </c>
      <c r="E3" s="15" t="s">
        <v>8</v>
      </c>
      <c r="F3" s="15">
        <v>14.65</v>
      </c>
      <c r="G3" s="15" t="s">
        <v>8</v>
      </c>
      <c r="H3" s="15">
        <v>0.06</v>
      </c>
      <c r="I3" s="15" t="s">
        <v>8</v>
      </c>
      <c r="J3" s="15">
        <v>2.38</v>
      </c>
      <c r="K3" s="15" t="s">
        <v>8</v>
      </c>
      <c r="L3" s="15">
        <v>179</v>
      </c>
      <c r="M3" s="15" t="s">
        <v>8</v>
      </c>
      <c r="N3" s="15">
        <v>93</v>
      </c>
      <c r="O3" s="15" t="s">
        <v>8</v>
      </c>
      <c r="P3" s="15">
        <v>1</v>
      </c>
      <c r="Q3" s="15">
        <v>0</v>
      </c>
      <c r="R3" s="15">
        <v>0</v>
      </c>
      <c r="S3" s="15">
        <v>0</v>
      </c>
    </row>
    <row r="4" spans="1:22" x14ac:dyDescent="0.25">
      <c r="A4" t="s">
        <v>10</v>
      </c>
      <c r="B4" t="s">
        <v>174</v>
      </c>
      <c r="C4" s="15">
        <v>2</v>
      </c>
      <c r="D4" s="15">
        <v>0.89</v>
      </c>
      <c r="E4" s="15">
        <v>0</v>
      </c>
      <c r="F4" s="15">
        <v>12.82</v>
      </c>
      <c r="G4" s="15">
        <v>1.5556349186103999</v>
      </c>
      <c r="H4" s="15">
        <v>7.0000000000000007E-2</v>
      </c>
      <c r="I4" s="15">
        <v>1.4142135623730999E-2</v>
      </c>
      <c r="J4" s="15">
        <v>2.2650000000000001</v>
      </c>
      <c r="K4" s="15">
        <v>0.275771644662754</v>
      </c>
      <c r="L4" s="15">
        <v>172</v>
      </c>
      <c r="M4" s="15">
        <v>39.597979746446697</v>
      </c>
      <c r="N4" s="15">
        <v>87.5</v>
      </c>
      <c r="O4" s="15">
        <v>0.70710678118654802</v>
      </c>
      <c r="P4" s="15">
        <v>1</v>
      </c>
      <c r="Q4" s="15">
        <v>0</v>
      </c>
      <c r="R4" s="15">
        <v>0</v>
      </c>
      <c r="S4" s="15">
        <v>0</v>
      </c>
    </row>
    <row r="5" spans="1:22" x14ac:dyDescent="0.25">
      <c r="A5" t="s">
        <v>10</v>
      </c>
      <c r="B5" t="s">
        <v>13</v>
      </c>
      <c r="C5" s="15">
        <v>1</v>
      </c>
      <c r="D5" s="15">
        <v>1</v>
      </c>
      <c r="E5" s="15" t="s">
        <v>8</v>
      </c>
      <c r="F5" s="15">
        <v>6.68</v>
      </c>
      <c r="G5" s="15" t="s">
        <v>8</v>
      </c>
      <c r="H5" s="15">
        <v>0.15</v>
      </c>
      <c r="I5" s="15" t="s">
        <v>8</v>
      </c>
      <c r="J5" s="15">
        <v>1.75</v>
      </c>
      <c r="K5" s="15" t="s">
        <v>8</v>
      </c>
      <c r="L5" s="15">
        <v>198</v>
      </c>
      <c r="M5" s="15" t="s">
        <v>8</v>
      </c>
      <c r="N5" s="15">
        <v>38</v>
      </c>
      <c r="O5" s="15" t="s">
        <v>8</v>
      </c>
      <c r="P5" s="15">
        <v>0</v>
      </c>
      <c r="Q5" s="15">
        <v>0</v>
      </c>
      <c r="R5" s="15">
        <v>0</v>
      </c>
      <c r="S5" s="15">
        <v>1</v>
      </c>
    </row>
    <row r="6" spans="1:22" x14ac:dyDescent="0.25">
      <c r="A6" t="s">
        <v>10</v>
      </c>
      <c r="B6" t="s">
        <v>14</v>
      </c>
      <c r="C6" s="15">
        <v>1</v>
      </c>
      <c r="D6" s="15">
        <v>1</v>
      </c>
      <c r="E6" s="15" t="s">
        <v>8</v>
      </c>
      <c r="F6" s="15">
        <v>10.98</v>
      </c>
      <c r="G6" s="15" t="s">
        <v>8</v>
      </c>
      <c r="H6" s="15">
        <v>0.09</v>
      </c>
      <c r="I6" s="15" t="s">
        <v>8</v>
      </c>
      <c r="J6" s="15">
        <v>2.19</v>
      </c>
      <c r="K6" s="15" t="s">
        <v>8</v>
      </c>
      <c r="L6" s="15">
        <v>211</v>
      </c>
      <c r="M6" s="15" t="s">
        <v>8</v>
      </c>
      <c r="N6" s="15">
        <v>48</v>
      </c>
      <c r="O6" s="15" t="s">
        <v>8</v>
      </c>
      <c r="P6" s="15">
        <v>0</v>
      </c>
      <c r="Q6" s="15">
        <v>0</v>
      </c>
      <c r="R6" s="15">
        <v>0</v>
      </c>
      <c r="S6" s="15">
        <v>1</v>
      </c>
    </row>
    <row r="7" spans="1:22" x14ac:dyDescent="0.25">
      <c r="A7" t="s">
        <v>10</v>
      </c>
      <c r="B7" t="s">
        <v>210</v>
      </c>
      <c r="C7" s="15">
        <v>2</v>
      </c>
      <c r="D7" s="15">
        <v>1</v>
      </c>
      <c r="E7" s="15" t="s">
        <v>8</v>
      </c>
      <c r="F7" s="15">
        <v>15.725</v>
      </c>
      <c r="G7" s="15">
        <v>0.38890872965260198</v>
      </c>
      <c r="H7" s="15">
        <v>0.06</v>
      </c>
      <c r="I7" s="15" t="s">
        <v>8</v>
      </c>
      <c r="J7" s="15">
        <v>1.7150000000000001</v>
      </c>
      <c r="K7" s="15">
        <v>0.19091883092036799</v>
      </c>
      <c r="L7" s="15">
        <v>137.5</v>
      </c>
      <c r="M7" s="15">
        <v>10.606601717798201</v>
      </c>
      <c r="N7" s="15">
        <v>34.5</v>
      </c>
      <c r="O7" s="15">
        <v>7.7781745930520199</v>
      </c>
      <c r="P7" s="15">
        <v>0</v>
      </c>
      <c r="Q7" s="15">
        <v>0</v>
      </c>
      <c r="R7" s="15">
        <v>0</v>
      </c>
      <c r="S7" s="15">
        <v>1</v>
      </c>
    </row>
    <row r="8" spans="1:22" x14ac:dyDescent="0.25">
      <c r="A8" t="s">
        <v>10</v>
      </c>
      <c r="B8" t="s">
        <v>191</v>
      </c>
      <c r="C8" s="15">
        <v>3</v>
      </c>
      <c r="D8" s="15">
        <v>1.07</v>
      </c>
      <c r="E8" s="15" t="s">
        <v>8</v>
      </c>
      <c r="F8" s="15">
        <v>3.6133333333333302</v>
      </c>
      <c r="G8" s="15">
        <v>1.8345935062932399</v>
      </c>
      <c r="H8" s="15">
        <v>0.65</v>
      </c>
      <c r="I8" s="15" t="s">
        <v>8</v>
      </c>
      <c r="J8" s="15">
        <v>1.51</v>
      </c>
      <c r="K8" s="15">
        <v>0.57584720195551897</v>
      </c>
      <c r="L8" s="15">
        <v>141.333333333333</v>
      </c>
      <c r="M8" s="15">
        <v>28.0237994093116</v>
      </c>
      <c r="N8" s="15">
        <v>45.6666666666667</v>
      </c>
      <c r="O8" s="15">
        <v>10.692676621563599</v>
      </c>
      <c r="P8" s="15">
        <v>1</v>
      </c>
      <c r="Q8" s="15">
        <v>0</v>
      </c>
      <c r="R8" s="15">
        <v>0</v>
      </c>
      <c r="S8" s="15">
        <v>0</v>
      </c>
    </row>
    <row r="9" spans="1:22" x14ac:dyDescent="0.25">
      <c r="A9" t="s">
        <v>10</v>
      </c>
      <c r="B9" t="s">
        <v>275</v>
      </c>
      <c r="C9" s="15">
        <v>1</v>
      </c>
      <c r="D9" s="15">
        <v>1.33</v>
      </c>
      <c r="E9" s="15" t="s">
        <v>8</v>
      </c>
      <c r="F9" s="15">
        <v>2.6</v>
      </c>
      <c r="G9" s="15" t="s">
        <v>8</v>
      </c>
      <c r="H9" s="15">
        <v>0.51</v>
      </c>
      <c r="I9" s="15" t="s">
        <v>8</v>
      </c>
      <c r="J9" s="15">
        <v>1.7</v>
      </c>
      <c r="K9" s="15" t="s">
        <v>8</v>
      </c>
      <c r="L9" s="15">
        <v>199</v>
      </c>
      <c r="M9" s="15" t="s">
        <v>8</v>
      </c>
      <c r="N9" s="15">
        <v>28</v>
      </c>
      <c r="O9" s="15" t="s">
        <v>8</v>
      </c>
      <c r="P9" s="15">
        <v>0</v>
      </c>
      <c r="Q9" s="15">
        <v>0</v>
      </c>
      <c r="R9" s="15">
        <v>0</v>
      </c>
      <c r="S9" s="15">
        <v>1</v>
      </c>
    </row>
    <row r="10" spans="1:22" x14ac:dyDescent="0.25">
      <c r="A10" t="s">
        <v>10</v>
      </c>
      <c r="B10" t="s">
        <v>101</v>
      </c>
      <c r="C10" s="15">
        <v>1</v>
      </c>
      <c r="D10" s="15">
        <v>1.33</v>
      </c>
      <c r="E10" s="15" t="s">
        <v>8</v>
      </c>
      <c r="F10" s="15">
        <v>6.75</v>
      </c>
      <c r="G10" s="15" t="s">
        <v>8</v>
      </c>
      <c r="H10" s="15">
        <v>0.2</v>
      </c>
      <c r="I10" s="15" t="s">
        <v>8</v>
      </c>
      <c r="J10" s="15">
        <v>1.46</v>
      </c>
      <c r="K10" s="15" t="s">
        <v>8</v>
      </c>
      <c r="L10" s="15">
        <v>224</v>
      </c>
      <c r="M10" s="15" t="s">
        <v>8</v>
      </c>
      <c r="N10" s="15">
        <v>7</v>
      </c>
      <c r="O10" s="15" t="s">
        <v>8</v>
      </c>
      <c r="P10" s="15">
        <v>0</v>
      </c>
      <c r="Q10" s="15">
        <v>0</v>
      </c>
      <c r="R10" s="15">
        <v>0</v>
      </c>
      <c r="S10" s="15">
        <v>1</v>
      </c>
    </row>
    <row r="11" spans="1:22" x14ac:dyDescent="0.25">
      <c r="A11" t="s">
        <v>10</v>
      </c>
      <c r="B11" t="s">
        <v>100</v>
      </c>
      <c r="C11" s="15">
        <v>4</v>
      </c>
      <c r="D11" s="15">
        <v>1.3333333333333299</v>
      </c>
      <c r="E11" s="15">
        <v>0.28867513459481298</v>
      </c>
      <c r="F11" s="15">
        <v>6.53</v>
      </c>
      <c r="G11" s="15">
        <v>2.05525343125043</v>
      </c>
      <c r="H11" s="15">
        <v>0.21666666666666701</v>
      </c>
      <c r="I11" s="15">
        <v>5.0332229568471699E-2</v>
      </c>
      <c r="J11" s="15">
        <v>1.7649999999999999</v>
      </c>
      <c r="K11" s="15">
        <v>0.101488915650922</v>
      </c>
      <c r="L11" s="15">
        <v>223.75</v>
      </c>
      <c r="M11" s="15">
        <v>1.25830573921179</v>
      </c>
      <c r="N11" s="15">
        <v>10.5</v>
      </c>
      <c r="O11" s="15">
        <v>2.6457513110645898</v>
      </c>
      <c r="P11" s="15">
        <v>0</v>
      </c>
      <c r="Q11" s="15">
        <v>0</v>
      </c>
      <c r="R11" s="15">
        <v>0</v>
      </c>
      <c r="S11" s="15">
        <v>1</v>
      </c>
    </row>
    <row r="12" spans="1:22" x14ac:dyDescent="0.25">
      <c r="A12" t="s">
        <v>10</v>
      </c>
      <c r="B12" t="s">
        <v>102</v>
      </c>
      <c r="C12" s="15">
        <v>2</v>
      </c>
      <c r="D12" s="15">
        <v>1.355</v>
      </c>
      <c r="E12" s="15">
        <v>3.53553390593273E-2</v>
      </c>
      <c r="F12" s="15">
        <v>6.4450000000000003</v>
      </c>
      <c r="G12" s="15">
        <v>0.23334523779156099</v>
      </c>
      <c r="H12" s="15">
        <v>0.21</v>
      </c>
      <c r="I12" s="15">
        <v>1.41421356237309E-2</v>
      </c>
      <c r="J12" s="15">
        <v>1.605</v>
      </c>
      <c r="K12" s="15">
        <v>2.1213203435596399E-2</v>
      </c>
      <c r="L12" s="15">
        <v>167</v>
      </c>
      <c r="M12" s="15">
        <v>12.7279220613579</v>
      </c>
      <c r="N12" s="15">
        <v>41</v>
      </c>
      <c r="O12" s="15">
        <v>2.8284271247461898</v>
      </c>
      <c r="P12" s="15">
        <v>0</v>
      </c>
      <c r="Q12" s="15">
        <v>0</v>
      </c>
      <c r="R12" s="15">
        <v>0</v>
      </c>
      <c r="S12" s="15">
        <v>1</v>
      </c>
    </row>
    <row r="13" spans="1:22" x14ac:dyDescent="0.25">
      <c r="A13" t="s">
        <v>10</v>
      </c>
      <c r="B13" t="s">
        <v>116</v>
      </c>
      <c r="C13" s="15">
        <v>4</v>
      </c>
      <c r="D13" s="15">
        <v>1.73</v>
      </c>
      <c r="E13" s="15">
        <v>0.21213203435596401</v>
      </c>
      <c r="F13" s="15">
        <v>10.7675</v>
      </c>
      <c r="G13" s="15">
        <v>0.96772499537144696</v>
      </c>
      <c r="H13" s="15">
        <v>0.17499999999999999</v>
      </c>
      <c r="I13" s="15">
        <v>2.1213203435596399E-2</v>
      </c>
      <c r="J13" s="15">
        <v>1.59</v>
      </c>
      <c r="K13" s="15">
        <v>3.9999999999999897E-2</v>
      </c>
      <c r="L13" s="15">
        <v>166.25</v>
      </c>
      <c r="M13" s="15">
        <v>8.1394102980498495</v>
      </c>
      <c r="N13" s="15">
        <v>31.75</v>
      </c>
      <c r="O13" s="15">
        <v>4.6457866215887798</v>
      </c>
      <c r="P13" s="15">
        <v>1</v>
      </c>
      <c r="Q13" s="15">
        <v>0</v>
      </c>
      <c r="R13" s="15">
        <v>0</v>
      </c>
      <c r="S13" s="15">
        <v>0</v>
      </c>
    </row>
    <row r="14" spans="1:22" x14ac:dyDescent="0.25">
      <c r="A14" t="s">
        <v>10</v>
      </c>
      <c r="B14" t="s">
        <v>291</v>
      </c>
      <c r="C14" s="15">
        <v>1</v>
      </c>
      <c r="D14" s="15">
        <v>1.84</v>
      </c>
      <c r="E14" s="15" t="s">
        <v>8</v>
      </c>
      <c r="F14" s="15" t="s">
        <v>8</v>
      </c>
      <c r="G14" s="15" t="s">
        <v>8</v>
      </c>
      <c r="H14" s="15" t="s">
        <v>8</v>
      </c>
      <c r="I14" s="15" t="s">
        <v>8</v>
      </c>
      <c r="J14" s="15" t="s">
        <v>8</v>
      </c>
      <c r="K14" s="15" t="s">
        <v>8</v>
      </c>
      <c r="L14" s="15" t="s">
        <v>8</v>
      </c>
      <c r="M14" s="15" t="s">
        <v>8</v>
      </c>
      <c r="N14" s="15" t="s">
        <v>8</v>
      </c>
      <c r="O14" s="15" t="s">
        <v>8</v>
      </c>
      <c r="P14" s="15">
        <v>0</v>
      </c>
      <c r="Q14" s="15">
        <v>0</v>
      </c>
      <c r="R14" s="15">
        <v>0</v>
      </c>
      <c r="S14" s="15">
        <v>1</v>
      </c>
    </row>
    <row r="15" spans="1:22" x14ac:dyDescent="0.25">
      <c r="A15" t="s">
        <v>10</v>
      </c>
      <c r="B15" t="s">
        <v>79</v>
      </c>
      <c r="C15" s="15">
        <v>1</v>
      </c>
      <c r="D15" s="15">
        <v>2.06</v>
      </c>
      <c r="E15" s="15" t="s">
        <v>8</v>
      </c>
      <c r="F15" s="15">
        <v>7.56</v>
      </c>
      <c r="G15" s="15" t="s">
        <v>8</v>
      </c>
      <c r="H15" s="15">
        <v>0.27</v>
      </c>
      <c r="I15" s="15" t="s">
        <v>8</v>
      </c>
      <c r="J15" s="15">
        <v>1.78</v>
      </c>
      <c r="K15" s="15" t="s">
        <v>8</v>
      </c>
      <c r="L15" s="15">
        <v>164</v>
      </c>
      <c r="M15" s="15" t="s">
        <v>8</v>
      </c>
      <c r="N15" s="15">
        <v>32</v>
      </c>
      <c r="O15" s="15" t="s">
        <v>8</v>
      </c>
      <c r="P15" s="15">
        <v>1</v>
      </c>
      <c r="Q15" s="15">
        <v>0</v>
      </c>
      <c r="R15" s="15">
        <v>0</v>
      </c>
      <c r="S15" s="15">
        <v>0</v>
      </c>
      <c r="V15">
        <f>269/302</f>
        <v>0.89072847682119205</v>
      </c>
    </row>
    <row r="16" spans="1:22" x14ac:dyDescent="0.25">
      <c r="A16" t="s">
        <v>10</v>
      </c>
      <c r="B16" t="s">
        <v>46</v>
      </c>
      <c r="C16" s="15">
        <v>6</v>
      </c>
      <c r="D16" s="15">
        <v>2.41</v>
      </c>
      <c r="E16" s="15">
        <v>0.55986605540968504</v>
      </c>
      <c r="F16" s="15">
        <v>6.0366666666666697</v>
      </c>
      <c r="G16" s="15">
        <v>0.627077879267533</v>
      </c>
      <c r="H16" s="15">
        <v>0.38600000000000001</v>
      </c>
      <c r="I16" s="15">
        <v>7.66811580507233E-2</v>
      </c>
      <c r="J16" s="15">
        <v>1.58</v>
      </c>
      <c r="K16" s="15">
        <v>0.400499687890016</v>
      </c>
      <c r="L16" s="15">
        <v>141</v>
      </c>
      <c r="M16" s="15">
        <v>10.9361784915939</v>
      </c>
      <c r="N16" s="15">
        <v>29.8333333333333</v>
      </c>
      <c r="O16" s="15">
        <v>2.2286019533929</v>
      </c>
      <c r="P16" s="15">
        <v>1</v>
      </c>
      <c r="Q16" s="15">
        <v>0</v>
      </c>
      <c r="R16" s="15">
        <v>0</v>
      </c>
      <c r="S16" s="15">
        <v>0</v>
      </c>
    </row>
    <row r="17" spans="1:19" x14ac:dyDescent="0.25">
      <c r="A17" t="s">
        <v>10</v>
      </c>
      <c r="B17" t="s">
        <v>172</v>
      </c>
      <c r="C17" s="15">
        <v>5</v>
      </c>
      <c r="D17" s="15">
        <v>2.64</v>
      </c>
      <c r="E17" s="15" t="s">
        <v>8</v>
      </c>
      <c r="F17" s="15">
        <v>7.42</v>
      </c>
      <c r="G17" s="15">
        <v>0.31168894751017401</v>
      </c>
      <c r="H17" s="15">
        <v>0.37</v>
      </c>
      <c r="I17" s="15" t="s">
        <v>8</v>
      </c>
      <c r="J17" s="15">
        <v>1.746</v>
      </c>
      <c r="K17" s="15">
        <v>0.141880231181092</v>
      </c>
      <c r="L17" s="15">
        <v>158.19999999999999</v>
      </c>
      <c r="M17" s="15">
        <v>13.2363136862194</v>
      </c>
      <c r="N17" s="15">
        <v>35.799999999999997</v>
      </c>
      <c r="O17" s="15">
        <v>7.1902712048990196</v>
      </c>
      <c r="P17" s="15">
        <v>0</v>
      </c>
      <c r="Q17" s="15">
        <v>0</v>
      </c>
      <c r="R17" s="15">
        <v>1</v>
      </c>
      <c r="S17" s="15">
        <v>0</v>
      </c>
    </row>
    <row r="18" spans="1:19" x14ac:dyDescent="0.25">
      <c r="A18" t="s">
        <v>10</v>
      </c>
      <c r="B18" t="s">
        <v>298</v>
      </c>
      <c r="C18" s="15">
        <v>4</v>
      </c>
      <c r="D18" s="15">
        <v>2.7</v>
      </c>
      <c r="E18" s="15">
        <v>0.41868842830916603</v>
      </c>
      <c r="F18" s="15">
        <v>4.9325000000000001</v>
      </c>
      <c r="G18" s="15">
        <v>0.44244585356101301</v>
      </c>
      <c r="H18" s="15">
        <v>0.52666666666666695</v>
      </c>
      <c r="I18" s="15">
        <v>8.5049005481153794E-2</v>
      </c>
      <c r="J18" s="15">
        <v>1.7575000000000001</v>
      </c>
      <c r="K18" s="15">
        <v>0.109658560997307</v>
      </c>
      <c r="L18" s="15">
        <v>146</v>
      </c>
      <c r="M18" s="15">
        <v>8.0415587212098796</v>
      </c>
      <c r="N18" s="15">
        <v>30.25</v>
      </c>
      <c r="O18" s="15">
        <v>1.7078251276599301</v>
      </c>
      <c r="P18" s="15">
        <v>1</v>
      </c>
      <c r="Q18" s="15">
        <v>0</v>
      </c>
      <c r="R18" s="15">
        <v>0</v>
      </c>
      <c r="S18" s="15">
        <v>0</v>
      </c>
    </row>
    <row r="19" spans="1:19" x14ac:dyDescent="0.25">
      <c r="A19" t="s">
        <v>10</v>
      </c>
      <c r="B19" t="s">
        <v>44</v>
      </c>
      <c r="C19" s="15">
        <v>2</v>
      </c>
      <c r="D19" s="15">
        <v>3.04</v>
      </c>
      <c r="E19" s="15" t="s">
        <v>8</v>
      </c>
      <c r="F19" s="15">
        <v>5.96</v>
      </c>
      <c r="G19" s="15">
        <v>1.3010764773832499</v>
      </c>
      <c r="H19" s="15">
        <v>0.6</v>
      </c>
      <c r="I19" s="15" t="s">
        <v>8</v>
      </c>
      <c r="J19" s="15">
        <v>1.68</v>
      </c>
      <c r="K19" s="15">
        <v>0.57982756057296903</v>
      </c>
      <c r="L19" s="15">
        <v>148.5</v>
      </c>
      <c r="M19" s="15">
        <v>23.3345237791561</v>
      </c>
      <c r="N19" s="15">
        <v>34</v>
      </c>
      <c r="O19" s="15">
        <v>4.2426406871192803</v>
      </c>
      <c r="P19" s="15">
        <v>1</v>
      </c>
      <c r="Q19" s="15">
        <v>0</v>
      </c>
      <c r="R19" s="15">
        <v>0</v>
      </c>
      <c r="S19" s="15">
        <v>0</v>
      </c>
    </row>
    <row r="20" spans="1:19" x14ac:dyDescent="0.25">
      <c r="A20" t="s">
        <v>10</v>
      </c>
      <c r="B20" t="s">
        <v>138</v>
      </c>
      <c r="C20" s="15">
        <v>3</v>
      </c>
      <c r="D20" s="15">
        <v>3.0433333333333299</v>
      </c>
      <c r="E20" s="15">
        <v>0.231588715902423</v>
      </c>
      <c r="F20" s="15">
        <v>6.3</v>
      </c>
      <c r="G20" s="15">
        <v>0.43266615305567901</v>
      </c>
      <c r="H20" s="15">
        <v>0.49</v>
      </c>
      <c r="I20" s="15">
        <v>7.2111025509279794E-2</v>
      </c>
      <c r="J20" s="15">
        <v>1.9966666666666699</v>
      </c>
      <c r="K20" s="15">
        <v>0.106926766215636</v>
      </c>
      <c r="L20" s="15">
        <v>109</v>
      </c>
      <c r="M20" s="15">
        <v>5.5677643628300197</v>
      </c>
      <c r="N20" s="15">
        <v>51.6666666666667</v>
      </c>
      <c r="O20" s="15">
        <v>0.57735026918962595</v>
      </c>
      <c r="P20" s="15">
        <v>0</v>
      </c>
      <c r="Q20" s="15">
        <v>0</v>
      </c>
      <c r="R20" s="15">
        <v>1</v>
      </c>
      <c r="S20" s="15">
        <v>0</v>
      </c>
    </row>
    <row r="21" spans="1:19" x14ac:dyDescent="0.25">
      <c r="A21" t="s">
        <v>10</v>
      </c>
      <c r="B21" t="s">
        <v>188</v>
      </c>
      <c r="C21" s="15">
        <v>3</v>
      </c>
      <c r="D21" s="15">
        <v>3.06</v>
      </c>
      <c r="E21" s="15">
        <v>0</v>
      </c>
      <c r="F21" s="15">
        <v>17.203333333333301</v>
      </c>
      <c r="G21" s="15">
        <v>2.09504972096925</v>
      </c>
      <c r="H21" s="15">
        <v>0.18</v>
      </c>
      <c r="I21" s="15">
        <v>0.02</v>
      </c>
      <c r="J21" s="15">
        <v>1.95</v>
      </c>
      <c r="K21" s="15">
        <v>6.2449979983984001E-2</v>
      </c>
      <c r="L21" s="15">
        <v>112.666666666667</v>
      </c>
      <c r="M21" s="15">
        <v>24.826061575153901</v>
      </c>
      <c r="N21" s="15">
        <v>79.3333333333333</v>
      </c>
      <c r="O21" s="15">
        <v>10.692676621563599</v>
      </c>
      <c r="P21" s="15">
        <v>1</v>
      </c>
      <c r="Q21" s="15">
        <v>0</v>
      </c>
      <c r="R21" s="15">
        <v>0</v>
      </c>
      <c r="S21" s="15">
        <v>0</v>
      </c>
    </row>
    <row r="22" spans="1:19" x14ac:dyDescent="0.25">
      <c r="A22" t="s">
        <v>10</v>
      </c>
      <c r="B22" t="s">
        <v>306</v>
      </c>
      <c r="C22" s="15">
        <v>3</v>
      </c>
      <c r="D22" s="15">
        <v>3.21</v>
      </c>
      <c r="E22" s="15">
        <v>0</v>
      </c>
      <c r="F22" s="15">
        <v>4.68333333333333</v>
      </c>
      <c r="G22" s="15">
        <v>2.73960459434082</v>
      </c>
      <c r="H22" s="15">
        <v>0.90333333333333299</v>
      </c>
      <c r="I22" s="15">
        <v>0.59408192476571198</v>
      </c>
      <c r="J22" s="15">
        <v>1.17333333333333</v>
      </c>
      <c r="K22" s="15">
        <v>0.56225735507268704</v>
      </c>
      <c r="L22" s="15">
        <v>128</v>
      </c>
      <c r="M22" s="15">
        <v>17.320508075688799</v>
      </c>
      <c r="N22" s="15">
        <v>46.6666666666667</v>
      </c>
      <c r="O22" s="15">
        <v>2.08166599946613</v>
      </c>
      <c r="P22" s="15">
        <v>1</v>
      </c>
      <c r="Q22" s="15">
        <v>0</v>
      </c>
      <c r="R22" s="15">
        <v>0</v>
      </c>
      <c r="S22" s="15">
        <v>0</v>
      </c>
    </row>
    <row r="23" spans="1:19" x14ac:dyDescent="0.25">
      <c r="A23" t="s">
        <v>10</v>
      </c>
      <c r="B23" t="s">
        <v>222</v>
      </c>
      <c r="C23" s="15">
        <v>2</v>
      </c>
      <c r="D23" s="15">
        <v>3.21</v>
      </c>
      <c r="E23" s="15">
        <v>0</v>
      </c>
      <c r="F23" s="15">
        <v>7.5350000000000001</v>
      </c>
      <c r="G23" s="15">
        <v>0.45961940777125598</v>
      </c>
      <c r="H23" s="15">
        <v>0.43</v>
      </c>
      <c r="I23" s="15">
        <v>2.8284271247461901E-2</v>
      </c>
      <c r="J23" s="15">
        <v>1.905</v>
      </c>
      <c r="K23" s="15">
        <v>0.21920310216783001</v>
      </c>
      <c r="L23" s="15">
        <v>112</v>
      </c>
      <c r="M23" s="15">
        <v>4.2426406871192803</v>
      </c>
      <c r="N23" s="15">
        <v>36</v>
      </c>
      <c r="O23" s="15">
        <v>2.8284271247461898</v>
      </c>
      <c r="P23" s="15">
        <v>1</v>
      </c>
      <c r="Q23" s="15">
        <v>0</v>
      </c>
      <c r="R23" s="15">
        <v>0</v>
      </c>
      <c r="S23" s="15">
        <v>0</v>
      </c>
    </row>
    <row r="24" spans="1:19" x14ac:dyDescent="0.25">
      <c r="A24" t="s">
        <v>10</v>
      </c>
      <c r="B24" t="s">
        <v>45</v>
      </c>
      <c r="C24" s="15">
        <v>2</v>
      </c>
      <c r="D24" s="15">
        <v>3.25</v>
      </c>
      <c r="E24" s="15">
        <v>2.8284271247461901E-2</v>
      </c>
      <c r="F24" s="15">
        <v>3.12</v>
      </c>
      <c r="G24" s="15">
        <v>0.31112698372208097</v>
      </c>
      <c r="H24" s="15">
        <v>1.0449999999999999</v>
      </c>
      <c r="I24" s="15">
        <v>0.120208152801713</v>
      </c>
      <c r="J24" s="15">
        <v>1.165</v>
      </c>
      <c r="K24" s="15">
        <v>0.51618795026618003</v>
      </c>
      <c r="L24" s="15">
        <v>130.5</v>
      </c>
      <c r="M24" s="15">
        <v>6.3639610306789303</v>
      </c>
      <c r="N24" s="15">
        <v>44</v>
      </c>
      <c r="O24" s="15">
        <v>2.8284271247461898</v>
      </c>
      <c r="P24" s="15">
        <v>1</v>
      </c>
      <c r="Q24" s="15">
        <v>0</v>
      </c>
      <c r="R24" s="15">
        <v>0</v>
      </c>
      <c r="S24" s="15">
        <v>0</v>
      </c>
    </row>
    <row r="25" spans="1:19" x14ac:dyDescent="0.25">
      <c r="A25" t="s">
        <v>10</v>
      </c>
      <c r="B25" t="s">
        <v>187</v>
      </c>
      <c r="C25" s="15">
        <v>2</v>
      </c>
      <c r="D25" s="15">
        <v>3.26</v>
      </c>
      <c r="E25" s="15" t="s">
        <v>8</v>
      </c>
      <c r="F25" s="15">
        <v>16.155000000000001</v>
      </c>
      <c r="G25" s="15">
        <v>0.85559920523572297</v>
      </c>
      <c r="H25" s="15">
        <v>0.19</v>
      </c>
      <c r="I25" s="15" t="s">
        <v>8</v>
      </c>
      <c r="J25" s="15">
        <v>1.9650000000000001</v>
      </c>
      <c r="K25" s="15">
        <v>7.7781745930520299E-2</v>
      </c>
      <c r="L25" s="15">
        <v>105</v>
      </c>
      <c r="M25" s="15">
        <v>9.8994949366116707</v>
      </c>
      <c r="N25" s="15">
        <v>52</v>
      </c>
      <c r="O25" s="15">
        <v>4.2426406871192803</v>
      </c>
      <c r="P25" s="15">
        <v>1</v>
      </c>
      <c r="Q25" s="15">
        <v>0</v>
      </c>
      <c r="R25" s="15">
        <v>0</v>
      </c>
      <c r="S25" s="15">
        <v>0</v>
      </c>
    </row>
    <row r="26" spans="1:19" x14ac:dyDescent="0.25">
      <c r="A26" t="s">
        <v>10</v>
      </c>
      <c r="B26" t="s">
        <v>47</v>
      </c>
      <c r="C26" s="15">
        <v>1</v>
      </c>
      <c r="D26" s="15">
        <v>3.29</v>
      </c>
      <c r="E26" s="15" t="s">
        <v>8</v>
      </c>
      <c r="F26" s="15">
        <v>4.78</v>
      </c>
      <c r="G26" s="15" t="s">
        <v>8</v>
      </c>
      <c r="H26" s="15">
        <v>0.69</v>
      </c>
      <c r="I26" s="15" t="s">
        <v>8</v>
      </c>
      <c r="J26" s="15">
        <v>1.81</v>
      </c>
      <c r="K26" s="15" t="s">
        <v>8</v>
      </c>
      <c r="L26" s="15">
        <v>116</v>
      </c>
      <c r="M26" s="15" t="s">
        <v>8</v>
      </c>
      <c r="N26" s="15">
        <v>56</v>
      </c>
      <c r="O26" s="15" t="s">
        <v>8</v>
      </c>
      <c r="P26" s="15">
        <v>1</v>
      </c>
      <c r="Q26" s="15">
        <v>0</v>
      </c>
      <c r="R26" s="15">
        <v>0</v>
      </c>
      <c r="S26" s="15">
        <v>0</v>
      </c>
    </row>
    <row r="27" spans="1:19" x14ac:dyDescent="0.25">
      <c r="A27" t="s">
        <v>10</v>
      </c>
      <c r="B27" t="s">
        <v>155</v>
      </c>
      <c r="C27" s="15">
        <v>2</v>
      </c>
      <c r="D27" s="15">
        <v>3.42</v>
      </c>
      <c r="E27" s="15" t="s">
        <v>8</v>
      </c>
      <c r="F27" s="15">
        <v>7.1449999999999996</v>
      </c>
      <c r="G27" s="15">
        <v>1.0535891039679599</v>
      </c>
      <c r="H27" s="15">
        <v>0.43</v>
      </c>
      <c r="I27" s="15" t="s">
        <v>8</v>
      </c>
      <c r="J27" s="15">
        <v>1.82</v>
      </c>
      <c r="K27" s="15">
        <v>0.12727922061357899</v>
      </c>
      <c r="L27" s="15">
        <v>96.5</v>
      </c>
      <c r="M27" s="15">
        <v>9.1923881554251192</v>
      </c>
      <c r="N27" s="15">
        <v>44</v>
      </c>
      <c r="O27" s="15">
        <v>8.4852813742385695</v>
      </c>
      <c r="P27" s="15">
        <v>1</v>
      </c>
      <c r="Q27" s="15">
        <v>0</v>
      </c>
      <c r="R27" s="15">
        <v>0</v>
      </c>
      <c r="S27" s="15">
        <v>0</v>
      </c>
    </row>
    <row r="28" spans="1:19" x14ac:dyDescent="0.25">
      <c r="A28" t="s">
        <v>10</v>
      </c>
      <c r="B28" t="s">
        <v>156</v>
      </c>
      <c r="C28" s="15">
        <v>2</v>
      </c>
      <c r="D28" s="15">
        <v>3.42</v>
      </c>
      <c r="E28" s="15">
        <v>0</v>
      </c>
      <c r="F28" s="15">
        <v>7.6449999999999996</v>
      </c>
      <c r="G28" s="15">
        <v>1.8738329701443499</v>
      </c>
      <c r="H28" s="15">
        <v>0.46</v>
      </c>
      <c r="I28" s="15">
        <v>0.11313708498984799</v>
      </c>
      <c r="J28" s="15">
        <v>1.855</v>
      </c>
      <c r="K28" s="15">
        <v>7.7781745930520105E-2</v>
      </c>
      <c r="L28" s="15">
        <v>79</v>
      </c>
      <c r="M28" s="15">
        <v>12.7279220613579</v>
      </c>
      <c r="N28" s="15">
        <v>40.5</v>
      </c>
      <c r="O28" s="15">
        <v>6.3639610306789303</v>
      </c>
      <c r="P28" s="15">
        <v>1</v>
      </c>
      <c r="Q28" s="15">
        <v>0</v>
      </c>
      <c r="R28" s="15">
        <v>0</v>
      </c>
      <c r="S28" s="15">
        <v>0</v>
      </c>
    </row>
    <row r="29" spans="1:19" x14ac:dyDescent="0.25">
      <c r="A29" t="s">
        <v>10</v>
      </c>
      <c r="B29" t="s">
        <v>307</v>
      </c>
      <c r="C29" s="15">
        <v>3</v>
      </c>
      <c r="D29" s="15">
        <v>3.4433333333333298</v>
      </c>
      <c r="E29" s="15">
        <v>0.404145188432738</v>
      </c>
      <c r="F29" s="15">
        <v>5.4066666666666698</v>
      </c>
      <c r="G29" s="15">
        <v>1.97955382178241</v>
      </c>
      <c r="H29" s="15">
        <v>0.71666666666666701</v>
      </c>
      <c r="I29" s="15">
        <v>0.33842773723992198</v>
      </c>
      <c r="J29" s="15">
        <v>1.71333333333333</v>
      </c>
      <c r="K29" s="15">
        <v>4.0414518843273801E-2</v>
      </c>
      <c r="L29" s="15">
        <v>110</v>
      </c>
      <c r="M29" s="15">
        <v>3.4641016151377499</v>
      </c>
      <c r="N29" s="15">
        <v>44</v>
      </c>
      <c r="O29" s="15">
        <v>2.6457513110645898</v>
      </c>
      <c r="P29" s="15">
        <v>1</v>
      </c>
      <c r="Q29" s="15">
        <v>0</v>
      </c>
      <c r="R29" s="15">
        <v>0</v>
      </c>
      <c r="S29" s="15">
        <v>0</v>
      </c>
    </row>
    <row r="30" spans="1:19" x14ac:dyDescent="0.25">
      <c r="A30" t="s">
        <v>10</v>
      </c>
      <c r="B30" t="s">
        <v>189</v>
      </c>
      <c r="C30" s="15">
        <v>2</v>
      </c>
      <c r="D30" s="15">
        <v>3.59</v>
      </c>
      <c r="E30" s="15">
        <v>2.8284271247461901E-2</v>
      </c>
      <c r="F30" s="15">
        <v>6.49</v>
      </c>
      <c r="G30" s="15">
        <v>0.25455844122715698</v>
      </c>
      <c r="H30" s="15">
        <v>0.55500000000000005</v>
      </c>
      <c r="I30" s="15">
        <v>2.1213203435596399E-2</v>
      </c>
      <c r="J30" s="15">
        <v>1.99</v>
      </c>
      <c r="K30" s="15">
        <v>8.4852813742385597E-2</v>
      </c>
      <c r="L30" s="15">
        <v>123.5</v>
      </c>
      <c r="M30" s="15">
        <v>13.4350288425444</v>
      </c>
      <c r="N30" s="15">
        <v>45</v>
      </c>
      <c r="O30" s="15">
        <v>7.0710678118654799</v>
      </c>
      <c r="P30" s="15">
        <v>1</v>
      </c>
      <c r="Q30" s="15">
        <v>0</v>
      </c>
      <c r="R30" s="15">
        <v>0</v>
      </c>
      <c r="S30" s="15">
        <v>0</v>
      </c>
    </row>
    <row r="31" spans="1:19" x14ac:dyDescent="0.25">
      <c r="A31" t="s">
        <v>10</v>
      </c>
      <c r="B31" t="s">
        <v>121</v>
      </c>
      <c r="C31" s="15">
        <v>3</v>
      </c>
      <c r="D31" s="15">
        <v>3.8666666666666698</v>
      </c>
      <c r="E31" s="15">
        <v>1.22500340135582</v>
      </c>
      <c r="F31" s="15">
        <v>18.5133333333333</v>
      </c>
      <c r="G31" s="15">
        <v>2.4309737418025201</v>
      </c>
      <c r="H31" s="15">
        <v>0.206666666666667</v>
      </c>
      <c r="I31" s="15">
        <v>4.1633319989322598E-2</v>
      </c>
      <c r="J31" s="15">
        <v>2.08</v>
      </c>
      <c r="K31" s="15">
        <v>0.105356537528527</v>
      </c>
      <c r="L31" s="15">
        <v>208</v>
      </c>
      <c r="M31" s="15">
        <v>1</v>
      </c>
      <c r="N31" s="15">
        <v>28.3333333333333</v>
      </c>
      <c r="O31" s="15">
        <v>2.3094010767584998</v>
      </c>
      <c r="P31" s="15">
        <v>0</v>
      </c>
      <c r="Q31" s="15">
        <v>0</v>
      </c>
      <c r="R31" s="15">
        <v>0</v>
      </c>
      <c r="S31" s="15">
        <v>1</v>
      </c>
    </row>
    <row r="32" spans="1:19" x14ac:dyDescent="0.25">
      <c r="A32" t="s">
        <v>10</v>
      </c>
      <c r="B32" t="s">
        <v>190</v>
      </c>
      <c r="C32" s="15">
        <v>2</v>
      </c>
      <c r="D32" s="15">
        <v>3.9</v>
      </c>
      <c r="E32" s="15" t="s">
        <v>8</v>
      </c>
      <c r="F32" s="15">
        <v>6.3449999999999998</v>
      </c>
      <c r="G32" s="15">
        <v>1.1242997820866101</v>
      </c>
      <c r="H32" s="15">
        <v>0.7</v>
      </c>
      <c r="I32" s="15" t="s">
        <v>8</v>
      </c>
      <c r="J32" s="15">
        <v>2.0699999999999998</v>
      </c>
      <c r="K32" s="15">
        <v>4.2426406871192902E-2</v>
      </c>
      <c r="L32" s="15">
        <v>88</v>
      </c>
      <c r="M32" s="15">
        <v>19.798989873223299</v>
      </c>
      <c r="N32" s="15">
        <v>61</v>
      </c>
      <c r="O32" s="15">
        <v>18.384776310850199</v>
      </c>
      <c r="P32" s="15">
        <v>1</v>
      </c>
      <c r="Q32" s="15">
        <v>0</v>
      </c>
      <c r="R32" s="15">
        <v>0</v>
      </c>
      <c r="S32" s="15">
        <v>0</v>
      </c>
    </row>
    <row r="33" spans="1:19" x14ac:dyDescent="0.25">
      <c r="A33" t="s">
        <v>10</v>
      </c>
      <c r="B33" t="s">
        <v>120</v>
      </c>
      <c r="C33" s="15">
        <v>1</v>
      </c>
      <c r="D33" s="15">
        <v>4.0999999999999996</v>
      </c>
      <c r="E33" s="15" t="s">
        <v>8</v>
      </c>
      <c r="F33" s="15">
        <v>20.95</v>
      </c>
      <c r="G33" s="15" t="s">
        <v>8</v>
      </c>
      <c r="H33" s="15">
        <v>0.2</v>
      </c>
      <c r="I33" s="15" t="s">
        <v>8</v>
      </c>
      <c r="J33" s="15">
        <v>2.02</v>
      </c>
      <c r="K33" s="15" t="s">
        <v>8</v>
      </c>
      <c r="L33" s="15">
        <v>152</v>
      </c>
      <c r="M33" s="15" t="s">
        <v>8</v>
      </c>
      <c r="N33" s="15">
        <v>114</v>
      </c>
      <c r="O33" s="15" t="s">
        <v>8</v>
      </c>
      <c r="P33" s="15">
        <v>1</v>
      </c>
      <c r="Q33" s="15">
        <v>0</v>
      </c>
      <c r="R33" s="15">
        <v>0</v>
      </c>
      <c r="S33" s="15">
        <v>0</v>
      </c>
    </row>
    <row r="34" spans="1:19" x14ac:dyDescent="0.25">
      <c r="A34" t="s">
        <v>10</v>
      </c>
      <c r="B34" t="s">
        <v>170</v>
      </c>
      <c r="C34" s="15">
        <v>3</v>
      </c>
      <c r="D34" s="15">
        <v>4.2</v>
      </c>
      <c r="E34" s="15" t="s">
        <v>8</v>
      </c>
      <c r="F34" s="15">
        <v>12.31</v>
      </c>
      <c r="G34" s="15">
        <v>1.0857255638512</v>
      </c>
      <c r="H34" s="15">
        <v>0.35</v>
      </c>
      <c r="I34" s="15" t="s">
        <v>8</v>
      </c>
      <c r="J34" s="15">
        <v>1.90333333333333</v>
      </c>
      <c r="K34" s="15">
        <v>0.15502687938977999</v>
      </c>
      <c r="L34" s="15">
        <v>130</v>
      </c>
      <c r="M34" s="15">
        <v>18.5202591774521</v>
      </c>
      <c r="N34" s="15">
        <v>67</v>
      </c>
      <c r="O34" s="15">
        <v>34.044089061098397</v>
      </c>
      <c r="P34" s="15">
        <v>0</v>
      </c>
      <c r="Q34" s="15">
        <v>0</v>
      </c>
      <c r="R34" s="15">
        <v>0</v>
      </c>
      <c r="S34" s="15">
        <v>1</v>
      </c>
    </row>
    <row r="35" spans="1:19" x14ac:dyDescent="0.25">
      <c r="A35" t="s">
        <v>10</v>
      </c>
      <c r="B35" t="s">
        <v>27</v>
      </c>
      <c r="C35" s="15">
        <v>2</v>
      </c>
      <c r="D35" s="15">
        <v>4.2649999999999997</v>
      </c>
      <c r="E35" s="15">
        <v>0.28991378028648501</v>
      </c>
      <c r="F35" s="15">
        <v>14.52</v>
      </c>
      <c r="G35" s="15">
        <v>0.72124891681027803</v>
      </c>
      <c r="H35" s="15">
        <v>0.29499999999999998</v>
      </c>
      <c r="I35" s="15">
        <v>7.0710678118654797E-3</v>
      </c>
      <c r="J35" s="15">
        <v>1.7849999999999999</v>
      </c>
      <c r="K35" s="15">
        <v>7.7781745930520299E-2</v>
      </c>
      <c r="L35" s="15">
        <v>44.5</v>
      </c>
      <c r="M35" s="15">
        <v>7.7781745930520199</v>
      </c>
      <c r="N35" s="15">
        <v>29.5</v>
      </c>
      <c r="O35" s="15">
        <v>3.53553390593274</v>
      </c>
      <c r="P35" s="15">
        <v>1</v>
      </c>
      <c r="Q35" s="15">
        <v>0</v>
      </c>
      <c r="R35" s="15">
        <v>0</v>
      </c>
      <c r="S35" s="15">
        <v>0</v>
      </c>
    </row>
    <row r="36" spans="1:19" x14ac:dyDescent="0.25">
      <c r="A36" t="s">
        <v>10</v>
      </c>
      <c r="B36" t="s">
        <v>252</v>
      </c>
      <c r="C36" s="15">
        <v>1</v>
      </c>
      <c r="D36" s="15">
        <v>4.43</v>
      </c>
      <c r="E36" s="15" t="s">
        <v>8</v>
      </c>
      <c r="F36" s="15">
        <v>7.56</v>
      </c>
      <c r="G36" s="15" t="s">
        <v>8</v>
      </c>
      <c r="H36" s="15">
        <v>0.59</v>
      </c>
      <c r="I36" s="15" t="s">
        <v>8</v>
      </c>
      <c r="J36" s="15">
        <v>1.78</v>
      </c>
      <c r="K36" s="15" t="s">
        <v>8</v>
      </c>
      <c r="L36" s="15">
        <v>164</v>
      </c>
      <c r="M36" s="15" t="s">
        <v>8</v>
      </c>
      <c r="N36" s="15">
        <v>32</v>
      </c>
      <c r="O36" s="15" t="s">
        <v>8</v>
      </c>
      <c r="P36" s="15">
        <v>0</v>
      </c>
      <c r="Q36" s="15">
        <v>0</v>
      </c>
      <c r="R36" s="15">
        <v>0</v>
      </c>
      <c r="S36" s="15">
        <v>1</v>
      </c>
    </row>
    <row r="37" spans="1:19" x14ac:dyDescent="0.25">
      <c r="A37" t="s">
        <v>10</v>
      </c>
      <c r="B37" t="s">
        <v>278</v>
      </c>
      <c r="C37" s="15">
        <v>1</v>
      </c>
      <c r="D37" s="15">
        <v>4.54</v>
      </c>
      <c r="E37" s="15" t="s">
        <v>8</v>
      </c>
      <c r="F37" s="15">
        <v>19.72</v>
      </c>
      <c r="G37" s="15" t="s">
        <v>8</v>
      </c>
      <c r="H37" s="15">
        <v>0.23</v>
      </c>
      <c r="I37" s="15" t="s">
        <v>8</v>
      </c>
      <c r="J37" s="15">
        <v>1.89</v>
      </c>
      <c r="K37" s="15" t="s">
        <v>8</v>
      </c>
      <c r="L37" s="15">
        <v>196</v>
      </c>
      <c r="M37" s="15" t="s">
        <v>8</v>
      </c>
      <c r="N37" s="15">
        <v>45</v>
      </c>
      <c r="O37" s="15" t="s">
        <v>8</v>
      </c>
      <c r="P37" s="15">
        <v>1</v>
      </c>
      <c r="Q37" s="15">
        <v>0</v>
      </c>
      <c r="R37" s="15">
        <v>0</v>
      </c>
      <c r="S37" s="15">
        <v>0</v>
      </c>
    </row>
    <row r="38" spans="1:19" x14ac:dyDescent="0.25">
      <c r="A38" t="s">
        <v>10</v>
      </c>
      <c r="B38" t="s">
        <v>153</v>
      </c>
      <c r="C38" s="15">
        <v>2</v>
      </c>
      <c r="D38" s="15">
        <v>4.5599999999999996</v>
      </c>
      <c r="E38" s="15" t="s">
        <v>8</v>
      </c>
      <c r="F38" s="15">
        <v>9.44</v>
      </c>
      <c r="G38" s="15">
        <v>1.3435028842544401</v>
      </c>
      <c r="H38" s="15">
        <v>0.44</v>
      </c>
      <c r="I38" s="15" t="s">
        <v>8</v>
      </c>
      <c r="J38" s="15">
        <v>1.62</v>
      </c>
      <c r="K38" s="15">
        <v>5.6568542494923699E-2</v>
      </c>
      <c r="L38" s="15">
        <v>163.5</v>
      </c>
      <c r="M38" s="15">
        <v>3.53553390593274</v>
      </c>
      <c r="N38" s="15">
        <v>43.5</v>
      </c>
      <c r="O38" s="15">
        <v>6.3639610306789303</v>
      </c>
      <c r="P38" s="15">
        <v>1</v>
      </c>
      <c r="Q38" s="15">
        <v>0</v>
      </c>
      <c r="R38" s="15">
        <v>0</v>
      </c>
      <c r="S38" s="15">
        <v>0</v>
      </c>
    </row>
    <row r="39" spans="1:19" x14ac:dyDescent="0.25">
      <c r="A39" t="s">
        <v>10</v>
      </c>
      <c r="B39" t="s">
        <v>154</v>
      </c>
      <c r="C39" s="15">
        <v>1</v>
      </c>
      <c r="D39" s="15">
        <v>4.5599999999999996</v>
      </c>
      <c r="E39" s="15" t="s">
        <v>8</v>
      </c>
      <c r="F39" s="15">
        <v>14.02</v>
      </c>
      <c r="G39" s="15" t="s">
        <v>8</v>
      </c>
      <c r="H39" s="15">
        <v>0.33</v>
      </c>
      <c r="I39" s="15" t="s">
        <v>8</v>
      </c>
      <c r="J39" s="15">
        <v>1.67</v>
      </c>
      <c r="K39" s="15" t="s">
        <v>8</v>
      </c>
      <c r="L39" s="15">
        <v>146</v>
      </c>
      <c r="M39" s="15" t="s">
        <v>8</v>
      </c>
      <c r="N39" s="15">
        <v>58</v>
      </c>
      <c r="O39" s="15" t="s">
        <v>8</v>
      </c>
      <c r="P39" s="15">
        <v>1</v>
      </c>
      <c r="Q39" s="15">
        <v>0</v>
      </c>
      <c r="R39" s="15">
        <v>0</v>
      </c>
      <c r="S39" s="15">
        <v>0</v>
      </c>
    </row>
    <row r="40" spans="1:19" x14ac:dyDescent="0.25">
      <c r="A40" t="s">
        <v>10</v>
      </c>
      <c r="B40" t="s">
        <v>169</v>
      </c>
      <c r="C40" s="15">
        <v>7</v>
      </c>
      <c r="D40" s="15">
        <v>4.57</v>
      </c>
      <c r="E40" s="15">
        <v>0</v>
      </c>
      <c r="F40" s="15">
        <v>13.7085714285714</v>
      </c>
      <c r="G40" s="15">
        <v>0.93424530275205897</v>
      </c>
      <c r="H40" s="15">
        <v>0.33500000000000002</v>
      </c>
      <c r="I40" s="15">
        <v>7.0710678118654797E-3</v>
      </c>
      <c r="J40" s="15">
        <v>1.77571428571429</v>
      </c>
      <c r="K40" s="15">
        <v>7.4129873163510093E-2</v>
      </c>
      <c r="L40" s="15">
        <v>140</v>
      </c>
      <c r="M40" s="15">
        <v>17.540429489230501</v>
      </c>
      <c r="N40" s="15">
        <v>60</v>
      </c>
      <c r="O40" s="15">
        <v>19.226717521893001</v>
      </c>
      <c r="P40" s="15">
        <v>1</v>
      </c>
      <c r="Q40" s="15">
        <v>0</v>
      </c>
      <c r="R40" s="15">
        <v>0</v>
      </c>
      <c r="S40" s="15">
        <v>0</v>
      </c>
    </row>
    <row r="41" spans="1:19" x14ac:dyDescent="0.25">
      <c r="A41" t="s">
        <v>10</v>
      </c>
      <c r="B41" t="s">
        <v>31</v>
      </c>
      <c r="C41" s="15">
        <v>4</v>
      </c>
      <c r="D41" s="15">
        <v>4.68</v>
      </c>
      <c r="E41" s="15">
        <v>0.51730068625510195</v>
      </c>
      <c r="F41" s="15">
        <v>10.5375</v>
      </c>
      <c r="G41" s="15">
        <v>1.3713102007447699</v>
      </c>
      <c r="H41" s="15">
        <v>0.43</v>
      </c>
      <c r="I41" s="15">
        <v>0.02</v>
      </c>
      <c r="J41" s="15">
        <v>1.85</v>
      </c>
      <c r="K41" s="15">
        <v>3.2659863237109003E-2</v>
      </c>
      <c r="L41" s="15">
        <v>148.5</v>
      </c>
      <c r="M41" s="15">
        <v>20.808652046684799</v>
      </c>
      <c r="N41" s="15">
        <v>61</v>
      </c>
      <c r="O41" s="15">
        <v>10.230672835481901</v>
      </c>
      <c r="P41" s="15">
        <v>0</v>
      </c>
      <c r="Q41" s="15">
        <v>0</v>
      </c>
      <c r="R41" s="15">
        <v>0</v>
      </c>
      <c r="S41" s="15">
        <v>1</v>
      </c>
    </row>
    <row r="42" spans="1:19" x14ac:dyDescent="0.25">
      <c r="A42" t="s">
        <v>10</v>
      </c>
      <c r="B42" t="s">
        <v>52</v>
      </c>
      <c r="C42" s="15">
        <v>1</v>
      </c>
      <c r="D42" s="15">
        <v>4.8899999999999997</v>
      </c>
      <c r="E42" s="15" t="s">
        <v>8</v>
      </c>
      <c r="F42" s="15">
        <v>11.24</v>
      </c>
      <c r="G42" s="15" t="s">
        <v>8</v>
      </c>
      <c r="H42" s="15">
        <v>0.43</v>
      </c>
      <c r="I42" s="15" t="s">
        <v>8</v>
      </c>
      <c r="J42" s="15">
        <v>2.0499999999999998</v>
      </c>
      <c r="K42" s="15" t="s">
        <v>8</v>
      </c>
      <c r="L42" s="15">
        <v>108</v>
      </c>
      <c r="M42" s="15" t="s">
        <v>8</v>
      </c>
      <c r="N42" s="15">
        <v>66</v>
      </c>
      <c r="O42" s="15" t="s">
        <v>8</v>
      </c>
      <c r="P42" s="15">
        <v>0</v>
      </c>
      <c r="Q42" s="15">
        <v>0</v>
      </c>
      <c r="R42" s="15">
        <v>1</v>
      </c>
      <c r="S42" s="15">
        <v>0</v>
      </c>
    </row>
    <row r="43" spans="1:19" x14ac:dyDescent="0.25">
      <c r="A43" t="s">
        <v>10</v>
      </c>
      <c r="B43" t="s">
        <v>72</v>
      </c>
      <c r="C43" s="15">
        <v>1</v>
      </c>
      <c r="D43" s="15">
        <v>4.91</v>
      </c>
      <c r="E43" s="15" t="s">
        <v>8</v>
      </c>
      <c r="F43" s="15">
        <v>17.28</v>
      </c>
      <c r="G43" s="15" t="s">
        <v>8</v>
      </c>
      <c r="H43" s="15">
        <v>0.28000000000000003</v>
      </c>
      <c r="I43" s="15" t="s">
        <v>8</v>
      </c>
      <c r="J43" s="15">
        <v>1.66</v>
      </c>
      <c r="K43" s="15" t="s">
        <v>8</v>
      </c>
      <c r="L43" s="15">
        <v>106</v>
      </c>
      <c r="M43" s="15" t="s">
        <v>8</v>
      </c>
      <c r="N43" s="15">
        <v>90</v>
      </c>
      <c r="O43" s="15" t="s">
        <v>8</v>
      </c>
      <c r="P43" s="15">
        <v>1</v>
      </c>
      <c r="Q43" s="15">
        <v>0</v>
      </c>
      <c r="R43" s="15">
        <v>0</v>
      </c>
      <c r="S43" s="15">
        <v>0</v>
      </c>
    </row>
    <row r="44" spans="1:19" x14ac:dyDescent="0.25">
      <c r="A44" t="s">
        <v>10</v>
      </c>
      <c r="B44" t="s">
        <v>94</v>
      </c>
      <c r="C44" s="15">
        <v>4</v>
      </c>
      <c r="D44" s="15">
        <v>4.95</v>
      </c>
      <c r="E44" s="15" t="s">
        <v>8</v>
      </c>
      <c r="F44" s="15">
        <v>11.3725</v>
      </c>
      <c r="G44" s="15">
        <v>0.95566294616180802</v>
      </c>
      <c r="H44" s="15">
        <v>0.46</v>
      </c>
      <c r="I44" s="15" t="s">
        <v>8</v>
      </c>
      <c r="J44" s="15">
        <v>2.17</v>
      </c>
      <c r="K44" s="15">
        <v>3.9157800414902598E-2</v>
      </c>
      <c r="L44" s="15">
        <v>125.5</v>
      </c>
      <c r="M44" s="15">
        <v>11.818065267490599</v>
      </c>
      <c r="N44" s="15">
        <v>71.75</v>
      </c>
      <c r="O44" s="15">
        <v>7.4105780251385696</v>
      </c>
      <c r="P44" s="15">
        <v>1</v>
      </c>
      <c r="Q44" s="15">
        <v>0</v>
      </c>
      <c r="R44" s="15">
        <v>0</v>
      </c>
      <c r="S44" s="15">
        <v>0</v>
      </c>
    </row>
    <row r="45" spans="1:19" x14ac:dyDescent="0.25">
      <c r="A45" t="s">
        <v>10</v>
      </c>
      <c r="B45" t="s">
        <v>50</v>
      </c>
      <c r="C45" s="15">
        <v>2</v>
      </c>
      <c r="D45" s="15">
        <v>5.05</v>
      </c>
      <c r="E45" s="15" t="s">
        <v>8</v>
      </c>
      <c r="F45" s="15">
        <v>10.445</v>
      </c>
      <c r="G45" s="15">
        <v>0.19091883092036799</v>
      </c>
      <c r="H45" s="15">
        <v>0.49</v>
      </c>
      <c r="I45" s="15" t="s">
        <v>8</v>
      </c>
      <c r="J45" s="15">
        <v>1.9450000000000001</v>
      </c>
      <c r="K45" s="15">
        <v>9.1923881554251102E-2</v>
      </c>
      <c r="L45" s="15">
        <v>78</v>
      </c>
      <c r="M45" s="15">
        <v>8.4852813742385695</v>
      </c>
      <c r="N45" s="15">
        <v>46</v>
      </c>
      <c r="O45" s="15">
        <v>5.6568542494923797</v>
      </c>
      <c r="P45" s="15">
        <v>0</v>
      </c>
      <c r="Q45" s="15">
        <v>0</v>
      </c>
      <c r="R45" s="15">
        <v>1</v>
      </c>
      <c r="S45" s="15">
        <v>0</v>
      </c>
    </row>
    <row r="46" spans="1:19" x14ac:dyDescent="0.25">
      <c r="A46" t="s">
        <v>10</v>
      </c>
      <c r="B46" t="s">
        <v>270</v>
      </c>
      <c r="C46" s="15">
        <v>1</v>
      </c>
      <c r="D46" s="15">
        <v>5.22</v>
      </c>
      <c r="E46" s="15" t="s">
        <v>8</v>
      </c>
      <c r="F46" s="15">
        <v>11.94</v>
      </c>
      <c r="G46" s="15" t="s">
        <v>8</v>
      </c>
      <c r="H46" s="15">
        <v>0.44</v>
      </c>
      <c r="I46" s="15" t="s">
        <v>8</v>
      </c>
      <c r="J46" s="15">
        <v>2.1</v>
      </c>
      <c r="K46" s="15" t="s">
        <v>8</v>
      </c>
      <c r="L46" s="15">
        <v>49</v>
      </c>
      <c r="M46" s="15" t="s">
        <v>8</v>
      </c>
      <c r="N46" s="15">
        <v>39</v>
      </c>
      <c r="O46" s="15" t="s">
        <v>8</v>
      </c>
      <c r="P46" s="15">
        <v>1</v>
      </c>
      <c r="Q46" s="15">
        <v>0</v>
      </c>
      <c r="R46" s="15">
        <v>0</v>
      </c>
      <c r="S46" s="15">
        <v>0</v>
      </c>
    </row>
    <row r="47" spans="1:19" x14ac:dyDescent="0.25">
      <c r="A47" t="s">
        <v>10</v>
      </c>
      <c r="B47" t="s">
        <v>80</v>
      </c>
      <c r="C47" s="15">
        <v>1</v>
      </c>
      <c r="D47" s="15">
        <v>5.22</v>
      </c>
      <c r="E47" s="15" t="s">
        <v>8</v>
      </c>
      <c r="F47" s="15">
        <v>12.38</v>
      </c>
      <c r="G47" s="15" t="s">
        <v>8</v>
      </c>
      <c r="H47" s="15">
        <v>0.42</v>
      </c>
      <c r="I47" s="15" t="s">
        <v>8</v>
      </c>
      <c r="J47" s="15">
        <v>1.83</v>
      </c>
      <c r="K47" s="15" t="s">
        <v>8</v>
      </c>
      <c r="L47" s="15">
        <v>64</v>
      </c>
      <c r="M47" s="15" t="s">
        <v>8</v>
      </c>
      <c r="N47" s="15">
        <v>44</v>
      </c>
      <c r="O47" s="15" t="s">
        <v>8</v>
      </c>
      <c r="P47" s="15">
        <v>1</v>
      </c>
      <c r="Q47" s="15">
        <v>0</v>
      </c>
      <c r="R47" s="15">
        <v>0</v>
      </c>
      <c r="S47" s="15">
        <v>0</v>
      </c>
    </row>
    <row r="48" spans="1:19" x14ac:dyDescent="0.25">
      <c r="A48" t="s">
        <v>10</v>
      </c>
      <c r="B48" t="s">
        <v>67</v>
      </c>
      <c r="C48" s="15">
        <v>1</v>
      </c>
      <c r="D48" s="15">
        <v>5.25</v>
      </c>
      <c r="E48" s="15" t="s">
        <v>8</v>
      </c>
      <c r="F48" s="15">
        <v>8.7899999999999991</v>
      </c>
      <c r="G48" s="15" t="s">
        <v>8</v>
      </c>
      <c r="H48" s="15">
        <v>0.6</v>
      </c>
      <c r="I48" s="15" t="s">
        <v>8</v>
      </c>
      <c r="J48" s="15">
        <v>3.08</v>
      </c>
      <c r="K48" s="15" t="s">
        <v>8</v>
      </c>
      <c r="L48" s="15">
        <v>176</v>
      </c>
      <c r="M48" s="15" t="s">
        <v>8</v>
      </c>
      <c r="N48" s="15">
        <v>86</v>
      </c>
      <c r="O48" s="15" t="s">
        <v>8</v>
      </c>
      <c r="P48" s="15">
        <v>1</v>
      </c>
      <c r="Q48" s="15">
        <v>1</v>
      </c>
      <c r="R48" s="15">
        <v>0</v>
      </c>
      <c r="S48" s="15">
        <v>0</v>
      </c>
    </row>
    <row r="49" spans="1:19" x14ac:dyDescent="0.25">
      <c r="A49" t="s">
        <v>10</v>
      </c>
      <c r="B49" t="s">
        <v>178</v>
      </c>
      <c r="C49" s="15">
        <v>1</v>
      </c>
      <c r="D49" s="15">
        <v>5.39</v>
      </c>
      <c r="E49" s="15" t="s">
        <v>8</v>
      </c>
      <c r="F49" s="15">
        <v>8.23</v>
      </c>
      <c r="G49" s="15" t="s">
        <v>8</v>
      </c>
      <c r="H49" s="15">
        <v>0.65</v>
      </c>
      <c r="I49" s="15" t="s">
        <v>8</v>
      </c>
      <c r="J49" s="15">
        <v>3.07</v>
      </c>
      <c r="K49" s="15" t="s">
        <v>8</v>
      </c>
      <c r="L49" s="15">
        <v>80</v>
      </c>
      <c r="M49" s="15" t="s">
        <v>8</v>
      </c>
      <c r="N49" s="15">
        <v>44</v>
      </c>
      <c r="O49" s="15" t="s">
        <v>8</v>
      </c>
      <c r="P49" s="15">
        <v>1</v>
      </c>
      <c r="Q49" s="15">
        <v>1</v>
      </c>
      <c r="R49" s="15">
        <v>0</v>
      </c>
      <c r="S49" s="15">
        <v>0</v>
      </c>
    </row>
    <row r="50" spans="1:19" x14ac:dyDescent="0.25">
      <c r="A50" t="s">
        <v>10</v>
      </c>
      <c r="B50" t="s">
        <v>36</v>
      </c>
      <c r="C50" s="15">
        <v>1</v>
      </c>
      <c r="D50" s="15">
        <v>5.41</v>
      </c>
      <c r="E50" s="15" t="s">
        <v>8</v>
      </c>
      <c r="F50" s="15">
        <v>12.3</v>
      </c>
      <c r="G50" s="15" t="s">
        <v>8</v>
      </c>
      <c r="H50" s="15">
        <v>0.44</v>
      </c>
      <c r="I50" s="15" t="s">
        <v>8</v>
      </c>
      <c r="J50" s="15">
        <v>1.8</v>
      </c>
      <c r="K50" s="15" t="s">
        <v>8</v>
      </c>
      <c r="L50" s="15">
        <v>152</v>
      </c>
      <c r="M50" s="15" t="s">
        <v>8</v>
      </c>
      <c r="N50" s="15">
        <v>52</v>
      </c>
      <c r="O50" s="15" t="s">
        <v>8</v>
      </c>
      <c r="P50" s="15">
        <v>0</v>
      </c>
      <c r="Q50" s="15">
        <v>0</v>
      </c>
      <c r="R50" s="15">
        <v>0</v>
      </c>
      <c r="S50" s="15">
        <v>1</v>
      </c>
    </row>
    <row r="51" spans="1:19" x14ac:dyDescent="0.25">
      <c r="A51" t="s">
        <v>10</v>
      </c>
      <c r="B51" t="s">
        <v>267</v>
      </c>
      <c r="C51" s="15">
        <v>3</v>
      </c>
      <c r="D51" s="15">
        <v>5.45</v>
      </c>
      <c r="E51" s="15">
        <v>0</v>
      </c>
      <c r="F51" s="15">
        <v>24.946666666666701</v>
      </c>
      <c r="G51" s="15">
        <v>3.4573737624580501</v>
      </c>
      <c r="H51" s="15">
        <v>0.22</v>
      </c>
      <c r="I51" s="15">
        <v>3.4641016151377498E-2</v>
      </c>
      <c r="J51" s="15">
        <v>1.83</v>
      </c>
      <c r="K51" s="15">
        <v>0.02</v>
      </c>
      <c r="L51" s="15">
        <v>73.3333333333333</v>
      </c>
      <c r="M51" s="15">
        <v>6.1101009266077897</v>
      </c>
      <c r="N51" s="15">
        <v>96.3333333333333</v>
      </c>
      <c r="O51" s="15">
        <v>11.590225767142501</v>
      </c>
      <c r="P51" s="15">
        <v>1</v>
      </c>
      <c r="Q51" s="15">
        <v>0</v>
      </c>
      <c r="R51" s="15">
        <v>0</v>
      </c>
      <c r="S51" s="15">
        <v>0</v>
      </c>
    </row>
    <row r="52" spans="1:19" x14ac:dyDescent="0.25">
      <c r="A52" t="s">
        <v>10</v>
      </c>
      <c r="B52" t="s">
        <v>84</v>
      </c>
      <c r="C52" s="15">
        <v>1</v>
      </c>
      <c r="D52" s="15">
        <v>5.45</v>
      </c>
      <c r="E52" s="15" t="s">
        <v>8</v>
      </c>
      <c r="F52" s="15">
        <v>10.64</v>
      </c>
      <c r="G52" s="15" t="s">
        <v>8</v>
      </c>
      <c r="H52" s="15">
        <v>0.51</v>
      </c>
      <c r="I52" s="15" t="s">
        <v>8</v>
      </c>
      <c r="J52" s="15">
        <v>2.0099999999999998</v>
      </c>
      <c r="K52" s="15" t="s">
        <v>8</v>
      </c>
      <c r="L52" s="15">
        <v>53</v>
      </c>
      <c r="M52" s="15" t="s">
        <v>8</v>
      </c>
      <c r="N52" s="15">
        <v>20</v>
      </c>
      <c r="O52" s="15" t="s">
        <v>8</v>
      </c>
      <c r="P52" s="15">
        <v>1</v>
      </c>
      <c r="Q52" s="15">
        <v>0</v>
      </c>
      <c r="R52" s="15">
        <v>0</v>
      </c>
      <c r="S52" s="15">
        <v>0</v>
      </c>
    </row>
    <row r="53" spans="1:19" x14ac:dyDescent="0.25">
      <c r="A53" t="s">
        <v>10</v>
      </c>
      <c r="B53" t="s">
        <v>78</v>
      </c>
      <c r="C53" s="15">
        <v>1</v>
      </c>
      <c r="D53" s="15">
        <v>5.53</v>
      </c>
      <c r="E53" s="15" t="s">
        <v>8</v>
      </c>
      <c r="F53" s="15">
        <v>13.84</v>
      </c>
      <c r="G53" s="15" t="s">
        <v>8</v>
      </c>
      <c r="H53" s="15">
        <v>0.4</v>
      </c>
      <c r="I53" s="15" t="s">
        <v>8</v>
      </c>
      <c r="J53" s="15">
        <v>2.14</v>
      </c>
      <c r="K53" s="15" t="s">
        <v>8</v>
      </c>
      <c r="L53" s="15">
        <v>131</v>
      </c>
      <c r="M53" s="15" t="s">
        <v>8</v>
      </c>
      <c r="N53" s="15">
        <v>57</v>
      </c>
      <c r="O53" s="15" t="s">
        <v>8</v>
      </c>
      <c r="P53" s="15">
        <v>0</v>
      </c>
      <c r="Q53" s="15">
        <v>0</v>
      </c>
      <c r="R53" s="15">
        <v>1</v>
      </c>
      <c r="S53" s="15">
        <v>0</v>
      </c>
    </row>
    <row r="54" spans="1:19" x14ac:dyDescent="0.25">
      <c r="A54" t="s">
        <v>10</v>
      </c>
      <c r="B54" t="s">
        <v>171</v>
      </c>
      <c r="C54" s="15">
        <v>3</v>
      </c>
      <c r="D54" s="15">
        <v>5.61</v>
      </c>
      <c r="E54" s="15" t="s">
        <v>8</v>
      </c>
      <c r="F54" s="15">
        <v>9.35</v>
      </c>
      <c r="G54" s="15">
        <v>0.81191132520737797</v>
      </c>
      <c r="H54" s="15">
        <v>0.65</v>
      </c>
      <c r="I54" s="15" t="s">
        <v>8</v>
      </c>
      <c r="J54" s="15">
        <v>2.4466666666666699</v>
      </c>
      <c r="K54" s="15">
        <v>0.105039675043925</v>
      </c>
      <c r="L54" s="15">
        <v>73</v>
      </c>
      <c r="M54" s="15">
        <v>16.093476939431099</v>
      </c>
      <c r="N54" s="15">
        <v>106.333333333333</v>
      </c>
      <c r="O54" s="15">
        <v>6.6583281184793899</v>
      </c>
      <c r="P54" s="15">
        <v>1</v>
      </c>
      <c r="Q54" s="15">
        <v>1</v>
      </c>
      <c r="R54" s="15">
        <v>0</v>
      </c>
      <c r="S54" s="15">
        <v>0</v>
      </c>
    </row>
    <row r="55" spans="1:19" x14ac:dyDescent="0.25">
      <c r="A55" t="s">
        <v>10</v>
      </c>
      <c r="B55" t="s">
        <v>159</v>
      </c>
      <c r="C55" s="15">
        <v>2</v>
      </c>
      <c r="D55" s="15">
        <v>5.69</v>
      </c>
      <c r="E55" s="15" t="s">
        <v>8</v>
      </c>
      <c r="F55" s="15">
        <v>20.925000000000001</v>
      </c>
      <c r="G55" s="15">
        <v>0.44547727214752397</v>
      </c>
      <c r="H55" s="15">
        <v>0.27</v>
      </c>
      <c r="I55" s="15" t="s">
        <v>8</v>
      </c>
      <c r="J55" s="15">
        <v>2.14</v>
      </c>
      <c r="K55" s="15">
        <v>5.65685424949239E-2</v>
      </c>
      <c r="L55" s="15">
        <v>109.5</v>
      </c>
      <c r="M55" s="15">
        <v>9.1923881554251192</v>
      </c>
      <c r="N55" s="15">
        <v>66.5</v>
      </c>
      <c r="O55" s="15">
        <v>0.70710678118654802</v>
      </c>
      <c r="P55" s="15">
        <v>1</v>
      </c>
      <c r="Q55" s="15">
        <v>0</v>
      </c>
      <c r="R55" s="15">
        <v>0</v>
      </c>
      <c r="S55" s="15">
        <v>0</v>
      </c>
    </row>
    <row r="56" spans="1:19" x14ac:dyDescent="0.25">
      <c r="A56" t="s">
        <v>10</v>
      </c>
      <c r="B56" t="s">
        <v>160</v>
      </c>
      <c r="C56" s="15">
        <v>2</v>
      </c>
      <c r="D56" s="15">
        <v>5.71</v>
      </c>
      <c r="E56" s="15" t="s">
        <v>8</v>
      </c>
      <c r="F56" s="15">
        <v>12.65</v>
      </c>
      <c r="G56" s="15">
        <v>0.46669047558312099</v>
      </c>
      <c r="H56" s="15">
        <v>0.46</v>
      </c>
      <c r="I56" s="15" t="s">
        <v>8</v>
      </c>
      <c r="J56" s="15">
        <v>1.7</v>
      </c>
      <c r="K56" s="15">
        <v>0.18384776310850201</v>
      </c>
      <c r="L56" s="15">
        <v>181</v>
      </c>
      <c r="M56" s="15">
        <v>15.556349186104001</v>
      </c>
      <c r="N56" s="15">
        <v>44</v>
      </c>
      <c r="O56" s="15">
        <v>2.8284271247461898</v>
      </c>
      <c r="P56" s="15">
        <v>0</v>
      </c>
      <c r="Q56" s="15">
        <v>0</v>
      </c>
      <c r="R56" s="15">
        <v>0</v>
      </c>
      <c r="S56" s="15">
        <v>1</v>
      </c>
    </row>
    <row r="57" spans="1:19" x14ac:dyDescent="0.25">
      <c r="A57" t="s">
        <v>10</v>
      </c>
      <c r="B57" t="s">
        <v>71</v>
      </c>
      <c r="C57" s="15">
        <v>1</v>
      </c>
      <c r="D57" s="15">
        <v>5.72</v>
      </c>
      <c r="E57" s="15" t="s">
        <v>8</v>
      </c>
      <c r="F57" s="15">
        <v>19.77</v>
      </c>
      <c r="G57" s="15" t="s">
        <v>8</v>
      </c>
      <c r="H57" s="15">
        <v>0.28999999999999998</v>
      </c>
      <c r="I57" s="15" t="s">
        <v>8</v>
      </c>
      <c r="J57" s="15">
        <v>1.71</v>
      </c>
      <c r="K57" s="15" t="s">
        <v>8</v>
      </c>
      <c r="L57" s="15">
        <v>59</v>
      </c>
      <c r="M57" s="15" t="s">
        <v>8</v>
      </c>
      <c r="N57" s="15">
        <v>115</v>
      </c>
      <c r="O57" s="15" t="s">
        <v>8</v>
      </c>
      <c r="P57" s="15">
        <v>1</v>
      </c>
      <c r="Q57" s="15">
        <v>0</v>
      </c>
      <c r="R57" s="15">
        <v>0</v>
      </c>
      <c r="S57" s="15">
        <v>0</v>
      </c>
    </row>
    <row r="58" spans="1:19" x14ac:dyDescent="0.25">
      <c r="A58" t="s">
        <v>10</v>
      </c>
      <c r="B58" t="s">
        <v>73</v>
      </c>
      <c r="C58" s="15">
        <v>1</v>
      </c>
      <c r="D58" s="15">
        <v>5.72</v>
      </c>
      <c r="E58" s="15" t="s">
        <v>8</v>
      </c>
      <c r="F58" s="15">
        <v>25.62</v>
      </c>
      <c r="G58" s="15" t="s">
        <v>8</v>
      </c>
      <c r="H58" s="15">
        <v>0.22</v>
      </c>
      <c r="I58" s="15" t="s">
        <v>8</v>
      </c>
      <c r="J58" s="15">
        <v>1.72</v>
      </c>
      <c r="K58" s="15" t="s">
        <v>8</v>
      </c>
      <c r="L58" s="15">
        <v>48</v>
      </c>
      <c r="M58" s="15" t="s">
        <v>8</v>
      </c>
      <c r="N58" s="15">
        <v>58</v>
      </c>
      <c r="O58" s="15" t="s">
        <v>8</v>
      </c>
      <c r="P58" s="15">
        <v>1</v>
      </c>
      <c r="Q58" s="15">
        <v>0</v>
      </c>
      <c r="R58" s="15">
        <v>0</v>
      </c>
      <c r="S58" s="15">
        <v>0</v>
      </c>
    </row>
    <row r="59" spans="1:19" x14ac:dyDescent="0.25">
      <c r="A59" t="s">
        <v>10</v>
      </c>
      <c r="B59" t="s">
        <v>74</v>
      </c>
      <c r="C59" s="15">
        <v>2</v>
      </c>
      <c r="D59" s="15">
        <v>5.75</v>
      </c>
      <c r="E59" s="15">
        <v>2.8284271247461301E-2</v>
      </c>
      <c r="F59" s="15">
        <v>9.5850000000000009</v>
      </c>
      <c r="G59" s="15">
        <v>0.57275649276110396</v>
      </c>
      <c r="H59" s="15">
        <v>0.6</v>
      </c>
      <c r="I59" s="15">
        <v>4.2426406871192902E-2</v>
      </c>
      <c r="J59" s="15">
        <v>2.4700000000000002</v>
      </c>
      <c r="K59" s="15">
        <v>0.15556349186104099</v>
      </c>
      <c r="L59" s="15">
        <v>63</v>
      </c>
      <c r="M59" s="15">
        <v>12.7279220613579</v>
      </c>
      <c r="N59" s="15">
        <v>48.5</v>
      </c>
      <c r="O59" s="15">
        <v>3.53553390593274</v>
      </c>
      <c r="P59" s="15">
        <v>0</v>
      </c>
      <c r="Q59" s="15">
        <v>1</v>
      </c>
      <c r="R59" s="15">
        <v>0</v>
      </c>
      <c r="S59" s="15">
        <v>0</v>
      </c>
    </row>
    <row r="60" spans="1:19" x14ac:dyDescent="0.25">
      <c r="A60" t="s">
        <v>10</v>
      </c>
      <c r="B60" t="s">
        <v>177</v>
      </c>
      <c r="C60" s="15">
        <v>5</v>
      </c>
      <c r="D60" s="15">
        <v>5.8419999999999996</v>
      </c>
      <c r="E60" s="15">
        <v>1.6035335980265599</v>
      </c>
      <c r="F60" s="15">
        <v>9.3460000000000001</v>
      </c>
      <c r="G60" s="15">
        <v>1.5605223484461901</v>
      </c>
      <c r="H60" s="15">
        <v>0.62</v>
      </c>
      <c r="I60" s="15">
        <v>7.71362431027076E-2</v>
      </c>
      <c r="J60" s="15">
        <v>2.3559999999999999</v>
      </c>
      <c r="K60" s="15">
        <v>0.59697571139871297</v>
      </c>
      <c r="L60" s="15">
        <v>104.8</v>
      </c>
      <c r="M60" s="15">
        <v>33.8408037729602</v>
      </c>
      <c r="N60" s="15">
        <v>55.2</v>
      </c>
      <c r="O60" s="15">
        <v>12.794530081249601</v>
      </c>
      <c r="P60" s="15">
        <v>0</v>
      </c>
      <c r="Q60" s="15">
        <v>0</v>
      </c>
      <c r="R60" s="15">
        <v>0</v>
      </c>
      <c r="S60" s="15">
        <v>1</v>
      </c>
    </row>
    <row r="61" spans="1:19" x14ac:dyDescent="0.25">
      <c r="A61" t="s">
        <v>10</v>
      </c>
      <c r="B61" t="s">
        <v>98</v>
      </c>
      <c r="C61" s="15">
        <v>4</v>
      </c>
      <c r="D61" s="15">
        <v>5.89</v>
      </c>
      <c r="E61" s="15" t="s">
        <v>8</v>
      </c>
      <c r="F61" s="15">
        <v>7.9074999999999998</v>
      </c>
      <c r="G61" s="15">
        <v>2.0317049490514099</v>
      </c>
      <c r="H61" s="15">
        <v>0.6</v>
      </c>
      <c r="I61" s="15" t="s">
        <v>8</v>
      </c>
      <c r="J61" s="15">
        <v>2.1949999999999998</v>
      </c>
      <c r="K61" s="15">
        <v>0.48925112842656399</v>
      </c>
      <c r="L61" s="15">
        <v>183.5</v>
      </c>
      <c r="M61" s="15">
        <v>56.056519097544196</v>
      </c>
      <c r="N61" s="15">
        <v>37.25</v>
      </c>
      <c r="O61" s="15">
        <v>7.08872343937891</v>
      </c>
      <c r="P61" s="15">
        <v>0</v>
      </c>
      <c r="Q61" s="15">
        <v>0</v>
      </c>
      <c r="R61" s="15">
        <v>0</v>
      </c>
      <c r="S61" s="15">
        <v>1</v>
      </c>
    </row>
    <row r="62" spans="1:19" x14ac:dyDescent="0.25">
      <c r="A62" t="s">
        <v>10</v>
      </c>
      <c r="B62" t="s">
        <v>304</v>
      </c>
      <c r="C62" s="15">
        <v>1</v>
      </c>
      <c r="D62" s="15">
        <v>5.95</v>
      </c>
      <c r="E62" s="15" t="s">
        <v>8</v>
      </c>
      <c r="F62" s="15">
        <v>10.33</v>
      </c>
      <c r="G62" s="15" t="s">
        <v>8</v>
      </c>
      <c r="H62" s="15">
        <v>0.57999999999999996</v>
      </c>
      <c r="I62" s="15" t="s">
        <v>8</v>
      </c>
      <c r="J62" s="15">
        <v>2.31</v>
      </c>
      <c r="K62" s="15" t="s">
        <v>8</v>
      </c>
      <c r="L62" s="15">
        <v>82</v>
      </c>
      <c r="M62" s="15" t="s">
        <v>8</v>
      </c>
      <c r="N62" s="15">
        <v>52</v>
      </c>
      <c r="O62" s="15" t="s">
        <v>8</v>
      </c>
      <c r="P62" s="15">
        <v>1</v>
      </c>
      <c r="Q62" s="15">
        <v>1</v>
      </c>
      <c r="R62" s="15">
        <v>0</v>
      </c>
      <c r="S62" s="15">
        <v>0</v>
      </c>
    </row>
    <row r="63" spans="1:19" x14ac:dyDescent="0.25">
      <c r="A63" t="s">
        <v>10</v>
      </c>
      <c r="B63" t="s">
        <v>179</v>
      </c>
      <c r="C63" s="15">
        <v>2</v>
      </c>
      <c r="D63" s="15">
        <v>5.95</v>
      </c>
      <c r="E63" s="15">
        <v>0</v>
      </c>
      <c r="F63" s="15">
        <v>7.5650000000000004</v>
      </c>
      <c r="G63" s="15">
        <v>0.55861435713737295</v>
      </c>
      <c r="H63" s="15">
        <v>0.79</v>
      </c>
      <c r="I63" s="15">
        <v>5.6568542494923803E-2</v>
      </c>
      <c r="J63" s="15">
        <v>3.0049999999999999</v>
      </c>
      <c r="K63" s="15">
        <v>2.1213203435596299E-2</v>
      </c>
      <c r="L63" s="15">
        <v>118</v>
      </c>
      <c r="M63" s="15">
        <v>8.4852813742385695</v>
      </c>
      <c r="N63" s="15">
        <v>90.5</v>
      </c>
      <c r="O63" s="15">
        <v>3.53553390593274</v>
      </c>
      <c r="P63" s="15">
        <v>0</v>
      </c>
      <c r="Q63" s="15">
        <v>1</v>
      </c>
      <c r="R63" s="15">
        <v>0</v>
      </c>
      <c r="S63" s="15">
        <v>0</v>
      </c>
    </row>
    <row r="64" spans="1:19" x14ac:dyDescent="0.25">
      <c r="A64" t="s">
        <v>10</v>
      </c>
      <c r="B64" t="s">
        <v>180</v>
      </c>
      <c r="C64" s="15">
        <v>1</v>
      </c>
      <c r="D64" s="15">
        <v>5.95</v>
      </c>
      <c r="E64" s="15" t="s">
        <v>8</v>
      </c>
      <c r="F64" s="15">
        <v>8.89</v>
      </c>
      <c r="G64" s="15" t="s">
        <v>8</v>
      </c>
      <c r="H64" s="15">
        <v>0.67</v>
      </c>
      <c r="I64" s="15" t="s">
        <v>8</v>
      </c>
      <c r="J64" s="15">
        <v>2.38</v>
      </c>
      <c r="K64" s="15" t="s">
        <v>8</v>
      </c>
      <c r="L64" s="15">
        <v>68</v>
      </c>
      <c r="M64" s="15" t="s">
        <v>8</v>
      </c>
      <c r="N64" s="15">
        <v>60</v>
      </c>
      <c r="O64" s="15" t="s">
        <v>8</v>
      </c>
      <c r="P64" s="15">
        <v>0</v>
      </c>
      <c r="Q64" s="15">
        <v>1</v>
      </c>
      <c r="R64" s="15">
        <v>0</v>
      </c>
      <c r="S64" s="15">
        <v>0</v>
      </c>
    </row>
    <row r="65" spans="1:19" x14ac:dyDescent="0.25">
      <c r="A65" t="s">
        <v>10</v>
      </c>
      <c r="B65" t="s">
        <v>207</v>
      </c>
      <c r="C65" s="15">
        <v>2</v>
      </c>
      <c r="D65" s="15">
        <v>5.96</v>
      </c>
      <c r="E65" s="15">
        <v>0.25455844122715698</v>
      </c>
      <c r="F65" s="15">
        <v>11.23</v>
      </c>
      <c r="G65" s="15">
        <v>0.22627416997969499</v>
      </c>
      <c r="H65" s="15">
        <v>0.53</v>
      </c>
      <c r="I65" s="15">
        <v>1.4142135623730999E-2</v>
      </c>
      <c r="J65" s="15">
        <v>2.0150000000000001</v>
      </c>
      <c r="K65" s="15">
        <v>7.0710678118656401E-3</v>
      </c>
      <c r="L65" s="15">
        <v>160</v>
      </c>
      <c r="M65" s="15">
        <v>14.142135623731001</v>
      </c>
      <c r="N65" s="15">
        <v>46</v>
      </c>
      <c r="O65" s="15">
        <v>12.7279220613579</v>
      </c>
      <c r="P65" s="15">
        <v>0</v>
      </c>
      <c r="Q65" s="15">
        <v>0</v>
      </c>
      <c r="R65" s="15">
        <v>1</v>
      </c>
      <c r="S65" s="15">
        <v>0</v>
      </c>
    </row>
    <row r="66" spans="1:19" x14ac:dyDescent="0.25">
      <c r="A66" t="s">
        <v>10</v>
      </c>
      <c r="B66" t="s">
        <v>135</v>
      </c>
      <c r="C66" s="15">
        <v>3</v>
      </c>
      <c r="D66" s="15">
        <v>5.98</v>
      </c>
      <c r="E66" s="15" t="s">
        <v>8</v>
      </c>
      <c r="F66" s="15">
        <v>12.1133333333333</v>
      </c>
      <c r="G66" s="15">
        <v>1.2814965209993101</v>
      </c>
      <c r="H66" s="15">
        <v>0.48</v>
      </c>
      <c r="I66" s="15" t="s">
        <v>8</v>
      </c>
      <c r="J66" s="15">
        <v>2.0833333333333299</v>
      </c>
      <c r="K66" s="15">
        <v>0.21126602503321101</v>
      </c>
      <c r="L66" s="15">
        <v>161.666666666667</v>
      </c>
      <c r="M66" s="15">
        <v>4.7258156262526096</v>
      </c>
      <c r="N66" s="15">
        <v>55</v>
      </c>
      <c r="O66" s="15">
        <v>1.7320508075688801</v>
      </c>
      <c r="P66" s="15">
        <v>0</v>
      </c>
      <c r="Q66" s="15">
        <v>0</v>
      </c>
      <c r="R66" s="15">
        <v>0</v>
      </c>
      <c r="S66" s="15">
        <v>1</v>
      </c>
    </row>
    <row r="67" spans="1:19" x14ac:dyDescent="0.25">
      <c r="A67" t="s">
        <v>10</v>
      </c>
      <c r="B67" t="s">
        <v>51</v>
      </c>
      <c r="C67" s="15">
        <v>5</v>
      </c>
      <c r="D67" s="15">
        <v>6.0133333333333301</v>
      </c>
      <c r="E67" s="15">
        <v>0.54307764945110104</v>
      </c>
      <c r="F67" s="15">
        <v>12.212</v>
      </c>
      <c r="G67" s="15">
        <v>1.38617098512413</v>
      </c>
      <c r="H67" s="15">
        <v>0.47666666666666702</v>
      </c>
      <c r="I67" s="15">
        <v>2.3094010767585001E-2</v>
      </c>
      <c r="J67" s="15">
        <v>2.0419999999999998</v>
      </c>
      <c r="K67" s="15">
        <v>8.1055536516637799E-2</v>
      </c>
      <c r="L67" s="15">
        <v>121</v>
      </c>
      <c r="M67" s="15">
        <v>23.6220236220354</v>
      </c>
      <c r="N67" s="15">
        <v>55.6</v>
      </c>
      <c r="O67" s="15">
        <v>10.2371871136558</v>
      </c>
      <c r="P67" s="15">
        <v>0</v>
      </c>
      <c r="Q67" s="15">
        <v>0</v>
      </c>
      <c r="R67" s="15">
        <v>1</v>
      </c>
      <c r="S67" s="15">
        <v>0</v>
      </c>
    </row>
    <row r="68" spans="1:19" x14ac:dyDescent="0.25">
      <c r="A68" t="s">
        <v>10</v>
      </c>
      <c r="B68" t="s">
        <v>20</v>
      </c>
      <c r="C68" s="15">
        <v>4</v>
      </c>
      <c r="D68" s="15">
        <v>6.0774999999999997</v>
      </c>
      <c r="E68" s="15">
        <v>1.08096793045246</v>
      </c>
      <c r="F68" s="15">
        <v>10.46</v>
      </c>
      <c r="G68" s="15">
        <v>2.8099110306200101</v>
      </c>
      <c r="H68" s="15">
        <v>0.62749999999999995</v>
      </c>
      <c r="I68" s="15">
        <v>0.26183646295604701</v>
      </c>
      <c r="J68" s="15">
        <v>1.7524999999999999</v>
      </c>
      <c r="K68" s="15">
        <v>0.18282505298782201</v>
      </c>
      <c r="L68" s="15">
        <v>190.75</v>
      </c>
      <c r="M68" s="15">
        <v>26.0432332862108</v>
      </c>
      <c r="N68" s="15">
        <v>36.75</v>
      </c>
      <c r="O68" s="15">
        <v>12.038133853162901</v>
      </c>
      <c r="P68" s="15">
        <v>0</v>
      </c>
      <c r="Q68" s="15">
        <v>0</v>
      </c>
      <c r="R68" s="15">
        <v>0</v>
      </c>
      <c r="S68" s="15">
        <v>1</v>
      </c>
    </row>
    <row r="69" spans="1:19" x14ac:dyDescent="0.25">
      <c r="A69" t="s">
        <v>10</v>
      </c>
      <c r="B69" t="s">
        <v>261</v>
      </c>
      <c r="C69" s="15">
        <v>2</v>
      </c>
      <c r="D69" s="15">
        <v>6.21</v>
      </c>
      <c r="E69" s="15" t="s">
        <v>8</v>
      </c>
      <c r="F69" s="15">
        <v>13.01</v>
      </c>
      <c r="G69" s="15">
        <v>0.339411254969543</v>
      </c>
      <c r="H69" s="15">
        <v>0.49</v>
      </c>
      <c r="I69" s="15" t="s">
        <v>8</v>
      </c>
      <c r="J69" s="15">
        <v>2.0150000000000001</v>
      </c>
      <c r="K69" s="15">
        <v>6.3639610306789302E-2</v>
      </c>
      <c r="L69" s="15">
        <v>98.5</v>
      </c>
      <c r="M69" s="15">
        <v>12.0208152801713</v>
      </c>
      <c r="N69" s="15">
        <v>64.5</v>
      </c>
      <c r="O69" s="15">
        <v>7.7781745930520199</v>
      </c>
      <c r="P69" s="15">
        <v>0</v>
      </c>
      <c r="Q69" s="15">
        <v>0</v>
      </c>
      <c r="R69" s="15">
        <v>1</v>
      </c>
      <c r="S69" s="15">
        <v>0</v>
      </c>
    </row>
    <row r="70" spans="1:19" x14ac:dyDescent="0.25">
      <c r="A70" t="s">
        <v>10</v>
      </c>
      <c r="B70" t="s">
        <v>33</v>
      </c>
      <c r="C70" s="15">
        <v>2</v>
      </c>
      <c r="D70" s="15">
        <v>6.23</v>
      </c>
      <c r="E70" s="15" t="s">
        <v>8</v>
      </c>
      <c r="F70" s="15">
        <v>10.685</v>
      </c>
      <c r="G70" s="15">
        <v>0.51618795026618003</v>
      </c>
      <c r="H70" s="15">
        <v>0.56000000000000005</v>
      </c>
      <c r="I70" s="15" t="s">
        <v>8</v>
      </c>
      <c r="J70" s="15">
        <v>1.94</v>
      </c>
      <c r="K70" s="15">
        <v>4.2426406871192902E-2</v>
      </c>
      <c r="L70" s="15">
        <v>122</v>
      </c>
      <c r="M70" s="15">
        <v>8.4852813742385695</v>
      </c>
      <c r="N70" s="15">
        <v>65</v>
      </c>
      <c r="O70" s="15">
        <v>1.4142135623731</v>
      </c>
      <c r="P70" s="15">
        <v>1</v>
      </c>
      <c r="Q70" s="15">
        <v>0</v>
      </c>
      <c r="R70" s="15">
        <v>0</v>
      </c>
      <c r="S70" s="15">
        <v>0</v>
      </c>
    </row>
    <row r="71" spans="1:19" x14ac:dyDescent="0.25">
      <c r="A71" t="s">
        <v>10</v>
      </c>
      <c r="B71" t="s">
        <v>176</v>
      </c>
      <c r="C71" s="15">
        <v>4</v>
      </c>
      <c r="D71" s="15">
        <v>6.29</v>
      </c>
      <c r="E71" s="15">
        <v>1.1536463929645</v>
      </c>
      <c r="F71" s="15">
        <v>12.95</v>
      </c>
      <c r="G71" s="15">
        <v>9.2939335052495409</v>
      </c>
      <c r="H71" s="15">
        <v>0.55666666666666698</v>
      </c>
      <c r="I71" s="15">
        <v>0.24214320831552</v>
      </c>
      <c r="J71" s="15">
        <v>2.2850000000000001</v>
      </c>
      <c r="K71" s="15">
        <v>0.41227013797589901</v>
      </c>
      <c r="L71" s="15">
        <v>82</v>
      </c>
      <c r="M71" s="15">
        <v>23.607908279501</v>
      </c>
      <c r="N71" s="15">
        <v>78.5</v>
      </c>
      <c r="O71" s="15">
        <v>27.910571473905701</v>
      </c>
      <c r="P71" s="15">
        <v>0</v>
      </c>
      <c r="Q71" s="15">
        <v>0</v>
      </c>
      <c r="R71" s="15">
        <v>0</v>
      </c>
      <c r="S71" s="15">
        <v>1</v>
      </c>
    </row>
    <row r="72" spans="1:19" x14ac:dyDescent="0.25">
      <c r="A72" t="s">
        <v>10</v>
      </c>
      <c r="B72" t="s">
        <v>109</v>
      </c>
      <c r="C72" s="15">
        <v>2</v>
      </c>
      <c r="D72" s="15">
        <v>6.32</v>
      </c>
      <c r="E72" s="15" t="s">
        <v>8</v>
      </c>
      <c r="F72" s="15">
        <v>8.3450000000000006</v>
      </c>
      <c r="G72" s="15">
        <v>1.0253048327204899</v>
      </c>
      <c r="H72" s="15">
        <v>0.83</v>
      </c>
      <c r="I72" s="15" t="s">
        <v>8</v>
      </c>
      <c r="J72" s="15">
        <v>3.25</v>
      </c>
      <c r="K72" s="15">
        <v>0.14142135623731</v>
      </c>
      <c r="L72" s="15">
        <v>121.5</v>
      </c>
      <c r="M72" s="15">
        <v>12.0208152801713</v>
      </c>
      <c r="N72" s="15">
        <v>124.5</v>
      </c>
      <c r="O72" s="15">
        <v>2.1213203435596402</v>
      </c>
      <c r="P72" s="15">
        <v>1</v>
      </c>
      <c r="Q72" s="15">
        <v>1</v>
      </c>
      <c r="R72" s="15">
        <v>0</v>
      </c>
      <c r="S72" s="15">
        <v>0</v>
      </c>
    </row>
    <row r="73" spans="1:19" x14ac:dyDescent="0.25">
      <c r="A73" t="s">
        <v>10</v>
      </c>
      <c r="B73" t="s">
        <v>277</v>
      </c>
      <c r="C73" s="15">
        <v>1</v>
      </c>
      <c r="D73" s="15">
        <v>6.32</v>
      </c>
      <c r="E73" s="15" t="s">
        <v>8</v>
      </c>
      <c r="F73" s="15">
        <v>12.8</v>
      </c>
      <c r="G73" s="15" t="s">
        <v>8</v>
      </c>
      <c r="H73" s="15">
        <v>0.49</v>
      </c>
      <c r="I73" s="15" t="s">
        <v>8</v>
      </c>
      <c r="J73" s="15">
        <v>2.71</v>
      </c>
      <c r="K73" s="15" t="s">
        <v>8</v>
      </c>
      <c r="L73" s="15">
        <v>106</v>
      </c>
      <c r="M73" s="15" t="s">
        <v>8</v>
      </c>
      <c r="N73" s="15">
        <v>131</v>
      </c>
      <c r="O73" s="15" t="s">
        <v>8</v>
      </c>
      <c r="P73" s="15">
        <v>1</v>
      </c>
      <c r="Q73" s="15">
        <v>1</v>
      </c>
      <c r="R73" s="15">
        <v>0</v>
      </c>
      <c r="S73" s="15">
        <v>0</v>
      </c>
    </row>
    <row r="74" spans="1:19" x14ac:dyDescent="0.25">
      <c r="A74" t="s">
        <v>10</v>
      </c>
      <c r="B74" t="s">
        <v>110</v>
      </c>
      <c r="C74" s="15">
        <v>3</v>
      </c>
      <c r="D74" s="15">
        <v>6.32</v>
      </c>
      <c r="E74" s="15">
        <v>0</v>
      </c>
      <c r="F74" s="15">
        <v>13.1666666666667</v>
      </c>
      <c r="G74" s="15">
        <v>0.90974355360911097</v>
      </c>
      <c r="H74" s="15">
        <v>0.48</v>
      </c>
      <c r="I74" s="15">
        <v>3.6055512754639897E-2</v>
      </c>
      <c r="J74" s="15">
        <v>2.6333333333333302</v>
      </c>
      <c r="K74" s="15">
        <v>0.12423096769056099</v>
      </c>
      <c r="L74" s="15">
        <v>90.3333333333333</v>
      </c>
      <c r="M74" s="15">
        <v>5.1316014394468796</v>
      </c>
      <c r="N74" s="15">
        <v>111.666666666667</v>
      </c>
      <c r="O74" s="15">
        <v>4.7258156262526096</v>
      </c>
      <c r="P74" s="15">
        <v>1</v>
      </c>
      <c r="Q74" s="15">
        <v>1</v>
      </c>
      <c r="R74" s="15">
        <v>0</v>
      </c>
      <c r="S74" s="15">
        <v>0</v>
      </c>
    </row>
    <row r="75" spans="1:19" x14ac:dyDescent="0.25">
      <c r="A75" t="s">
        <v>10</v>
      </c>
      <c r="B75" t="s">
        <v>55</v>
      </c>
      <c r="C75" s="15">
        <v>3</v>
      </c>
      <c r="D75" s="15">
        <v>6.33</v>
      </c>
      <c r="E75" s="15">
        <v>0.294618397253125</v>
      </c>
      <c r="F75" s="15">
        <v>12.713333333333299</v>
      </c>
      <c r="G75" s="15">
        <v>0.36018513757973603</v>
      </c>
      <c r="H75" s="15">
        <v>0.5</v>
      </c>
      <c r="I75" s="15">
        <v>1.7320508075688801E-2</v>
      </c>
      <c r="J75" s="15">
        <v>2.59</v>
      </c>
      <c r="K75" s="15">
        <v>7.5498344352707705E-2</v>
      </c>
      <c r="L75" s="15">
        <v>53</v>
      </c>
      <c r="M75" s="15">
        <v>11.2694276695846</v>
      </c>
      <c r="N75" s="15">
        <v>28.6666666666667</v>
      </c>
      <c r="O75" s="15">
        <v>6.4291005073286396</v>
      </c>
      <c r="P75" s="15">
        <v>0</v>
      </c>
      <c r="Q75" s="15">
        <v>0</v>
      </c>
      <c r="R75" s="15">
        <v>1</v>
      </c>
      <c r="S75" s="15">
        <v>0</v>
      </c>
    </row>
    <row r="76" spans="1:19" x14ac:dyDescent="0.25">
      <c r="A76" t="s">
        <v>10</v>
      </c>
      <c r="B76" t="s">
        <v>105</v>
      </c>
      <c r="C76" s="15">
        <v>1</v>
      </c>
      <c r="D76" s="15">
        <v>6.36</v>
      </c>
      <c r="E76" s="15" t="s">
        <v>8</v>
      </c>
      <c r="F76" s="15">
        <v>10.45</v>
      </c>
      <c r="G76" s="15" t="s">
        <v>8</v>
      </c>
      <c r="H76" s="15">
        <v>0.61</v>
      </c>
      <c r="I76" s="15" t="s">
        <v>8</v>
      </c>
      <c r="J76" s="15">
        <v>2.19</v>
      </c>
      <c r="K76" s="15" t="s">
        <v>8</v>
      </c>
      <c r="L76" s="15">
        <v>160</v>
      </c>
      <c r="M76" s="15" t="s">
        <v>8</v>
      </c>
      <c r="N76" s="15">
        <v>49</v>
      </c>
      <c r="O76" s="15" t="s">
        <v>8</v>
      </c>
      <c r="P76" s="15">
        <v>1</v>
      </c>
      <c r="Q76" s="15">
        <v>0</v>
      </c>
      <c r="R76" s="15">
        <v>0</v>
      </c>
      <c r="S76" s="15">
        <v>0</v>
      </c>
    </row>
    <row r="77" spans="1:19" x14ac:dyDescent="0.25">
      <c r="A77" t="s">
        <v>10</v>
      </c>
      <c r="B77" t="s">
        <v>201</v>
      </c>
      <c r="C77" s="15">
        <v>3</v>
      </c>
      <c r="D77" s="15">
        <v>6.4</v>
      </c>
      <c r="E77" s="15">
        <v>0.36769552621700502</v>
      </c>
      <c r="F77" s="15">
        <v>8.4533333333333296</v>
      </c>
      <c r="G77" s="15">
        <v>1.04025637865544</v>
      </c>
      <c r="H77" s="15">
        <v>0.76500000000000001</v>
      </c>
      <c r="I77" s="15">
        <v>9.1923881554251199E-2</v>
      </c>
      <c r="J77" s="15">
        <v>2.0933333333333302</v>
      </c>
      <c r="K77" s="15">
        <v>0.13203534880225601</v>
      </c>
      <c r="L77" s="15">
        <v>104.666666666667</v>
      </c>
      <c r="M77" s="15">
        <v>23.860706890897699</v>
      </c>
      <c r="N77" s="15">
        <v>55.6666666666667</v>
      </c>
      <c r="O77" s="15">
        <v>10.5039675043925</v>
      </c>
      <c r="P77" s="15">
        <v>1</v>
      </c>
      <c r="Q77" s="15">
        <v>0</v>
      </c>
      <c r="R77" s="15">
        <v>0</v>
      </c>
      <c r="S77" s="15">
        <v>0</v>
      </c>
    </row>
    <row r="78" spans="1:19" x14ac:dyDescent="0.25">
      <c r="A78" t="s">
        <v>10</v>
      </c>
      <c r="B78" t="s">
        <v>43</v>
      </c>
      <c r="C78" s="15">
        <v>3</v>
      </c>
      <c r="D78" s="15">
        <v>6.56</v>
      </c>
      <c r="E78" s="15" t="s">
        <v>8</v>
      </c>
      <c r="F78" s="15">
        <v>8.89</v>
      </c>
      <c r="G78" s="15">
        <v>0.67223507793033199</v>
      </c>
      <c r="H78" s="15">
        <v>0.76</v>
      </c>
      <c r="I78" s="15" t="s">
        <v>8</v>
      </c>
      <c r="J78" s="15">
        <v>2.9566666666666701</v>
      </c>
      <c r="K78" s="15">
        <v>0.283078316607495</v>
      </c>
      <c r="L78" s="15">
        <v>62.3333333333333</v>
      </c>
      <c r="M78" s="15">
        <v>1.5275252316519501</v>
      </c>
      <c r="N78" s="15">
        <v>113.333333333333</v>
      </c>
      <c r="O78" s="15">
        <v>15.502687938977999</v>
      </c>
      <c r="P78" s="15">
        <v>1</v>
      </c>
      <c r="Q78" s="15">
        <v>1</v>
      </c>
      <c r="R78" s="15">
        <v>0</v>
      </c>
      <c r="S78" s="15">
        <v>0</v>
      </c>
    </row>
    <row r="79" spans="1:19" x14ac:dyDescent="0.25">
      <c r="A79" t="s">
        <v>10</v>
      </c>
      <c r="B79" t="s">
        <v>12</v>
      </c>
      <c r="C79" s="15">
        <v>3</v>
      </c>
      <c r="D79" s="15">
        <v>6.75</v>
      </c>
      <c r="E79" s="15" t="s">
        <v>8</v>
      </c>
      <c r="F79" s="15">
        <v>12.206666666666701</v>
      </c>
      <c r="G79" s="15">
        <v>0.29022979401387</v>
      </c>
      <c r="H79" s="15">
        <v>0.54</v>
      </c>
      <c r="I79" s="15" t="s">
        <v>8</v>
      </c>
      <c r="J79" s="15">
        <v>2.2200000000000002</v>
      </c>
      <c r="K79" s="15">
        <v>5.2915026221291697E-2</v>
      </c>
      <c r="L79" s="15">
        <v>43.6666666666667</v>
      </c>
      <c r="M79" s="15">
        <v>4.5092497528228899</v>
      </c>
      <c r="N79" s="15">
        <v>37.6666666666667</v>
      </c>
      <c r="O79" s="15">
        <v>3.5118845842842501</v>
      </c>
      <c r="P79" s="15">
        <v>1</v>
      </c>
      <c r="Q79" s="15">
        <v>1</v>
      </c>
      <c r="R79" s="15">
        <v>0</v>
      </c>
      <c r="S79" s="15">
        <v>0</v>
      </c>
    </row>
    <row r="80" spans="1:19" x14ac:dyDescent="0.25">
      <c r="A80" t="s">
        <v>10</v>
      </c>
      <c r="B80" t="s">
        <v>56</v>
      </c>
      <c r="C80" s="15">
        <v>2</v>
      </c>
      <c r="D80" s="15">
        <v>6.77</v>
      </c>
      <c r="E80" s="15">
        <v>0</v>
      </c>
      <c r="F80" s="15">
        <v>16.975000000000001</v>
      </c>
      <c r="G80" s="15">
        <v>0.96873629022557095</v>
      </c>
      <c r="H80" s="15">
        <v>0.4</v>
      </c>
      <c r="I80" s="15">
        <v>2.8284271247461901E-2</v>
      </c>
      <c r="J80" s="15">
        <v>2.7149999999999999</v>
      </c>
      <c r="K80" s="15">
        <v>0.205060966544099</v>
      </c>
      <c r="L80" s="15">
        <v>84</v>
      </c>
      <c r="M80" s="15">
        <v>14.142135623731001</v>
      </c>
      <c r="N80" s="15">
        <v>58</v>
      </c>
      <c r="O80" s="15">
        <v>9.8994949366116707</v>
      </c>
      <c r="P80" s="15">
        <v>0</v>
      </c>
      <c r="Q80" s="15">
        <v>0</v>
      </c>
      <c r="R80" s="15">
        <v>1</v>
      </c>
      <c r="S80" s="15">
        <v>0</v>
      </c>
    </row>
    <row r="81" spans="1:19" x14ac:dyDescent="0.25">
      <c r="A81" t="s">
        <v>10</v>
      </c>
      <c r="B81" t="s">
        <v>90</v>
      </c>
      <c r="C81" s="15">
        <v>2</v>
      </c>
      <c r="D81" s="15">
        <v>6.82</v>
      </c>
      <c r="E81" s="15" t="s">
        <v>8</v>
      </c>
      <c r="F81" s="15">
        <v>14.03</v>
      </c>
      <c r="G81" s="15">
        <v>1.1455129855222099</v>
      </c>
      <c r="H81" s="15">
        <v>0.46</v>
      </c>
      <c r="I81" s="15" t="s">
        <v>8</v>
      </c>
      <c r="J81" s="15">
        <v>1.93</v>
      </c>
      <c r="K81" s="15">
        <v>1.4142135623730999E-2</v>
      </c>
      <c r="L81" s="15">
        <v>121.5</v>
      </c>
      <c r="M81" s="15">
        <v>13.4350288425444</v>
      </c>
      <c r="N81" s="15">
        <v>55.5</v>
      </c>
      <c r="O81" s="15">
        <v>10.606601717798201</v>
      </c>
      <c r="P81" s="15">
        <v>1</v>
      </c>
      <c r="Q81" s="15">
        <v>0</v>
      </c>
      <c r="R81" s="15">
        <v>0</v>
      </c>
      <c r="S81" s="15">
        <v>0</v>
      </c>
    </row>
    <row r="82" spans="1:19" x14ac:dyDescent="0.25">
      <c r="A82" t="s">
        <v>10</v>
      </c>
      <c r="B82" t="s">
        <v>93</v>
      </c>
      <c r="C82" s="15">
        <v>2</v>
      </c>
      <c r="D82" s="15">
        <v>6.82</v>
      </c>
      <c r="E82" s="15" t="s">
        <v>8</v>
      </c>
      <c r="F82" s="15">
        <v>10.47</v>
      </c>
      <c r="G82" s="15">
        <v>1.15965512114594</v>
      </c>
      <c r="H82" s="15">
        <v>0.71</v>
      </c>
      <c r="I82" s="15" t="s">
        <v>8</v>
      </c>
      <c r="J82" s="15">
        <v>2.2799999999999998</v>
      </c>
      <c r="K82" s="15">
        <v>4.2426406871192902E-2</v>
      </c>
      <c r="L82" s="15">
        <v>100</v>
      </c>
      <c r="M82" s="15">
        <v>22.627416997969501</v>
      </c>
      <c r="N82" s="15">
        <v>68.5</v>
      </c>
      <c r="O82" s="15">
        <v>13.4350288425444</v>
      </c>
      <c r="P82" s="15">
        <v>0</v>
      </c>
      <c r="Q82" s="15">
        <v>0</v>
      </c>
      <c r="R82" s="15">
        <v>0</v>
      </c>
      <c r="S82" s="15">
        <v>1</v>
      </c>
    </row>
    <row r="83" spans="1:19" x14ac:dyDescent="0.25">
      <c r="A83" t="s">
        <v>10</v>
      </c>
      <c r="B83" t="s">
        <v>215</v>
      </c>
      <c r="C83" s="15">
        <v>1</v>
      </c>
      <c r="D83" s="15">
        <v>6.85</v>
      </c>
      <c r="E83" s="15" t="s">
        <v>8</v>
      </c>
      <c r="F83" s="15">
        <v>11.69</v>
      </c>
      <c r="G83" s="15" t="s">
        <v>8</v>
      </c>
      <c r="H83" s="15">
        <v>0.59</v>
      </c>
      <c r="I83" s="15" t="s">
        <v>8</v>
      </c>
      <c r="J83" s="15">
        <v>2.06</v>
      </c>
      <c r="K83" s="15" t="s">
        <v>8</v>
      </c>
      <c r="L83" s="15">
        <v>70</v>
      </c>
      <c r="M83" s="15" t="s">
        <v>8</v>
      </c>
      <c r="N83" s="15">
        <v>42</v>
      </c>
      <c r="O83" s="15" t="s">
        <v>8</v>
      </c>
      <c r="P83" s="15">
        <v>1</v>
      </c>
      <c r="Q83" s="15">
        <v>0</v>
      </c>
      <c r="R83" s="15">
        <v>0</v>
      </c>
      <c r="S83" s="15">
        <v>0</v>
      </c>
    </row>
    <row r="84" spans="1:19" x14ac:dyDescent="0.25">
      <c r="A84" t="s">
        <v>10</v>
      </c>
      <c r="B84" t="s">
        <v>173</v>
      </c>
      <c r="C84" s="15">
        <v>1</v>
      </c>
      <c r="D84" s="15">
        <v>6.85</v>
      </c>
      <c r="E84" s="15" t="s">
        <v>8</v>
      </c>
      <c r="F84" s="15">
        <v>26.26</v>
      </c>
      <c r="G84" s="15" t="s">
        <v>8</v>
      </c>
      <c r="H84" s="15">
        <v>0.26</v>
      </c>
      <c r="I84" s="15" t="s">
        <v>8</v>
      </c>
      <c r="J84" s="15">
        <v>2.17</v>
      </c>
      <c r="K84" s="15" t="s">
        <v>8</v>
      </c>
      <c r="L84" s="15">
        <v>104</v>
      </c>
      <c r="M84" s="15" t="s">
        <v>8</v>
      </c>
      <c r="N84" s="15">
        <v>148</v>
      </c>
      <c r="O84" s="15" t="s">
        <v>8</v>
      </c>
      <c r="P84" s="15">
        <v>1</v>
      </c>
      <c r="Q84" s="15">
        <v>0</v>
      </c>
      <c r="R84" s="15">
        <v>0</v>
      </c>
      <c r="S84" s="15">
        <v>0</v>
      </c>
    </row>
    <row r="85" spans="1:19" x14ac:dyDescent="0.25">
      <c r="A85" t="s">
        <v>10</v>
      </c>
      <c r="B85" t="s">
        <v>19</v>
      </c>
      <c r="C85" s="15">
        <v>4</v>
      </c>
      <c r="D85" s="15">
        <v>6.8533333333333299</v>
      </c>
      <c r="E85" s="15">
        <v>0.18610033136277099</v>
      </c>
      <c r="F85" s="15">
        <v>9.32</v>
      </c>
      <c r="G85" s="15">
        <v>0.83598245595626397</v>
      </c>
      <c r="H85" s="15">
        <v>0.71666666666666701</v>
      </c>
      <c r="I85" s="15">
        <v>7.3711147958319997E-2</v>
      </c>
      <c r="J85" s="15">
        <v>1.4850000000000001</v>
      </c>
      <c r="K85" s="15">
        <v>0.24351591323771801</v>
      </c>
      <c r="L85" s="15">
        <v>212</v>
      </c>
      <c r="M85" s="15">
        <v>2.8284271247461898</v>
      </c>
      <c r="N85" s="15">
        <v>23.5</v>
      </c>
      <c r="O85" s="15">
        <v>11.1205515450749</v>
      </c>
      <c r="P85" s="15">
        <v>0</v>
      </c>
      <c r="Q85" s="15">
        <v>0</v>
      </c>
      <c r="R85" s="15">
        <v>0</v>
      </c>
      <c r="S85" s="15">
        <v>1</v>
      </c>
    </row>
    <row r="86" spans="1:19" x14ac:dyDescent="0.25">
      <c r="A86" t="s">
        <v>10</v>
      </c>
      <c r="B86" t="s">
        <v>63</v>
      </c>
      <c r="C86" s="15">
        <v>2</v>
      </c>
      <c r="D86" s="15">
        <v>6.875</v>
      </c>
      <c r="E86" s="15">
        <v>1.22329473145273</v>
      </c>
      <c r="F86" s="15">
        <v>9.7349999999999994</v>
      </c>
      <c r="G86" s="15">
        <v>1.0253048327204899</v>
      </c>
      <c r="H86" s="15">
        <v>0.71499999999999997</v>
      </c>
      <c r="I86" s="15">
        <v>0.205060966544099</v>
      </c>
      <c r="J86" s="15">
        <v>3</v>
      </c>
      <c r="K86" s="15">
        <v>9.89949493661164E-2</v>
      </c>
      <c r="L86" s="15">
        <v>149.5</v>
      </c>
      <c r="M86" s="15">
        <v>6.3639610306789303</v>
      </c>
      <c r="N86" s="15">
        <v>110.5</v>
      </c>
      <c r="O86" s="15">
        <v>2.1213203435596402</v>
      </c>
      <c r="P86" s="15">
        <v>1</v>
      </c>
      <c r="Q86" s="15">
        <v>1</v>
      </c>
      <c r="R86" s="15">
        <v>0</v>
      </c>
      <c r="S86" s="15">
        <v>0</v>
      </c>
    </row>
    <row r="87" spans="1:19" x14ac:dyDescent="0.25">
      <c r="A87" t="s">
        <v>10</v>
      </c>
      <c r="B87" t="s">
        <v>40</v>
      </c>
      <c r="C87" s="15">
        <v>2</v>
      </c>
      <c r="D87" s="15">
        <v>6.915</v>
      </c>
      <c r="E87" s="15">
        <v>6.3639610306789204E-2</v>
      </c>
      <c r="F87" s="15">
        <v>13.914999999999999</v>
      </c>
      <c r="G87" s="15">
        <v>2.1283914113715099</v>
      </c>
      <c r="H87" s="15">
        <v>0.5</v>
      </c>
      <c r="I87" s="15">
        <v>7.0710678118654793E-2</v>
      </c>
      <c r="J87" s="15">
        <v>2.08</v>
      </c>
      <c r="K87" s="15">
        <v>8.4852813742385805E-2</v>
      </c>
      <c r="L87" s="15">
        <v>59.5</v>
      </c>
      <c r="M87" s="15">
        <v>2.1213203435596402</v>
      </c>
      <c r="N87" s="15">
        <v>50.5</v>
      </c>
      <c r="O87" s="15">
        <v>2.1213203435596402</v>
      </c>
      <c r="P87" s="15">
        <v>1</v>
      </c>
      <c r="Q87" s="15">
        <v>1</v>
      </c>
      <c r="R87" s="15">
        <v>0</v>
      </c>
      <c r="S87" s="15">
        <v>0</v>
      </c>
    </row>
    <row r="88" spans="1:19" x14ac:dyDescent="0.25">
      <c r="A88" t="s">
        <v>10</v>
      </c>
      <c r="B88" t="s">
        <v>257</v>
      </c>
      <c r="C88" s="15">
        <v>2</v>
      </c>
      <c r="D88" s="15">
        <v>6.93</v>
      </c>
      <c r="E88" s="15" t="s">
        <v>8</v>
      </c>
      <c r="F88" s="15">
        <v>13.86</v>
      </c>
      <c r="G88" s="15">
        <v>1.76776695296637</v>
      </c>
      <c r="H88" s="15">
        <v>0.55000000000000004</v>
      </c>
      <c r="I88" s="15" t="s">
        <v>8</v>
      </c>
      <c r="J88" s="15">
        <v>2.0449999999999999</v>
      </c>
      <c r="K88" s="15">
        <v>0.106066017177982</v>
      </c>
      <c r="L88" s="15">
        <v>86</v>
      </c>
      <c r="M88" s="15">
        <v>19.798989873223299</v>
      </c>
      <c r="N88" s="15">
        <v>64</v>
      </c>
      <c r="O88" s="15">
        <v>16.9705627484771</v>
      </c>
      <c r="P88" s="15">
        <v>1</v>
      </c>
      <c r="Q88" s="15">
        <v>1</v>
      </c>
      <c r="R88" s="15">
        <v>0</v>
      </c>
      <c r="S88" s="15">
        <v>0</v>
      </c>
    </row>
    <row r="89" spans="1:19" x14ac:dyDescent="0.25">
      <c r="A89" t="s">
        <v>10</v>
      </c>
      <c r="B89" t="s">
        <v>23</v>
      </c>
      <c r="C89" s="15">
        <v>2</v>
      </c>
      <c r="D89" s="15">
        <v>6.9450000000000003</v>
      </c>
      <c r="E89" s="15">
        <v>0.28991378028648501</v>
      </c>
      <c r="F89" s="15">
        <v>15.22</v>
      </c>
      <c r="G89" s="15">
        <v>0.90509667991877996</v>
      </c>
      <c r="H89" s="15">
        <v>0.45500000000000002</v>
      </c>
      <c r="I89" s="15">
        <v>4.9497474683058297E-2</v>
      </c>
      <c r="J89" s="15">
        <v>2.02</v>
      </c>
      <c r="K89" s="15">
        <v>0.11313708498984799</v>
      </c>
      <c r="L89" s="15">
        <v>132</v>
      </c>
      <c r="M89" s="15">
        <v>16.9705627484771</v>
      </c>
      <c r="N89" s="15">
        <v>57</v>
      </c>
      <c r="O89" s="15">
        <v>12.7279220613579</v>
      </c>
      <c r="P89" s="15">
        <v>1</v>
      </c>
      <c r="Q89" s="15">
        <v>0</v>
      </c>
      <c r="R89" s="15">
        <v>0</v>
      </c>
      <c r="S89" s="15">
        <v>0</v>
      </c>
    </row>
    <row r="90" spans="1:19" x14ac:dyDescent="0.25">
      <c r="A90" t="s">
        <v>10</v>
      </c>
      <c r="B90" t="s">
        <v>137</v>
      </c>
      <c r="C90" s="15">
        <v>5</v>
      </c>
      <c r="D90" s="15">
        <v>6.98</v>
      </c>
      <c r="E90" s="15">
        <v>0.31336879231984799</v>
      </c>
      <c r="F90" s="15">
        <v>10.167999999999999</v>
      </c>
      <c r="G90" s="15">
        <v>0.88097673068021498</v>
      </c>
      <c r="H90" s="15">
        <v>0.69750000000000001</v>
      </c>
      <c r="I90" s="15">
        <v>5.5602757725374298E-2</v>
      </c>
      <c r="J90" s="15">
        <v>3.0339999999999998</v>
      </c>
      <c r="K90" s="15">
        <v>0.17415510328440001</v>
      </c>
      <c r="L90" s="15">
        <v>101.6</v>
      </c>
      <c r="M90" s="15">
        <v>8.9888820216976892</v>
      </c>
      <c r="N90" s="15">
        <v>127.6</v>
      </c>
      <c r="O90" s="15">
        <v>8.2036577207974695</v>
      </c>
      <c r="P90" s="15">
        <v>1</v>
      </c>
      <c r="Q90" s="15">
        <v>1</v>
      </c>
      <c r="R90" s="15">
        <v>0</v>
      </c>
      <c r="S90" s="15">
        <v>0</v>
      </c>
    </row>
    <row r="91" spans="1:19" x14ac:dyDescent="0.25">
      <c r="A91" t="s">
        <v>10</v>
      </c>
      <c r="B91" t="s">
        <v>250</v>
      </c>
      <c r="C91" s="15">
        <v>2</v>
      </c>
      <c r="D91" s="15">
        <v>6.99</v>
      </c>
      <c r="E91" s="15" t="s">
        <v>8</v>
      </c>
      <c r="F91" s="15">
        <v>11.605</v>
      </c>
      <c r="G91" s="15">
        <v>0.58689862838483398</v>
      </c>
      <c r="H91" s="15">
        <v>0.62</v>
      </c>
      <c r="I91" s="15" t="s">
        <v>8</v>
      </c>
      <c r="J91" s="15">
        <v>2.08</v>
      </c>
      <c r="K91" s="15">
        <v>4.2426406871192902E-2</v>
      </c>
      <c r="L91" s="15">
        <v>40.5</v>
      </c>
      <c r="M91" s="15">
        <v>3.53553390593274</v>
      </c>
      <c r="N91" s="15">
        <v>41</v>
      </c>
      <c r="O91" s="15">
        <v>7.0710678118654799</v>
      </c>
      <c r="P91" s="15">
        <v>1</v>
      </c>
      <c r="Q91" s="15">
        <v>1</v>
      </c>
      <c r="R91" s="15">
        <v>0</v>
      </c>
      <c r="S91" s="15">
        <v>0</v>
      </c>
    </row>
    <row r="92" spans="1:19" x14ac:dyDescent="0.25">
      <c r="A92" t="s">
        <v>10</v>
      </c>
      <c r="B92" t="s">
        <v>25</v>
      </c>
      <c r="C92" s="15">
        <v>1</v>
      </c>
      <c r="D92" s="15">
        <v>7.02</v>
      </c>
      <c r="E92" s="15" t="s">
        <v>8</v>
      </c>
      <c r="F92" s="15">
        <v>15.95</v>
      </c>
      <c r="G92" s="15" t="s">
        <v>8</v>
      </c>
      <c r="H92" s="15">
        <v>0.44</v>
      </c>
      <c r="I92" s="15" t="s">
        <v>8</v>
      </c>
      <c r="J92" s="15">
        <v>2.0499999999999998</v>
      </c>
      <c r="K92" s="15" t="s">
        <v>8</v>
      </c>
      <c r="L92" s="15">
        <v>130</v>
      </c>
      <c r="M92" s="15" t="s">
        <v>8</v>
      </c>
      <c r="N92" s="15">
        <v>56</v>
      </c>
      <c r="O92" s="15" t="s">
        <v>8</v>
      </c>
      <c r="P92" s="15">
        <v>1</v>
      </c>
      <c r="Q92" s="15">
        <v>0</v>
      </c>
      <c r="R92" s="15">
        <v>0</v>
      </c>
      <c r="S92" s="15">
        <v>0</v>
      </c>
    </row>
    <row r="93" spans="1:19" x14ac:dyDescent="0.25">
      <c r="A93" t="s">
        <v>10</v>
      </c>
      <c r="B93" t="s">
        <v>70</v>
      </c>
      <c r="C93" s="15">
        <v>2</v>
      </c>
      <c r="D93" s="15">
        <v>7.03</v>
      </c>
      <c r="E93" s="15">
        <v>5.65685424949239E-2</v>
      </c>
      <c r="F93" s="15">
        <v>14.585000000000001</v>
      </c>
      <c r="G93" s="15">
        <v>0.62932503525602601</v>
      </c>
      <c r="H93" s="15">
        <v>0.48</v>
      </c>
      <c r="I93" s="15">
        <v>1.4142135623730999E-2</v>
      </c>
      <c r="J93" s="15">
        <v>2.4750000000000001</v>
      </c>
      <c r="K93" s="15">
        <v>2.12132034355966E-2</v>
      </c>
      <c r="L93" s="15">
        <v>98.5</v>
      </c>
      <c r="M93" s="15">
        <v>9.1923881554251192</v>
      </c>
      <c r="N93" s="15">
        <v>72.5</v>
      </c>
      <c r="O93" s="15">
        <v>0.70710678118654802</v>
      </c>
      <c r="P93" s="15">
        <v>1</v>
      </c>
      <c r="Q93" s="15">
        <v>0</v>
      </c>
      <c r="R93" s="15">
        <v>0</v>
      </c>
      <c r="S93" s="15">
        <v>0</v>
      </c>
    </row>
    <row r="94" spans="1:19" x14ac:dyDescent="0.25">
      <c r="A94" t="s">
        <v>10</v>
      </c>
      <c r="B94" t="s">
        <v>85</v>
      </c>
      <c r="C94" s="15">
        <v>1</v>
      </c>
      <c r="D94" s="15">
        <v>7.06</v>
      </c>
      <c r="E94" s="15" t="s">
        <v>8</v>
      </c>
      <c r="F94" s="15">
        <v>13.42</v>
      </c>
      <c r="G94" s="15" t="s">
        <v>8</v>
      </c>
      <c r="H94" s="15">
        <v>0.53</v>
      </c>
      <c r="I94" s="15" t="s">
        <v>8</v>
      </c>
      <c r="J94" s="15">
        <v>2.16</v>
      </c>
      <c r="K94" s="15" t="s">
        <v>8</v>
      </c>
      <c r="L94" s="15">
        <v>58</v>
      </c>
      <c r="M94" s="15" t="s">
        <v>8</v>
      </c>
      <c r="N94" s="15">
        <v>27</v>
      </c>
      <c r="O94" s="15" t="s">
        <v>8</v>
      </c>
      <c r="P94" s="15">
        <v>1</v>
      </c>
      <c r="Q94" s="15">
        <v>0</v>
      </c>
      <c r="R94" s="15">
        <v>0</v>
      </c>
      <c r="S94" s="15">
        <v>0</v>
      </c>
    </row>
    <row r="95" spans="1:19" x14ac:dyDescent="0.25">
      <c r="A95" t="s">
        <v>10</v>
      </c>
      <c r="B95" t="s">
        <v>271</v>
      </c>
      <c r="C95" s="15">
        <v>2</v>
      </c>
      <c r="D95" s="15">
        <v>7.06</v>
      </c>
      <c r="E95" s="15">
        <v>0</v>
      </c>
      <c r="F95" s="15">
        <v>14.45</v>
      </c>
      <c r="G95" s="15">
        <v>0.18384776310850201</v>
      </c>
      <c r="H95" s="15">
        <v>0.48499999999999999</v>
      </c>
      <c r="I95" s="15">
        <v>7.0710678118654797E-3</v>
      </c>
      <c r="J95" s="15">
        <v>2.02</v>
      </c>
      <c r="K95" s="15">
        <v>2.8284271247461901E-2</v>
      </c>
      <c r="L95" s="15">
        <v>71</v>
      </c>
      <c r="M95" s="15">
        <v>21.213203435596402</v>
      </c>
      <c r="N95" s="15">
        <v>35.5</v>
      </c>
      <c r="O95" s="15">
        <v>10.606601717798201</v>
      </c>
      <c r="P95" s="15">
        <v>0</v>
      </c>
      <c r="Q95" s="15">
        <v>0</v>
      </c>
      <c r="R95" s="15">
        <v>0</v>
      </c>
      <c r="S95" s="15">
        <v>1</v>
      </c>
    </row>
    <row r="96" spans="1:19" x14ac:dyDescent="0.25">
      <c r="A96" t="s">
        <v>10</v>
      </c>
      <c r="B96" t="s">
        <v>213</v>
      </c>
      <c r="C96" s="15">
        <v>2</v>
      </c>
      <c r="D96" s="15">
        <v>7.06</v>
      </c>
      <c r="E96" s="15">
        <v>0</v>
      </c>
      <c r="F96" s="15">
        <v>12.404999999999999</v>
      </c>
      <c r="G96" s="15">
        <v>1.3930003589375</v>
      </c>
      <c r="H96" s="15">
        <v>0.57499999999999996</v>
      </c>
      <c r="I96" s="15">
        <v>6.3639610306789302E-2</v>
      </c>
      <c r="J96" s="15">
        <v>1.79</v>
      </c>
      <c r="K96" s="15">
        <v>7.0710678118654793E-2</v>
      </c>
      <c r="L96" s="15">
        <v>62.5</v>
      </c>
      <c r="M96" s="15">
        <v>2.1213203435596402</v>
      </c>
      <c r="N96" s="15">
        <v>34.5</v>
      </c>
      <c r="O96" s="15">
        <v>2.1213203435596402</v>
      </c>
      <c r="P96" s="15">
        <v>0</v>
      </c>
      <c r="Q96" s="15">
        <v>0</v>
      </c>
      <c r="R96" s="15">
        <v>0</v>
      </c>
      <c r="S96" s="15">
        <v>1</v>
      </c>
    </row>
    <row r="97" spans="1:19" x14ac:dyDescent="0.25">
      <c r="A97" t="s">
        <v>10</v>
      </c>
      <c r="B97" t="s">
        <v>61</v>
      </c>
      <c r="C97" s="15">
        <v>3</v>
      </c>
      <c r="D97" s="15">
        <v>7.0933333333333302</v>
      </c>
      <c r="E97" s="15">
        <v>0.24378952670968701</v>
      </c>
      <c r="F97" s="15">
        <v>10.063333333333301</v>
      </c>
      <c r="G97" s="15">
        <v>0.52918175831498004</v>
      </c>
      <c r="H97" s="15">
        <v>0.706666666666667</v>
      </c>
      <c r="I97" s="15">
        <v>4.9328828623162499E-2</v>
      </c>
      <c r="J97" s="15">
        <v>2.9433333333333298</v>
      </c>
      <c r="K97" s="15">
        <v>1.15470053837925E-2</v>
      </c>
      <c r="L97" s="15">
        <v>108</v>
      </c>
      <c r="M97" s="15">
        <v>4.5825756949558398</v>
      </c>
      <c r="N97" s="15">
        <v>129.333333333333</v>
      </c>
      <c r="O97" s="15">
        <v>6.4291005073286396</v>
      </c>
      <c r="P97" s="15">
        <v>1</v>
      </c>
      <c r="Q97" s="15">
        <v>1</v>
      </c>
      <c r="R97" s="15">
        <v>0</v>
      </c>
      <c r="S97" s="15">
        <v>0</v>
      </c>
    </row>
    <row r="98" spans="1:19" x14ac:dyDescent="0.25">
      <c r="A98" t="s">
        <v>10</v>
      </c>
      <c r="B98" t="s">
        <v>86</v>
      </c>
      <c r="C98" s="15">
        <v>2</v>
      </c>
      <c r="D98" s="15">
        <v>7.1</v>
      </c>
      <c r="E98" s="15" t="s">
        <v>8</v>
      </c>
      <c r="F98" s="15">
        <v>13.744999999999999</v>
      </c>
      <c r="G98" s="15">
        <v>0.21920310216783001</v>
      </c>
      <c r="H98" s="15">
        <v>0.52</v>
      </c>
      <c r="I98" s="15" t="s">
        <v>8</v>
      </c>
      <c r="J98" s="15">
        <v>1.835</v>
      </c>
      <c r="K98" s="15">
        <v>4.9497474683058401E-2</v>
      </c>
      <c r="L98" s="15">
        <v>61</v>
      </c>
      <c r="M98" s="15">
        <v>4.2426406871192803</v>
      </c>
      <c r="N98" s="15">
        <v>32</v>
      </c>
      <c r="O98" s="15">
        <v>14.142135623731001</v>
      </c>
      <c r="P98" s="15">
        <v>1</v>
      </c>
      <c r="Q98" s="15">
        <v>0</v>
      </c>
      <c r="R98" s="15">
        <v>0</v>
      </c>
      <c r="S98" s="15">
        <v>0</v>
      </c>
    </row>
    <row r="99" spans="1:19" x14ac:dyDescent="0.25">
      <c r="A99" t="s">
        <v>10</v>
      </c>
      <c r="B99" t="s">
        <v>26</v>
      </c>
      <c r="C99" s="15">
        <v>2</v>
      </c>
      <c r="D99" s="15">
        <v>7.12</v>
      </c>
      <c r="E99" s="15" t="s">
        <v>8</v>
      </c>
      <c r="F99" s="15">
        <v>14.244999999999999</v>
      </c>
      <c r="G99" s="15">
        <v>1.1525840533340701</v>
      </c>
      <c r="H99" s="15">
        <v>0.47</v>
      </c>
      <c r="I99" s="15" t="s">
        <v>8</v>
      </c>
      <c r="J99" s="15">
        <v>2.17</v>
      </c>
      <c r="K99" s="15">
        <v>0.169705627484772</v>
      </c>
      <c r="L99" s="15">
        <v>96</v>
      </c>
      <c r="M99" s="15">
        <v>9.8994949366116707</v>
      </c>
      <c r="N99" s="15">
        <v>64.5</v>
      </c>
      <c r="O99" s="15">
        <v>19.091883092036799</v>
      </c>
      <c r="P99" s="15">
        <v>1</v>
      </c>
      <c r="Q99" s="15">
        <v>0</v>
      </c>
      <c r="R99" s="15">
        <v>0</v>
      </c>
      <c r="S99" s="15">
        <v>0</v>
      </c>
    </row>
    <row r="100" spans="1:19" x14ac:dyDescent="0.25">
      <c r="A100" t="s">
        <v>10</v>
      </c>
      <c r="B100" t="s">
        <v>197</v>
      </c>
      <c r="C100" s="15">
        <v>4</v>
      </c>
      <c r="D100" s="15">
        <v>7.1233333333333304</v>
      </c>
      <c r="E100" s="15">
        <v>0.47056703383613002</v>
      </c>
      <c r="F100" s="15">
        <v>10.484999999999999</v>
      </c>
      <c r="G100" s="15">
        <v>0.74844282792118899</v>
      </c>
      <c r="H100" s="15">
        <v>0.68333333333333302</v>
      </c>
      <c r="I100" s="15">
        <v>4.9328828623162499E-2</v>
      </c>
      <c r="J100" s="15">
        <v>1.645</v>
      </c>
      <c r="K100" s="15">
        <v>0.23359509127262701</v>
      </c>
      <c r="L100" s="15">
        <v>151.25</v>
      </c>
      <c r="M100" s="15">
        <v>22.559181427229699</v>
      </c>
      <c r="N100" s="15">
        <v>58.25</v>
      </c>
      <c r="O100" s="15">
        <v>10.242883708539599</v>
      </c>
      <c r="P100" s="15">
        <v>1</v>
      </c>
      <c r="Q100" s="15">
        <v>0</v>
      </c>
      <c r="R100" s="15">
        <v>0</v>
      </c>
      <c r="S100" s="15">
        <v>0</v>
      </c>
    </row>
    <row r="101" spans="1:19" x14ac:dyDescent="0.25">
      <c r="A101" t="s">
        <v>10</v>
      </c>
      <c r="B101" t="s">
        <v>57</v>
      </c>
      <c r="C101" s="15">
        <v>1</v>
      </c>
      <c r="D101" s="15">
        <v>7.14</v>
      </c>
      <c r="E101" s="15" t="s">
        <v>8</v>
      </c>
      <c r="F101" s="15">
        <v>10.59</v>
      </c>
      <c r="G101" s="15" t="s">
        <v>8</v>
      </c>
      <c r="H101" s="15">
        <v>0.67</v>
      </c>
      <c r="I101" s="15" t="s">
        <v>8</v>
      </c>
      <c r="J101" s="15">
        <v>3</v>
      </c>
      <c r="K101" s="15" t="s">
        <v>8</v>
      </c>
      <c r="L101" s="15">
        <v>86</v>
      </c>
      <c r="M101" s="15" t="s">
        <v>8</v>
      </c>
      <c r="N101" s="15">
        <v>139</v>
      </c>
      <c r="O101" s="15" t="s">
        <v>8</v>
      </c>
      <c r="P101" s="15">
        <v>0</v>
      </c>
      <c r="Q101" s="15">
        <v>1</v>
      </c>
      <c r="R101" s="15">
        <v>0</v>
      </c>
      <c r="S101" s="15">
        <v>0</v>
      </c>
    </row>
    <row r="102" spans="1:19" x14ac:dyDescent="0.25">
      <c r="A102" t="s">
        <v>10</v>
      </c>
      <c r="B102" t="s">
        <v>192</v>
      </c>
      <c r="C102" s="15">
        <v>3</v>
      </c>
      <c r="D102" s="15">
        <v>7.1449999999999996</v>
      </c>
      <c r="E102" s="15">
        <v>0.16263455967290599</v>
      </c>
      <c r="F102" s="15">
        <v>11.76</v>
      </c>
      <c r="G102" s="15">
        <v>1.39107871811771</v>
      </c>
      <c r="H102" s="15">
        <v>0.64500000000000002</v>
      </c>
      <c r="I102" s="15">
        <v>7.7781745930520202E-2</v>
      </c>
      <c r="J102" s="15">
        <v>2.38</v>
      </c>
      <c r="K102" s="15">
        <v>4.2426406871192902E-2</v>
      </c>
      <c r="L102" s="15">
        <v>64</v>
      </c>
      <c r="M102" s="15">
        <v>15.620499351813301</v>
      </c>
      <c r="N102" s="15">
        <v>53.3333333333333</v>
      </c>
      <c r="O102" s="15">
        <v>11.3724814061547</v>
      </c>
      <c r="P102" s="15">
        <v>1</v>
      </c>
      <c r="Q102" s="15">
        <v>1</v>
      </c>
      <c r="R102" s="15">
        <v>0</v>
      </c>
      <c r="S102" s="15">
        <v>0</v>
      </c>
    </row>
    <row r="103" spans="1:19" x14ac:dyDescent="0.25">
      <c r="A103" t="s">
        <v>10</v>
      </c>
      <c r="B103" t="s">
        <v>272</v>
      </c>
      <c r="C103" s="15">
        <v>2</v>
      </c>
      <c r="D103" s="15">
        <v>7.27</v>
      </c>
      <c r="E103" s="15">
        <v>0</v>
      </c>
      <c r="F103" s="15">
        <v>14.645</v>
      </c>
      <c r="G103" s="15">
        <v>0.28991378028648501</v>
      </c>
      <c r="H103" s="15">
        <v>0.495</v>
      </c>
      <c r="I103" s="15">
        <v>7.0710678118654797E-3</v>
      </c>
      <c r="J103" s="15">
        <v>2.29</v>
      </c>
      <c r="K103" s="15">
        <v>9.89949493661164E-2</v>
      </c>
      <c r="L103" s="15">
        <v>73.5</v>
      </c>
      <c r="M103" s="15">
        <v>9.1923881554251192</v>
      </c>
      <c r="N103" s="15">
        <v>36.5</v>
      </c>
      <c r="O103" s="15">
        <v>0.70710678118654802</v>
      </c>
      <c r="P103" s="15">
        <v>1</v>
      </c>
      <c r="Q103" s="15">
        <v>0</v>
      </c>
      <c r="R103" s="15">
        <v>0</v>
      </c>
      <c r="S103" s="15">
        <v>0</v>
      </c>
    </row>
    <row r="104" spans="1:19" x14ac:dyDescent="0.25">
      <c r="A104" t="s">
        <v>10</v>
      </c>
      <c r="B104" t="s">
        <v>273</v>
      </c>
      <c r="C104" s="15">
        <v>2</v>
      </c>
      <c r="D104" s="15">
        <v>7.27</v>
      </c>
      <c r="E104" s="15">
        <v>0</v>
      </c>
      <c r="F104" s="15">
        <v>12.82</v>
      </c>
      <c r="G104" s="15" t="s">
        <v>8</v>
      </c>
      <c r="H104" s="15">
        <v>0.56999999999999995</v>
      </c>
      <c r="I104" s="15" t="s">
        <v>8</v>
      </c>
      <c r="J104" s="15">
        <v>1.68</v>
      </c>
      <c r="K104" s="15" t="s">
        <v>8</v>
      </c>
      <c r="L104" s="15">
        <v>114</v>
      </c>
      <c r="M104" s="15" t="s">
        <v>8</v>
      </c>
      <c r="N104" s="15">
        <v>57</v>
      </c>
      <c r="O104" s="15" t="s">
        <v>8</v>
      </c>
      <c r="P104" s="15">
        <v>1</v>
      </c>
      <c r="Q104" s="15">
        <v>0</v>
      </c>
      <c r="R104" s="15">
        <v>0</v>
      </c>
      <c r="S104" s="15">
        <v>0</v>
      </c>
    </row>
    <row r="105" spans="1:19" x14ac:dyDescent="0.25">
      <c r="A105" t="s">
        <v>10</v>
      </c>
      <c r="B105" t="s">
        <v>274</v>
      </c>
      <c r="C105" s="15">
        <v>2</v>
      </c>
      <c r="D105" s="15">
        <v>7.27</v>
      </c>
      <c r="E105" s="15">
        <v>0</v>
      </c>
      <c r="F105" s="15">
        <v>9.77</v>
      </c>
      <c r="G105" s="15">
        <v>0.43840620433565902</v>
      </c>
      <c r="H105" s="15">
        <v>0.745</v>
      </c>
      <c r="I105" s="15">
        <v>3.5355339059327397E-2</v>
      </c>
      <c r="J105" s="15">
        <v>1.94</v>
      </c>
      <c r="K105" s="15">
        <v>0.12727922061357799</v>
      </c>
      <c r="L105" s="15">
        <v>91.5</v>
      </c>
      <c r="M105" s="15">
        <v>26.162950903902299</v>
      </c>
      <c r="N105" s="15">
        <v>46</v>
      </c>
      <c r="O105" s="15">
        <v>1.4142135623731</v>
      </c>
      <c r="P105" s="15">
        <v>1</v>
      </c>
      <c r="Q105" s="15">
        <v>0</v>
      </c>
      <c r="R105" s="15">
        <v>0</v>
      </c>
      <c r="S105" s="15">
        <v>0</v>
      </c>
    </row>
    <row r="106" spans="1:19" x14ac:dyDescent="0.25">
      <c r="A106" t="s">
        <v>10</v>
      </c>
      <c r="B106" t="s">
        <v>89</v>
      </c>
      <c r="C106" s="15">
        <v>2</v>
      </c>
      <c r="D106" s="15">
        <v>7.27</v>
      </c>
      <c r="E106" s="15">
        <v>0</v>
      </c>
      <c r="F106" s="15">
        <v>9.3800000000000008</v>
      </c>
      <c r="G106" s="15">
        <v>3.46482322781408</v>
      </c>
      <c r="H106" s="15">
        <v>0.83</v>
      </c>
      <c r="I106" s="15">
        <v>0.31112698372208097</v>
      </c>
      <c r="J106" s="15">
        <v>2.0499999999999998</v>
      </c>
      <c r="K106" s="15">
        <v>0</v>
      </c>
      <c r="L106" s="15">
        <v>158</v>
      </c>
      <c r="M106" s="15">
        <v>19.798989873223299</v>
      </c>
      <c r="N106" s="15">
        <v>41</v>
      </c>
      <c r="O106" s="15">
        <v>14.142135623731001</v>
      </c>
      <c r="P106" s="15">
        <v>1</v>
      </c>
      <c r="Q106" s="15">
        <v>0</v>
      </c>
      <c r="R106" s="15">
        <v>0</v>
      </c>
      <c r="S106" s="15">
        <v>0</v>
      </c>
    </row>
    <row r="107" spans="1:19" x14ac:dyDescent="0.25">
      <c r="A107" t="s">
        <v>10</v>
      </c>
      <c r="B107" t="s">
        <v>95</v>
      </c>
      <c r="C107" s="15">
        <v>2</v>
      </c>
      <c r="D107" s="15">
        <v>7.27</v>
      </c>
      <c r="E107" s="15">
        <v>0</v>
      </c>
      <c r="F107" s="15">
        <v>14.1</v>
      </c>
      <c r="G107" s="15">
        <v>1.2727922061357899</v>
      </c>
      <c r="H107" s="15">
        <v>0.51500000000000001</v>
      </c>
      <c r="I107" s="15">
        <v>4.9497474683058401E-2</v>
      </c>
      <c r="J107" s="15">
        <v>2.0449999999999999</v>
      </c>
      <c r="K107" s="15">
        <v>3.53553390593273E-2</v>
      </c>
      <c r="L107" s="15">
        <v>132</v>
      </c>
      <c r="M107" s="15">
        <v>14.142135623731001</v>
      </c>
      <c r="N107" s="15">
        <v>47</v>
      </c>
      <c r="O107" s="15">
        <v>2.8284271247461898</v>
      </c>
      <c r="P107" s="15">
        <v>1</v>
      </c>
      <c r="Q107" s="15">
        <v>0</v>
      </c>
      <c r="R107" s="15">
        <v>0</v>
      </c>
      <c r="S107" s="15">
        <v>0</v>
      </c>
    </row>
    <row r="108" spans="1:19" x14ac:dyDescent="0.25">
      <c r="A108" t="s">
        <v>10</v>
      </c>
      <c r="B108" t="s">
        <v>96</v>
      </c>
      <c r="C108" s="15">
        <v>2</v>
      </c>
      <c r="D108" s="15">
        <v>7.27</v>
      </c>
      <c r="E108" s="15">
        <v>0</v>
      </c>
      <c r="F108" s="15">
        <v>10.119999999999999</v>
      </c>
      <c r="G108" s="15">
        <v>0.21213203435596401</v>
      </c>
      <c r="H108" s="15">
        <v>0.72</v>
      </c>
      <c r="I108" s="15">
        <v>1.4142135623730999E-2</v>
      </c>
      <c r="J108" s="15">
        <v>2.13</v>
      </c>
      <c r="K108" s="15">
        <v>0.14142135623731</v>
      </c>
      <c r="L108" s="15">
        <v>103.5</v>
      </c>
      <c r="M108" s="15">
        <v>4.94974746830583</v>
      </c>
      <c r="N108" s="15">
        <v>54.5</v>
      </c>
      <c r="O108" s="15">
        <v>0.70710678118654802</v>
      </c>
      <c r="P108" s="15">
        <v>1</v>
      </c>
      <c r="Q108" s="15">
        <v>0</v>
      </c>
      <c r="R108" s="15">
        <v>0</v>
      </c>
      <c r="S108" s="15">
        <v>0</v>
      </c>
    </row>
    <row r="109" spans="1:19" x14ac:dyDescent="0.25">
      <c r="A109" t="s">
        <v>10</v>
      </c>
      <c r="B109" t="s">
        <v>97</v>
      </c>
      <c r="C109" s="15">
        <v>3</v>
      </c>
      <c r="D109" s="15">
        <v>7.27</v>
      </c>
      <c r="E109" s="15">
        <v>0</v>
      </c>
      <c r="F109" s="15">
        <v>11.7566666666667</v>
      </c>
      <c r="G109" s="15">
        <v>2.1092731765547401</v>
      </c>
      <c r="H109" s="15">
        <v>0.63333333333333297</v>
      </c>
      <c r="I109" s="15">
        <v>0.105987420637231</v>
      </c>
      <c r="J109" s="15">
        <v>2.10666666666667</v>
      </c>
      <c r="K109" s="15">
        <v>0.117189305541646</v>
      </c>
      <c r="L109" s="15">
        <v>121.666666666667</v>
      </c>
      <c r="M109" s="15">
        <v>16.862186493255699</v>
      </c>
      <c r="N109" s="15">
        <v>60.6666666666667</v>
      </c>
      <c r="O109" s="15">
        <v>9.8657657246324906</v>
      </c>
      <c r="P109" s="15">
        <v>1</v>
      </c>
      <c r="Q109" s="15">
        <v>0</v>
      </c>
      <c r="R109" s="15">
        <v>0</v>
      </c>
      <c r="S109" s="15">
        <v>0</v>
      </c>
    </row>
    <row r="110" spans="1:19" x14ac:dyDescent="0.25">
      <c r="A110" t="s">
        <v>10</v>
      </c>
      <c r="B110" t="s">
        <v>286</v>
      </c>
      <c r="C110" s="15">
        <v>1</v>
      </c>
      <c r="D110" s="15">
        <v>7.42</v>
      </c>
      <c r="E110" s="15" t="s">
        <v>8</v>
      </c>
      <c r="F110" s="15">
        <v>14.18</v>
      </c>
      <c r="G110" s="15" t="s">
        <v>8</v>
      </c>
      <c r="H110" s="15">
        <v>0.52</v>
      </c>
      <c r="I110" s="15" t="s">
        <v>8</v>
      </c>
      <c r="J110" s="15">
        <v>2.13</v>
      </c>
      <c r="K110" s="15" t="s">
        <v>8</v>
      </c>
      <c r="L110" s="15">
        <v>186</v>
      </c>
      <c r="M110" s="15" t="s">
        <v>8</v>
      </c>
      <c r="N110" s="15">
        <v>45</v>
      </c>
      <c r="O110" s="15" t="s">
        <v>8</v>
      </c>
      <c r="P110" s="15">
        <v>0</v>
      </c>
      <c r="Q110" s="15">
        <v>0</v>
      </c>
      <c r="R110" s="15">
        <v>0</v>
      </c>
      <c r="S110" s="15">
        <v>1</v>
      </c>
    </row>
    <row r="111" spans="1:19" x14ac:dyDescent="0.25">
      <c r="A111" t="s">
        <v>10</v>
      </c>
      <c r="B111" t="s">
        <v>83</v>
      </c>
      <c r="C111" s="15">
        <v>2</v>
      </c>
      <c r="D111" s="15">
        <v>7.44</v>
      </c>
      <c r="E111" s="15">
        <v>7.0710678118655099E-2</v>
      </c>
      <c r="F111" s="15">
        <v>14.21</v>
      </c>
      <c r="G111" s="15">
        <v>1.3717871555018999</v>
      </c>
      <c r="H111" s="15">
        <v>0.52500000000000002</v>
      </c>
      <c r="I111" s="15">
        <v>4.9497474683058401E-2</v>
      </c>
      <c r="J111" s="15">
        <v>2.11</v>
      </c>
      <c r="K111" s="15">
        <v>2.8284271247461901E-2</v>
      </c>
      <c r="L111" s="15">
        <v>65</v>
      </c>
      <c r="M111" s="15">
        <v>7.0710678118654799</v>
      </c>
      <c r="N111" s="15">
        <v>39.5</v>
      </c>
      <c r="O111" s="15">
        <v>7.7781745930520199</v>
      </c>
      <c r="P111" s="15">
        <v>0</v>
      </c>
      <c r="Q111" s="15">
        <v>0</v>
      </c>
      <c r="R111" s="15">
        <v>0</v>
      </c>
      <c r="S111" s="15">
        <v>1</v>
      </c>
    </row>
    <row r="112" spans="1:19" x14ac:dyDescent="0.25">
      <c r="A112" t="s">
        <v>10</v>
      </c>
      <c r="B112" t="s">
        <v>167</v>
      </c>
      <c r="C112" s="15">
        <v>1</v>
      </c>
      <c r="D112" s="15">
        <v>7.44</v>
      </c>
      <c r="E112" s="15" t="s">
        <v>8</v>
      </c>
      <c r="F112" s="15">
        <v>12.4</v>
      </c>
      <c r="G112" s="15" t="s">
        <v>8</v>
      </c>
      <c r="H112" s="15">
        <v>0.6</v>
      </c>
      <c r="I112" s="15" t="s">
        <v>8</v>
      </c>
      <c r="J112" s="15">
        <v>2.83</v>
      </c>
      <c r="K112" s="15" t="s">
        <v>8</v>
      </c>
      <c r="L112" s="15">
        <v>48</v>
      </c>
      <c r="M112" s="15" t="s">
        <v>8</v>
      </c>
      <c r="N112" s="15">
        <v>30</v>
      </c>
      <c r="O112" s="15" t="s">
        <v>8</v>
      </c>
      <c r="P112" s="15">
        <v>1</v>
      </c>
      <c r="Q112" s="15">
        <v>0</v>
      </c>
      <c r="R112" s="15">
        <v>0</v>
      </c>
      <c r="S112" s="15">
        <v>0</v>
      </c>
    </row>
    <row r="113" spans="1:19" x14ac:dyDescent="0.25">
      <c r="A113" t="s">
        <v>10</v>
      </c>
      <c r="B113" t="s">
        <v>53</v>
      </c>
      <c r="C113" s="15">
        <v>1</v>
      </c>
      <c r="D113" s="15">
        <v>7.5</v>
      </c>
      <c r="E113" s="15" t="s">
        <v>8</v>
      </c>
      <c r="F113" s="15">
        <v>14.05</v>
      </c>
      <c r="G113" s="15" t="s">
        <v>8</v>
      </c>
      <c r="H113" s="15">
        <v>0.53</v>
      </c>
      <c r="I113" s="15" t="s">
        <v>8</v>
      </c>
      <c r="J113" s="15">
        <v>2.42</v>
      </c>
      <c r="K113" s="15" t="s">
        <v>8</v>
      </c>
      <c r="L113" s="15">
        <v>69</v>
      </c>
      <c r="M113" s="15" t="s">
        <v>8</v>
      </c>
      <c r="N113" s="15">
        <v>40</v>
      </c>
      <c r="O113" s="15" t="s">
        <v>8</v>
      </c>
      <c r="P113" s="15">
        <v>0</v>
      </c>
      <c r="Q113" s="15">
        <v>0</v>
      </c>
      <c r="R113" s="15">
        <v>1</v>
      </c>
      <c r="S113" s="15">
        <v>0</v>
      </c>
    </row>
    <row r="114" spans="1:19" x14ac:dyDescent="0.25">
      <c r="A114" t="s">
        <v>10</v>
      </c>
      <c r="B114" t="s">
        <v>143</v>
      </c>
      <c r="C114" s="15">
        <v>6</v>
      </c>
      <c r="D114" s="15">
        <v>7.6583333333333297</v>
      </c>
      <c r="E114" s="15">
        <v>0.60343737592783098</v>
      </c>
      <c r="F114" s="15">
        <v>11.87</v>
      </c>
      <c r="G114" s="15">
        <v>1.2119900989694601</v>
      </c>
      <c r="H114" s="15">
        <v>0.64666666666666694</v>
      </c>
      <c r="I114" s="15">
        <v>3.0767948691238198E-2</v>
      </c>
      <c r="J114" s="15">
        <v>1.75833333333333</v>
      </c>
      <c r="K114" s="15">
        <v>0.10342469079802299</v>
      </c>
      <c r="L114" s="15">
        <v>135.5</v>
      </c>
      <c r="M114" s="15">
        <v>19.977487329491701</v>
      </c>
      <c r="N114" s="15">
        <v>72.6666666666667</v>
      </c>
      <c r="O114" s="15">
        <v>8.3346665600170606</v>
      </c>
      <c r="P114" s="15">
        <v>1</v>
      </c>
      <c r="Q114" s="15">
        <v>0</v>
      </c>
      <c r="R114" s="15">
        <v>1</v>
      </c>
      <c r="S114" s="15">
        <v>0</v>
      </c>
    </row>
    <row r="115" spans="1:19" x14ac:dyDescent="0.25">
      <c r="A115" t="s">
        <v>10</v>
      </c>
      <c r="B115" t="s">
        <v>48</v>
      </c>
      <c r="C115" s="15">
        <v>4</v>
      </c>
      <c r="D115" s="15">
        <v>7.7</v>
      </c>
      <c r="E115" s="15" t="s">
        <v>8</v>
      </c>
      <c r="F115" s="15">
        <v>10.765000000000001</v>
      </c>
      <c r="G115" s="15">
        <v>0.59377324515901397</v>
      </c>
      <c r="H115" s="15">
        <v>0.68</v>
      </c>
      <c r="I115" s="15" t="s">
        <v>8</v>
      </c>
      <c r="J115" s="15">
        <v>1.9575</v>
      </c>
      <c r="K115" s="15">
        <v>0.48739956230318199</v>
      </c>
      <c r="L115" s="15">
        <v>69.75</v>
      </c>
      <c r="M115" s="15">
        <v>44.334899721701603</v>
      </c>
      <c r="N115" s="15">
        <v>30.25</v>
      </c>
      <c r="O115" s="15">
        <v>9.5350231602585396</v>
      </c>
      <c r="P115" s="15">
        <v>0</v>
      </c>
      <c r="Q115" s="15">
        <v>0</v>
      </c>
      <c r="R115" s="15">
        <v>0</v>
      </c>
      <c r="S115" s="15">
        <v>1</v>
      </c>
    </row>
    <row r="116" spans="1:19" x14ac:dyDescent="0.25">
      <c r="A116" t="s">
        <v>10</v>
      </c>
      <c r="B116" t="s">
        <v>62</v>
      </c>
      <c r="C116" s="15">
        <v>2</v>
      </c>
      <c r="D116" s="15">
        <v>7.7</v>
      </c>
      <c r="E116" s="15">
        <v>0.36769552621700402</v>
      </c>
      <c r="F116" s="15">
        <v>9.5549999999999997</v>
      </c>
      <c r="G116" s="15">
        <v>0.85559920523572297</v>
      </c>
      <c r="H116" s="15">
        <v>0.80500000000000005</v>
      </c>
      <c r="I116" s="15">
        <v>3.53553390593273E-2</v>
      </c>
      <c r="J116" s="15">
        <v>2.9550000000000001</v>
      </c>
      <c r="K116" s="15">
        <v>0.134350288425444</v>
      </c>
      <c r="L116" s="15">
        <v>131.5</v>
      </c>
      <c r="M116" s="15">
        <v>20.506096654409902</v>
      </c>
      <c r="N116" s="15">
        <v>133</v>
      </c>
      <c r="O116" s="15">
        <v>14.142135623731001</v>
      </c>
      <c r="P116" s="15">
        <v>1</v>
      </c>
      <c r="Q116" s="15">
        <v>1</v>
      </c>
      <c r="R116" s="15">
        <v>0</v>
      </c>
      <c r="S116" s="15">
        <v>0</v>
      </c>
    </row>
    <row r="117" spans="1:19" x14ac:dyDescent="0.25">
      <c r="A117" t="s">
        <v>10</v>
      </c>
      <c r="B117" t="s">
        <v>262</v>
      </c>
      <c r="C117" s="15">
        <v>1</v>
      </c>
      <c r="D117" s="15">
        <v>7.74</v>
      </c>
      <c r="E117" s="15" t="s">
        <v>8</v>
      </c>
      <c r="F117" s="15">
        <v>10.52</v>
      </c>
      <c r="G117" s="15" t="s">
        <v>8</v>
      </c>
      <c r="H117" s="15">
        <v>0.74</v>
      </c>
      <c r="I117" s="15" t="s">
        <v>8</v>
      </c>
      <c r="J117" s="15">
        <v>2.92</v>
      </c>
      <c r="K117" s="15" t="s">
        <v>8</v>
      </c>
      <c r="L117" s="15">
        <v>71</v>
      </c>
      <c r="M117" s="15" t="s">
        <v>8</v>
      </c>
      <c r="N117" s="15">
        <v>121</v>
      </c>
      <c r="O117" s="15" t="s">
        <v>8</v>
      </c>
      <c r="P117" s="15">
        <v>1</v>
      </c>
      <c r="Q117" s="15">
        <v>1</v>
      </c>
      <c r="R117" s="15">
        <v>0</v>
      </c>
      <c r="S117" s="15">
        <v>0</v>
      </c>
    </row>
    <row r="118" spans="1:19" x14ac:dyDescent="0.25">
      <c r="A118" t="s">
        <v>10</v>
      </c>
      <c r="B118" t="s">
        <v>263</v>
      </c>
      <c r="C118" s="15">
        <v>1</v>
      </c>
      <c r="D118" s="15">
        <v>7.74</v>
      </c>
      <c r="E118" s="15" t="s">
        <v>8</v>
      </c>
      <c r="F118" s="15">
        <v>12.22</v>
      </c>
      <c r="G118" s="15" t="s">
        <v>8</v>
      </c>
      <c r="H118" s="15">
        <v>0.63</v>
      </c>
      <c r="I118" s="15" t="s">
        <v>8</v>
      </c>
      <c r="J118" s="15">
        <v>3.11</v>
      </c>
      <c r="K118" s="15" t="s">
        <v>8</v>
      </c>
      <c r="L118" s="15">
        <v>100</v>
      </c>
      <c r="M118" s="15" t="s">
        <v>8</v>
      </c>
      <c r="N118" s="15">
        <v>74</v>
      </c>
      <c r="O118" s="15" t="s">
        <v>8</v>
      </c>
      <c r="P118" s="15">
        <v>1</v>
      </c>
      <c r="Q118" s="15">
        <v>1</v>
      </c>
      <c r="R118" s="15">
        <v>0</v>
      </c>
      <c r="S118" s="15">
        <v>0</v>
      </c>
    </row>
    <row r="119" spans="1:19" x14ac:dyDescent="0.25">
      <c r="A119" t="s">
        <v>10</v>
      </c>
      <c r="B119" t="s">
        <v>64</v>
      </c>
      <c r="C119" s="15">
        <v>2</v>
      </c>
      <c r="D119" s="15">
        <v>7.74</v>
      </c>
      <c r="E119" s="15">
        <v>0</v>
      </c>
      <c r="F119" s="15">
        <v>10.64</v>
      </c>
      <c r="G119" s="15">
        <v>0.72124891681027803</v>
      </c>
      <c r="H119" s="15">
        <v>0.72499999999999998</v>
      </c>
      <c r="I119" s="15">
        <v>4.9497474683058401E-2</v>
      </c>
      <c r="J119" s="15">
        <v>2.91</v>
      </c>
      <c r="K119" s="15">
        <v>0.141421356237309</v>
      </c>
      <c r="L119" s="15">
        <v>134.5</v>
      </c>
      <c r="M119" s="15">
        <v>36.062445840513902</v>
      </c>
      <c r="N119" s="15">
        <v>101</v>
      </c>
      <c r="O119" s="15">
        <v>8.4852813742385695</v>
      </c>
      <c r="P119" s="15">
        <v>1</v>
      </c>
      <c r="Q119" s="15">
        <v>1</v>
      </c>
      <c r="R119" s="15">
        <v>0</v>
      </c>
      <c r="S119" s="15">
        <v>0</v>
      </c>
    </row>
    <row r="120" spans="1:19" x14ac:dyDescent="0.25">
      <c r="A120" t="s">
        <v>10</v>
      </c>
      <c r="B120" t="s">
        <v>65</v>
      </c>
      <c r="C120" s="15">
        <v>2</v>
      </c>
      <c r="D120" s="15">
        <v>7.74</v>
      </c>
      <c r="E120" s="15">
        <v>0</v>
      </c>
      <c r="F120" s="15">
        <v>8.4700000000000006</v>
      </c>
      <c r="G120" s="15">
        <v>0.76367532368147095</v>
      </c>
      <c r="H120" s="15">
        <v>0.92</v>
      </c>
      <c r="I120" s="15">
        <v>8.4852813742385694E-2</v>
      </c>
      <c r="J120" s="15">
        <v>2.9649999999999999</v>
      </c>
      <c r="K120" s="15">
        <v>0.176776695296637</v>
      </c>
      <c r="L120" s="15">
        <v>146</v>
      </c>
      <c r="M120" s="15">
        <v>7.0710678118654799</v>
      </c>
      <c r="N120" s="15">
        <v>116</v>
      </c>
      <c r="O120" s="15">
        <v>8.4852813742385695</v>
      </c>
      <c r="P120" s="15">
        <v>1</v>
      </c>
      <c r="Q120" s="15">
        <v>1</v>
      </c>
      <c r="R120" s="15">
        <v>0</v>
      </c>
      <c r="S120" s="15">
        <v>0</v>
      </c>
    </row>
    <row r="121" spans="1:19" x14ac:dyDescent="0.25">
      <c r="A121" t="s">
        <v>10</v>
      </c>
      <c r="B121" t="s">
        <v>66</v>
      </c>
      <c r="C121" s="15">
        <v>1</v>
      </c>
      <c r="D121" s="15">
        <v>7.74</v>
      </c>
      <c r="E121" s="15" t="s">
        <v>8</v>
      </c>
      <c r="F121" s="15">
        <v>9.74</v>
      </c>
      <c r="G121" s="15" t="s">
        <v>8</v>
      </c>
      <c r="H121" s="15">
        <v>0.79</v>
      </c>
      <c r="I121" s="15" t="s">
        <v>8</v>
      </c>
      <c r="J121" s="15">
        <v>3.17</v>
      </c>
      <c r="K121" s="15" t="s">
        <v>8</v>
      </c>
      <c r="L121" s="15">
        <v>140</v>
      </c>
      <c r="M121" s="15" t="s">
        <v>8</v>
      </c>
      <c r="N121" s="15">
        <v>97</v>
      </c>
      <c r="O121" s="15" t="s">
        <v>8</v>
      </c>
      <c r="P121" s="15">
        <v>1</v>
      </c>
      <c r="Q121" s="15">
        <v>1</v>
      </c>
      <c r="R121" s="15">
        <v>0</v>
      </c>
      <c r="S121" s="15">
        <v>0</v>
      </c>
    </row>
    <row r="122" spans="1:19" x14ac:dyDescent="0.25">
      <c r="A122" t="s">
        <v>10</v>
      </c>
      <c r="B122" t="s">
        <v>133</v>
      </c>
      <c r="C122" s="15">
        <v>1</v>
      </c>
      <c r="D122" s="15">
        <v>7.76</v>
      </c>
      <c r="E122" s="15" t="s">
        <v>8</v>
      </c>
      <c r="F122" s="15">
        <v>13.62</v>
      </c>
      <c r="G122" s="15" t="s">
        <v>8</v>
      </c>
      <c r="H122" s="15">
        <v>0.56999999999999995</v>
      </c>
      <c r="I122" s="15" t="s">
        <v>8</v>
      </c>
      <c r="J122" s="15">
        <v>2.4700000000000002</v>
      </c>
      <c r="K122" s="15" t="s">
        <v>8</v>
      </c>
      <c r="L122" s="15">
        <v>177</v>
      </c>
      <c r="M122" s="15" t="s">
        <v>8</v>
      </c>
      <c r="N122" s="15">
        <v>56</v>
      </c>
      <c r="O122" s="15" t="s">
        <v>8</v>
      </c>
      <c r="P122" s="15">
        <v>0</v>
      </c>
      <c r="Q122" s="15">
        <v>0</v>
      </c>
      <c r="R122" s="15">
        <v>0</v>
      </c>
      <c r="S122" s="15">
        <v>1</v>
      </c>
    </row>
    <row r="123" spans="1:19" x14ac:dyDescent="0.25">
      <c r="A123" t="s">
        <v>10</v>
      </c>
      <c r="B123" t="s">
        <v>136</v>
      </c>
      <c r="C123" s="15">
        <v>2</v>
      </c>
      <c r="D123" s="15">
        <v>7.76</v>
      </c>
      <c r="E123" s="15">
        <v>0</v>
      </c>
      <c r="F123" s="15">
        <v>11.08</v>
      </c>
      <c r="G123" s="15">
        <v>0.820243866176395</v>
      </c>
      <c r="H123" s="15">
        <v>0.70499999999999996</v>
      </c>
      <c r="I123" s="15">
        <v>4.9497474683058297E-2</v>
      </c>
      <c r="J123" s="15">
        <v>2.2400000000000002</v>
      </c>
      <c r="K123" s="15">
        <v>8.4852813742385499E-2</v>
      </c>
      <c r="L123" s="15">
        <v>163.5</v>
      </c>
      <c r="M123" s="15">
        <v>16.2634559672906</v>
      </c>
      <c r="N123" s="15">
        <v>54</v>
      </c>
      <c r="O123" s="15">
        <v>2.8284271247461898</v>
      </c>
      <c r="P123" s="15">
        <v>0</v>
      </c>
      <c r="Q123" s="15">
        <v>0</v>
      </c>
      <c r="R123" s="15">
        <v>0</v>
      </c>
      <c r="S123" s="15">
        <v>1</v>
      </c>
    </row>
    <row r="124" spans="1:19" x14ac:dyDescent="0.25">
      <c r="A124" t="s">
        <v>10</v>
      </c>
      <c r="B124" t="s">
        <v>193</v>
      </c>
      <c r="C124" s="15">
        <v>2</v>
      </c>
      <c r="D124" s="15">
        <v>7.8</v>
      </c>
      <c r="E124" s="15" t="s">
        <v>8</v>
      </c>
      <c r="F124" s="15">
        <v>13.515000000000001</v>
      </c>
      <c r="G124" s="15">
        <v>0.57275649276110396</v>
      </c>
      <c r="H124" s="15">
        <v>0.56000000000000005</v>
      </c>
      <c r="I124" s="15" t="s">
        <v>8</v>
      </c>
      <c r="J124" s="15">
        <v>2.02</v>
      </c>
      <c r="K124" s="15">
        <v>0.11313708498984799</v>
      </c>
      <c r="L124" s="15">
        <v>93</v>
      </c>
      <c r="M124" s="15">
        <v>4.2426406871192803</v>
      </c>
      <c r="N124" s="15">
        <v>61.5</v>
      </c>
      <c r="O124" s="15">
        <v>0.70710678118654802</v>
      </c>
      <c r="P124" s="15">
        <v>1</v>
      </c>
      <c r="Q124" s="15">
        <v>0</v>
      </c>
      <c r="R124" s="15">
        <v>0</v>
      </c>
      <c r="S124" s="15">
        <v>0</v>
      </c>
    </row>
    <row r="125" spans="1:19" x14ac:dyDescent="0.25">
      <c r="A125" t="s">
        <v>10</v>
      </c>
      <c r="B125" t="s">
        <v>308</v>
      </c>
      <c r="C125" s="15">
        <v>2</v>
      </c>
      <c r="D125" s="15">
        <v>7.81</v>
      </c>
      <c r="E125" s="15">
        <v>0</v>
      </c>
      <c r="F125" s="15">
        <v>12.775</v>
      </c>
      <c r="G125" s="15">
        <v>0.82731493398826095</v>
      </c>
      <c r="H125" s="15">
        <v>0.61</v>
      </c>
      <c r="I125" s="15">
        <v>4.2426406871192902E-2</v>
      </c>
      <c r="J125" s="15">
        <v>2.0950000000000002</v>
      </c>
      <c r="K125" s="15">
        <v>4.94974746830582E-2</v>
      </c>
      <c r="L125" s="15">
        <v>149</v>
      </c>
      <c r="M125" s="15">
        <v>21.213203435596402</v>
      </c>
      <c r="N125" s="15">
        <v>84</v>
      </c>
      <c r="O125" s="15">
        <v>2.8284271247461898</v>
      </c>
      <c r="P125" s="15">
        <v>1</v>
      </c>
      <c r="Q125" s="15">
        <v>0</v>
      </c>
      <c r="R125" s="15">
        <v>0</v>
      </c>
      <c r="S125" s="15">
        <v>0</v>
      </c>
    </row>
    <row r="126" spans="1:19" x14ac:dyDescent="0.25">
      <c r="A126" t="s">
        <v>10</v>
      </c>
      <c r="B126" t="s">
        <v>151</v>
      </c>
      <c r="C126" s="15">
        <v>3</v>
      </c>
      <c r="D126" s="15">
        <v>7.85666666666667</v>
      </c>
      <c r="E126" s="15">
        <v>0.361432335760559</v>
      </c>
      <c r="F126" s="15">
        <v>13.4433333333333</v>
      </c>
      <c r="G126" s="15">
        <v>1.23386925293296</v>
      </c>
      <c r="H126" s="15">
        <v>0.59</v>
      </c>
      <c r="I126" s="15">
        <v>8.7177978870813397E-2</v>
      </c>
      <c r="J126" s="15">
        <v>2.66</v>
      </c>
      <c r="K126" s="15">
        <v>6.0827625302982302E-2</v>
      </c>
      <c r="L126" s="15">
        <v>41.6666666666667</v>
      </c>
      <c r="M126" s="15">
        <v>3.7859388972001802</v>
      </c>
      <c r="N126" s="15">
        <v>23.3333333333333</v>
      </c>
      <c r="O126" s="15">
        <v>1.1547005383792499</v>
      </c>
      <c r="P126" s="15">
        <v>0</v>
      </c>
      <c r="Q126" s="15">
        <v>0</v>
      </c>
      <c r="R126" s="15">
        <v>0</v>
      </c>
      <c r="S126" s="15">
        <v>1</v>
      </c>
    </row>
    <row r="127" spans="1:19" x14ac:dyDescent="0.25">
      <c r="A127" t="s">
        <v>10</v>
      </c>
      <c r="B127" t="s">
        <v>59</v>
      </c>
      <c r="C127" s="15">
        <v>2</v>
      </c>
      <c r="D127" s="15">
        <v>7.8650000000000002</v>
      </c>
      <c r="E127" s="15">
        <v>3.53553390593273E-2</v>
      </c>
      <c r="F127" s="15">
        <v>11.05</v>
      </c>
      <c r="G127" s="15">
        <v>0.93338095116624298</v>
      </c>
      <c r="H127" s="15">
        <v>0.71</v>
      </c>
      <c r="I127" s="15">
        <v>5.6568542494923803E-2</v>
      </c>
      <c r="J127" s="15">
        <v>2.88</v>
      </c>
      <c r="K127" s="15">
        <v>0.14142135623731</v>
      </c>
      <c r="L127" s="15">
        <v>111.5</v>
      </c>
      <c r="M127" s="15">
        <v>12.0208152801713</v>
      </c>
      <c r="N127" s="15">
        <v>149</v>
      </c>
      <c r="O127" s="15">
        <v>4.2426406871192803</v>
      </c>
      <c r="P127" s="15">
        <v>1</v>
      </c>
      <c r="Q127" s="15">
        <v>1</v>
      </c>
      <c r="R127" s="15">
        <v>0</v>
      </c>
      <c r="S127" s="15">
        <v>0</v>
      </c>
    </row>
    <row r="128" spans="1:19" x14ac:dyDescent="0.25">
      <c r="A128" t="s">
        <v>10</v>
      </c>
      <c r="B128" t="s">
        <v>130</v>
      </c>
      <c r="C128" s="15">
        <v>2</v>
      </c>
      <c r="D128" s="15">
        <v>7.875</v>
      </c>
      <c r="E128" s="15">
        <v>0.30405591591021502</v>
      </c>
      <c r="F128" s="15">
        <v>13.6</v>
      </c>
      <c r="G128" s="15">
        <v>0.89095454429505005</v>
      </c>
      <c r="H128" s="15">
        <v>0.57999999999999996</v>
      </c>
      <c r="I128" s="15">
        <v>1.4142135623730999E-2</v>
      </c>
      <c r="J128" s="15">
        <v>2.915</v>
      </c>
      <c r="K128" s="15">
        <v>7.7781745930520493E-2</v>
      </c>
      <c r="L128" s="15">
        <v>87.5</v>
      </c>
      <c r="M128" s="15">
        <v>2.1213203435596402</v>
      </c>
      <c r="N128" s="15">
        <v>119.5</v>
      </c>
      <c r="O128" s="15">
        <v>4.94974746830583</v>
      </c>
      <c r="P128" s="15">
        <v>1</v>
      </c>
      <c r="Q128" s="15">
        <v>1</v>
      </c>
      <c r="R128" s="15">
        <v>0</v>
      </c>
      <c r="S128" s="15">
        <v>0</v>
      </c>
    </row>
    <row r="129" spans="1:19" x14ac:dyDescent="0.25">
      <c r="A129" t="s">
        <v>10</v>
      </c>
      <c r="B129" t="s">
        <v>103</v>
      </c>
      <c r="C129" s="15">
        <v>2</v>
      </c>
      <c r="D129" s="15">
        <v>7.9</v>
      </c>
      <c r="E129" s="15" t="s">
        <v>8</v>
      </c>
      <c r="F129" s="15">
        <v>12.465</v>
      </c>
      <c r="G129" s="15">
        <v>1.9728279195104701</v>
      </c>
      <c r="H129" s="15">
        <v>0.56999999999999995</v>
      </c>
      <c r="I129" s="15" t="s">
        <v>8</v>
      </c>
      <c r="J129" s="15">
        <v>2.2450000000000001</v>
      </c>
      <c r="K129" s="15">
        <v>0.134350288425444</v>
      </c>
      <c r="L129" s="15">
        <v>165</v>
      </c>
      <c r="M129" s="15">
        <v>7.0710678118654799</v>
      </c>
      <c r="N129" s="15">
        <v>49.5</v>
      </c>
      <c r="O129" s="15">
        <v>12.0208152801713</v>
      </c>
      <c r="P129" s="15">
        <v>1</v>
      </c>
      <c r="Q129" s="15">
        <v>0</v>
      </c>
      <c r="R129" s="15">
        <v>0</v>
      </c>
      <c r="S129" s="15">
        <v>0</v>
      </c>
    </row>
    <row r="130" spans="1:19" x14ac:dyDescent="0.25">
      <c r="A130" t="s">
        <v>10</v>
      </c>
      <c r="B130" t="s">
        <v>22</v>
      </c>
      <c r="C130" s="15">
        <v>4</v>
      </c>
      <c r="D130" s="15">
        <v>7.92</v>
      </c>
      <c r="E130" s="15" t="s">
        <v>8</v>
      </c>
      <c r="F130" s="15">
        <v>7.92</v>
      </c>
      <c r="G130" s="15">
        <v>2.1792200439606799</v>
      </c>
      <c r="H130" s="15">
        <v>1.1200000000000001</v>
      </c>
      <c r="I130" s="15" t="s">
        <v>8</v>
      </c>
      <c r="J130" s="15">
        <v>1.8125</v>
      </c>
      <c r="K130" s="15">
        <v>0.138894444333338</v>
      </c>
      <c r="L130" s="15">
        <v>169.25</v>
      </c>
      <c r="M130" s="15">
        <v>50.986109219407297</v>
      </c>
      <c r="N130" s="15">
        <v>37</v>
      </c>
      <c r="O130" s="15">
        <v>17.832554500126999</v>
      </c>
      <c r="P130" s="15">
        <v>0</v>
      </c>
      <c r="Q130" s="15">
        <v>0</v>
      </c>
      <c r="R130" s="15">
        <v>0</v>
      </c>
      <c r="S130" s="15">
        <v>1</v>
      </c>
    </row>
    <row r="131" spans="1:19" x14ac:dyDescent="0.25">
      <c r="A131" t="s">
        <v>10</v>
      </c>
      <c r="B131" t="s">
        <v>145</v>
      </c>
      <c r="C131" s="15">
        <v>2</v>
      </c>
      <c r="D131" s="15">
        <v>7.93</v>
      </c>
      <c r="E131" s="15">
        <v>0.141421356237309</v>
      </c>
      <c r="F131" s="15">
        <v>14.555</v>
      </c>
      <c r="G131" s="15">
        <v>9.1923881554250506E-2</v>
      </c>
      <c r="H131" s="15">
        <v>0.54500000000000004</v>
      </c>
      <c r="I131" s="15">
        <v>7.0710678118654797E-3</v>
      </c>
      <c r="J131" s="15">
        <v>2.0299999999999998</v>
      </c>
      <c r="K131" s="15">
        <v>7.0710678118654793E-2</v>
      </c>
      <c r="L131" s="15">
        <v>166</v>
      </c>
      <c r="M131" s="15">
        <v>22.627416997969501</v>
      </c>
      <c r="N131" s="15">
        <v>74.5</v>
      </c>
      <c r="O131" s="15">
        <v>2.1213203435596402</v>
      </c>
      <c r="P131" s="15">
        <v>1</v>
      </c>
      <c r="Q131" s="15">
        <v>0</v>
      </c>
      <c r="R131" s="15">
        <v>1</v>
      </c>
      <c r="S131" s="15">
        <v>0</v>
      </c>
    </row>
    <row r="132" spans="1:19" x14ac:dyDescent="0.25">
      <c r="A132" t="s">
        <v>10</v>
      </c>
      <c r="B132" t="s">
        <v>117</v>
      </c>
      <c r="C132" s="15">
        <v>4</v>
      </c>
      <c r="D132" s="15">
        <v>7.99</v>
      </c>
      <c r="E132" s="15" t="s">
        <v>8</v>
      </c>
      <c r="F132" s="15">
        <v>11.9725</v>
      </c>
      <c r="G132" s="15">
        <v>0.54303928648548605</v>
      </c>
      <c r="H132" s="15">
        <v>0.63</v>
      </c>
      <c r="I132" s="15" t="s">
        <v>8</v>
      </c>
      <c r="J132" s="15">
        <v>2.085</v>
      </c>
      <c r="K132" s="15">
        <v>9.4692484742278593E-2</v>
      </c>
      <c r="L132" s="15">
        <v>134.25</v>
      </c>
      <c r="M132" s="15">
        <v>9.0323492698928192</v>
      </c>
      <c r="N132" s="15">
        <v>71.25</v>
      </c>
      <c r="O132" s="15">
        <v>8.3815273071201108</v>
      </c>
      <c r="P132" s="15">
        <v>1</v>
      </c>
      <c r="Q132" s="15">
        <v>0</v>
      </c>
      <c r="R132" s="15">
        <v>0</v>
      </c>
      <c r="S132" s="15">
        <v>0</v>
      </c>
    </row>
    <row r="133" spans="1:19" x14ac:dyDescent="0.25">
      <c r="A133" t="s">
        <v>10</v>
      </c>
      <c r="B133" t="s">
        <v>126</v>
      </c>
      <c r="C133" s="15">
        <v>1</v>
      </c>
      <c r="D133" s="15">
        <v>8</v>
      </c>
      <c r="E133" s="15" t="s">
        <v>8</v>
      </c>
      <c r="F133" s="15">
        <v>19.489999999999998</v>
      </c>
      <c r="G133" s="15" t="s">
        <v>8</v>
      </c>
      <c r="H133" s="15">
        <v>0.41</v>
      </c>
      <c r="I133" s="15" t="s">
        <v>8</v>
      </c>
      <c r="J133" s="15">
        <v>2.2200000000000002</v>
      </c>
      <c r="K133" s="15" t="s">
        <v>8</v>
      </c>
      <c r="L133" s="15">
        <v>203</v>
      </c>
      <c r="M133" s="15" t="s">
        <v>8</v>
      </c>
      <c r="N133" s="15">
        <v>44</v>
      </c>
      <c r="O133" s="15" t="s">
        <v>8</v>
      </c>
      <c r="P133" s="15">
        <v>1</v>
      </c>
      <c r="Q133" s="15">
        <v>0</v>
      </c>
      <c r="R133" s="15">
        <v>0</v>
      </c>
      <c r="S133" s="15">
        <v>0</v>
      </c>
    </row>
    <row r="134" spans="1:19" x14ac:dyDescent="0.25">
      <c r="A134" t="s">
        <v>10</v>
      </c>
      <c r="B134" t="s">
        <v>280</v>
      </c>
      <c r="C134" s="15">
        <v>2</v>
      </c>
      <c r="D134" s="15">
        <v>8</v>
      </c>
      <c r="E134" s="15">
        <v>0</v>
      </c>
      <c r="F134" s="15">
        <v>8.9949999999999992</v>
      </c>
      <c r="G134" s="15">
        <v>6.3639610306789204E-2</v>
      </c>
      <c r="H134" s="15">
        <v>0.88500000000000001</v>
      </c>
      <c r="I134" s="15">
        <v>7.0710678118654797E-3</v>
      </c>
      <c r="J134" s="15">
        <v>3.0550000000000002</v>
      </c>
      <c r="K134" s="15">
        <v>4.94974746830582E-2</v>
      </c>
      <c r="L134" s="15">
        <v>117</v>
      </c>
      <c r="M134" s="15">
        <v>4.2426406871192803</v>
      </c>
      <c r="N134" s="15">
        <v>91</v>
      </c>
      <c r="O134" s="15">
        <v>9.8994949366116707</v>
      </c>
      <c r="P134" s="15">
        <v>1</v>
      </c>
      <c r="Q134" s="15">
        <v>1</v>
      </c>
      <c r="R134" s="15">
        <v>0</v>
      </c>
      <c r="S134" s="15">
        <v>0</v>
      </c>
    </row>
    <row r="135" spans="1:19" x14ac:dyDescent="0.25">
      <c r="A135" t="s">
        <v>10</v>
      </c>
      <c r="B135" t="s">
        <v>281</v>
      </c>
      <c r="C135" s="15">
        <v>1</v>
      </c>
      <c r="D135" s="15">
        <v>8</v>
      </c>
      <c r="E135" s="15" t="s">
        <v>8</v>
      </c>
      <c r="F135" s="15">
        <v>9.42</v>
      </c>
      <c r="G135" s="15" t="s">
        <v>8</v>
      </c>
      <c r="H135" s="15">
        <v>0.85</v>
      </c>
      <c r="I135" s="15" t="s">
        <v>8</v>
      </c>
      <c r="J135" s="15">
        <v>2.46</v>
      </c>
      <c r="K135" s="15" t="s">
        <v>8</v>
      </c>
      <c r="L135" s="15">
        <v>130</v>
      </c>
      <c r="M135" s="15" t="s">
        <v>8</v>
      </c>
      <c r="N135" s="15">
        <v>104</v>
      </c>
      <c r="O135" s="15" t="s">
        <v>8</v>
      </c>
      <c r="P135" s="15">
        <v>1</v>
      </c>
      <c r="Q135" s="15">
        <v>1</v>
      </c>
      <c r="R135" s="15">
        <v>0</v>
      </c>
      <c r="S135" s="15">
        <v>0</v>
      </c>
    </row>
    <row r="136" spans="1:19" x14ac:dyDescent="0.25">
      <c r="A136" t="s">
        <v>10</v>
      </c>
      <c r="B136" t="s">
        <v>199</v>
      </c>
      <c r="C136" s="15">
        <v>2</v>
      </c>
      <c r="D136" s="15">
        <v>8</v>
      </c>
      <c r="E136" s="15" t="s">
        <v>8</v>
      </c>
      <c r="F136" s="15">
        <v>11.404999999999999</v>
      </c>
      <c r="G136" s="15">
        <v>1.47785317267988</v>
      </c>
      <c r="H136" s="15">
        <v>0.64</v>
      </c>
      <c r="I136" s="15" t="s">
        <v>8</v>
      </c>
      <c r="J136" s="15">
        <v>2.0449999999999999</v>
      </c>
      <c r="K136" s="15">
        <v>4.9497474683058498E-2</v>
      </c>
      <c r="L136" s="15">
        <v>117.5</v>
      </c>
      <c r="M136" s="15">
        <v>9.1923881554251192</v>
      </c>
      <c r="N136" s="15">
        <v>51.5</v>
      </c>
      <c r="O136" s="15">
        <v>12.0208152801713</v>
      </c>
      <c r="P136" s="15">
        <v>0</v>
      </c>
      <c r="Q136" s="15">
        <v>0</v>
      </c>
      <c r="R136" s="15">
        <v>0</v>
      </c>
      <c r="S136" s="15">
        <v>1</v>
      </c>
    </row>
    <row r="137" spans="1:19" x14ac:dyDescent="0.25">
      <c r="A137" t="s">
        <v>10</v>
      </c>
      <c r="B137" t="s">
        <v>104</v>
      </c>
      <c r="C137" s="15">
        <v>2</v>
      </c>
      <c r="D137" s="15">
        <v>8.01</v>
      </c>
      <c r="E137" s="15" t="s">
        <v>8</v>
      </c>
      <c r="F137" s="15">
        <v>13.205</v>
      </c>
      <c r="G137" s="15">
        <v>1.9869700551342</v>
      </c>
      <c r="H137" s="15">
        <v>0.68</v>
      </c>
      <c r="I137" s="15" t="s">
        <v>8</v>
      </c>
      <c r="J137" s="15">
        <v>2.09</v>
      </c>
      <c r="K137" s="15">
        <v>0.18384776310850301</v>
      </c>
      <c r="L137" s="15">
        <v>160.5</v>
      </c>
      <c r="M137" s="15">
        <v>20.506096654409902</v>
      </c>
      <c r="N137" s="15">
        <v>73</v>
      </c>
      <c r="O137" s="15">
        <v>18.384776310850199</v>
      </c>
      <c r="P137" s="15">
        <v>1</v>
      </c>
      <c r="Q137" s="15">
        <v>0</v>
      </c>
      <c r="R137" s="15">
        <v>0</v>
      </c>
      <c r="S137" s="15">
        <v>0</v>
      </c>
    </row>
    <row r="138" spans="1:19" x14ac:dyDescent="0.25">
      <c r="A138" t="s">
        <v>10</v>
      </c>
      <c r="B138" t="s">
        <v>139</v>
      </c>
      <c r="C138" s="15">
        <v>2</v>
      </c>
      <c r="D138" s="15">
        <v>8.0399999999999991</v>
      </c>
      <c r="E138" s="15" t="s">
        <v>8</v>
      </c>
      <c r="F138" s="15">
        <v>14.68</v>
      </c>
      <c r="G138" s="15">
        <v>0.63639610306789296</v>
      </c>
      <c r="H138" s="15">
        <v>0.56000000000000005</v>
      </c>
      <c r="I138" s="15" t="s">
        <v>8</v>
      </c>
      <c r="J138" s="15">
        <v>2.64</v>
      </c>
      <c r="K138" s="15">
        <v>8.4852813742385805E-2</v>
      </c>
      <c r="L138" s="15">
        <v>41.5</v>
      </c>
      <c r="M138" s="15">
        <v>3.53553390593274</v>
      </c>
      <c r="N138" s="15">
        <v>23</v>
      </c>
      <c r="O138" s="15">
        <v>1.4142135623731</v>
      </c>
      <c r="P138" s="15">
        <v>1</v>
      </c>
      <c r="Q138" s="15">
        <v>0</v>
      </c>
      <c r="R138" s="15">
        <v>0</v>
      </c>
      <c r="S138" s="15">
        <v>0</v>
      </c>
    </row>
    <row r="139" spans="1:19" x14ac:dyDescent="0.25">
      <c r="A139" t="s">
        <v>10</v>
      </c>
      <c r="B139" t="s">
        <v>140</v>
      </c>
      <c r="C139" s="15">
        <v>1</v>
      </c>
      <c r="D139" s="15">
        <v>8.0399999999999991</v>
      </c>
      <c r="E139" s="15" t="s">
        <v>8</v>
      </c>
      <c r="F139" s="15">
        <v>13.88</v>
      </c>
      <c r="G139" s="15" t="s">
        <v>8</v>
      </c>
      <c r="H139" s="15">
        <v>0.57999999999999996</v>
      </c>
      <c r="I139" s="15" t="s">
        <v>8</v>
      </c>
      <c r="J139" s="15">
        <v>2.76</v>
      </c>
      <c r="K139" s="15" t="s">
        <v>8</v>
      </c>
      <c r="L139" s="15">
        <v>44</v>
      </c>
      <c r="M139" s="15" t="s">
        <v>8</v>
      </c>
      <c r="N139" s="15">
        <v>23</v>
      </c>
      <c r="O139" s="15" t="s">
        <v>8</v>
      </c>
      <c r="P139" s="15">
        <v>1</v>
      </c>
      <c r="Q139" s="15">
        <v>0</v>
      </c>
      <c r="R139" s="15">
        <v>0</v>
      </c>
      <c r="S139" s="15">
        <v>0</v>
      </c>
    </row>
    <row r="140" spans="1:19" x14ac:dyDescent="0.25">
      <c r="A140" t="s">
        <v>10</v>
      </c>
      <c r="B140" t="s">
        <v>142</v>
      </c>
      <c r="C140" s="15">
        <v>3</v>
      </c>
      <c r="D140" s="15">
        <v>8.07</v>
      </c>
      <c r="E140" s="15">
        <v>7.0710678118654502E-2</v>
      </c>
      <c r="F140" s="15">
        <v>12.3533333333333</v>
      </c>
      <c r="G140" s="15">
        <v>0.88262864973517197</v>
      </c>
      <c r="H140" s="15">
        <v>0.66500000000000004</v>
      </c>
      <c r="I140" s="15">
        <v>6.3639610306789302E-2</v>
      </c>
      <c r="J140" s="15">
        <v>1.85</v>
      </c>
      <c r="K140" s="15">
        <v>0.225388553391693</v>
      </c>
      <c r="L140" s="15">
        <v>111</v>
      </c>
      <c r="M140" s="15">
        <v>4.3588989435406704</v>
      </c>
      <c r="N140" s="15">
        <v>66.3333333333333</v>
      </c>
      <c r="O140" s="15">
        <v>6.5064070986477098</v>
      </c>
      <c r="P140" s="15">
        <v>1</v>
      </c>
      <c r="Q140" s="15">
        <v>0</v>
      </c>
      <c r="R140" s="15">
        <v>1</v>
      </c>
      <c r="S140" s="15">
        <v>0</v>
      </c>
    </row>
    <row r="141" spans="1:19" x14ac:dyDescent="0.25">
      <c r="A141" t="s">
        <v>10</v>
      </c>
      <c r="B141" t="s">
        <v>15</v>
      </c>
      <c r="C141" s="15">
        <v>3</v>
      </c>
      <c r="D141" s="15">
        <v>8.1</v>
      </c>
      <c r="E141" s="15">
        <v>0.38183766184073498</v>
      </c>
      <c r="F141" s="15">
        <v>11.526666666666699</v>
      </c>
      <c r="G141" s="15">
        <v>0.35795716689756801</v>
      </c>
      <c r="H141" s="15">
        <v>0.71499999999999997</v>
      </c>
      <c r="I141" s="15">
        <v>4.9497474683058297E-2</v>
      </c>
      <c r="J141" s="15">
        <v>1.87333333333333</v>
      </c>
      <c r="K141" s="15">
        <v>0.12662279942148399</v>
      </c>
      <c r="L141" s="15">
        <v>214</v>
      </c>
      <c r="M141" s="15">
        <v>5.2915026221291797</v>
      </c>
      <c r="N141" s="15">
        <v>18</v>
      </c>
      <c r="O141" s="15">
        <v>2</v>
      </c>
      <c r="P141" s="15">
        <v>0</v>
      </c>
      <c r="Q141" s="15">
        <v>0</v>
      </c>
      <c r="R141" s="15">
        <v>0</v>
      </c>
      <c r="S141" s="15">
        <v>1</v>
      </c>
    </row>
    <row r="142" spans="1:19" x14ac:dyDescent="0.25">
      <c r="A142" t="s">
        <v>10</v>
      </c>
      <c r="B142" t="s">
        <v>141</v>
      </c>
      <c r="C142" s="15">
        <v>6</v>
      </c>
      <c r="D142" s="15">
        <v>8.1</v>
      </c>
      <c r="E142" s="15">
        <v>0.551543289325507</v>
      </c>
      <c r="F142" s="15">
        <v>10.7083333333333</v>
      </c>
      <c r="G142" s="15">
        <v>1.7477003938509199</v>
      </c>
      <c r="H142" s="15">
        <v>0.85</v>
      </c>
      <c r="I142" s="15">
        <v>0.22627416997969499</v>
      </c>
      <c r="J142" s="15">
        <v>1.9766666666666699</v>
      </c>
      <c r="K142" s="15">
        <v>0.64273374477046596</v>
      </c>
      <c r="L142" s="15">
        <v>178.166666666667</v>
      </c>
      <c r="M142" s="15">
        <v>29.437504423212701</v>
      </c>
      <c r="N142" s="15">
        <v>46.3333333333333</v>
      </c>
      <c r="O142" s="15">
        <v>18.661904154363999</v>
      </c>
      <c r="P142" s="15">
        <v>0</v>
      </c>
      <c r="Q142" s="15">
        <v>0</v>
      </c>
      <c r="R142" s="15">
        <v>0</v>
      </c>
      <c r="S142" s="15">
        <v>1</v>
      </c>
    </row>
    <row r="143" spans="1:19" x14ac:dyDescent="0.25">
      <c r="A143" t="s">
        <v>10</v>
      </c>
      <c r="B143" t="s">
        <v>241</v>
      </c>
      <c r="C143" s="15">
        <v>4</v>
      </c>
      <c r="D143" s="15">
        <v>8.16</v>
      </c>
      <c r="E143" s="15">
        <v>0.28827070610799199</v>
      </c>
      <c r="F143" s="15">
        <v>12.845000000000001</v>
      </c>
      <c r="G143" s="15">
        <v>3.0590031055884901</v>
      </c>
      <c r="H143" s="15">
        <v>0.68666666666666698</v>
      </c>
      <c r="I143" s="15">
        <v>0.19035055380359001</v>
      </c>
      <c r="J143" s="15">
        <v>1.56</v>
      </c>
      <c r="K143" s="15">
        <v>0.227009544586419</v>
      </c>
      <c r="L143" s="15">
        <v>211.25</v>
      </c>
      <c r="M143" s="15">
        <v>11.295279249905001</v>
      </c>
      <c r="N143" s="15">
        <v>20.5</v>
      </c>
      <c r="O143" s="15">
        <v>10.4083299973307</v>
      </c>
      <c r="P143" s="15">
        <v>0</v>
      </c>
      <c r="Q143" s="15">
        <v>0</v>
      </c>
      <c r="R143" s="15">
        <v>0</v>
      </c>
      <c r="S143" s="15">
        <v>1</v>
      </c>
    </row>
    <row r="144" spans="1:19" x14ac:dyDescent="0.25">
      <c r="A144" t="s">
        <v>10</v>
      </c>
      <c r="B144" t="s">
        <v>146</v>
      </c>
      <c r="C144" s="15">
        <v>1</v>
      </c>
      <c r="D144" s="15">
        <v>8.17</v>
      </c>
      <c r="E144" s="15" t="s">
        <v>8</v>
      </c>
      <c r="F144" s="15">
        <v>12.36</v>
      </c>
      <c r="G144" s="15" t="s">
        <v>8</v>
      </c>
      <c r="H144" s="15">
        <v>0.66</v>
      </c>
      <c r="I144" s="15" t="s">
        <v>8</v>
      </c>
      <c r="J144" s="15">
        <v>1.66</v>
      </c>
      <c r="K144" s="15" t="s">
        <v>8</v>
      </c>
      <c r="L144" s="15">
        <v>100</v>
      </c>
      <c r="M144" s="15" t="s">
        <v>8</v>
      </c>
      <c r="N144" s="15">
        <v>58</v>
      </c>
      <c r="O144" s="15" t="s">
        <v>8</v>
      </c>
      <c r="P144" s="15">
        <v>1</v>
      </c>
      <c r="Q144" s="15">
        <v>0</v>
      </c>
      <c r="R144" s="15">
        <v>1</v>
      </c>
      <c r="S144" s="15">
        <v>0</v>
      </c>
    </row>
    <row r="145" spans="1:19" x14ac:dyDescent="0.25">
      <c r="A145" t="s">
        <v>10</v>
      </c>
      <c r="B145" t="s">
        <v>147</v>
      </c>
      <c r="C145" s="15">
        <v>1</v>
      </c>
      <c r="D145" s="15">
        <v>8.17</v>
      </c>
      <c r="E145" s="15" t="s">
        <v>8</v>
      </c>
      <c r="F145" s="15">
        <v>11.77</v>
      </c>
      <c r="G145" s="15" t="s">
        <v>8</v>
      </c>
      <c r="H145" s="15">
        <v>0.69</v>
      </c>
      <c r="I145" s="15" t="s">
        <v>8</v>
      </c>
      <c r="J145" s="15">
        <v>1.53</v>
      </c>
      <c r="K145" s="15" t="s">
        <v>8</v>
      </c>
      <c r="L145" s="15">
        <v>108</v>
      </c>
      <c r="M145" s="15" t="s">
        <v>8</v>
      </c>
      <c r="N145" s="15">
        <v>96</v>
      </c>
      <c r="O145" s="15" t="s">
        <v>8</v>
      </c>
      <c r="P145" s="15">
        <v>1</v>
      </c>
      <c r="Q145" s="15">
        <v>0</v>
      </c>
      <c r="R145" s="15">
        <v>1</v>
      </c>
      <c r="S145" s="15">
        <v>0</v>
      </c>
    </row>
    <row r="146" spans="1:19" x14ac:dyDescent="0.25">
      <c r="A146" t="s">
        <v>10</v>
      </c>
      <c r="B146" t="s">
        <v>254</v>
      </c>
      <c r="C146" s="15">
        <v>2</v>
      </c>
      <c r="D146" s="15">
        <v>8.31</v>
      </c>
      <c r="E146" s="15">
        <v>0</v>
      </c>
      <c r="F146" s="15">
        <v>10.38</v>
      </c>
      <c r="G146" s="15">
        <v>0.91923881554251097</v>
      </c>
      <c r="H146" s="15">
        <v>0.8</v>
      </c>
      <c r="I146" s="15">
        <v>7.0710678118654696E-2</v>
      </c>
      <c r="J146" s="15">
        <v>1.2350000000000001</v>
      </c>
      <c r="K146" s="15">
        <v>1.5344217151748101</v>
      </c>
      <c r="L146" s="15">
        <v>118</v>
      </c>
      <c r="M146" s="15">
        <v>19.798989873223299</v>
      </c>
      <c r="N146" s="15">
        <v>59</v>
      </c>
      <c r="O146" s="15">
        <v>1.4142135623731</v>
      </c>
      <c r="P146" s="15">
        <v>1</v>
      </c>
      <c r="Q146" s="15">
        <v>0</v>
      </c>
      <c r="R146" s="15">
        <v>0</v>
      </c>
      <c r="S146" s="15">
        <v>0</v>
      </c>
    </row>
    <row r="147" spans="1:19" x14ac:dyDescent="0.25">
      <c r="A147" t="s">
        <v>10</v>
      </c>
      <c r="B147" t="s">
        <v>309</v>
      </c>
      <c r="C147" s="15">
        <v>1</v>
      </c>
      <c r="D147" s="15">
        <v>8.32</v>
      </c>
      <c r="E147" s="15" t="s">
        <v>8</v>
      </c>
      <c r="F147" s="15">
        <v>16.14</v>
      </c>
      <c r="G147" s="15" t="s">
        <v>8</v>
      </c>
      <c r="H147" s="15">
        <v>0.52</v>
      </c>
      <c r="I147" s="15" t="s">
        <v>8</v>
      </c>
      <c r="J147" s="15">
        <v>1.8</v>
      </c>
      <c r="K147" s="15" t="s">
        <v>8</v>
      </c>
      <c r="L147" s="15">
        <v>168</v>
      </c>
      <c r="M147" s="15" t="s">
        <v>8</v>
      </c>
      <c r="N147" s="15">
        <v>52</v>
      </c>
      <c r="O147" s="15" t="s">
        <v>8</v>
      </c>
      <c r="P147" s="15">
        <v>1</v>
      </c>
      <c r="Q147" s="15">
        <v>0</v>
      </c>
      <c r="R147" s="15">
        <v>0</v>
      </c>
      <c r="S147" s="15">
        <v>0</v>
      </c>
    </row>
    <row r="148" spans="1:19" x14ac:dyDescent="0.25">
      <c r="A148" t="s">
        <v>10</v>
      </c>
      <c r="B148" t="s">
        <v>310</v>
      </c>
      <c r="C148" s="15">
        <v>1</v>
      </c>
      <c r="D148" s="15">
        <v>8.32</v>
      </c>
      <c r="E148" s="15" t="s">
        <v>8</v>
      </c>
      <c r="F148" s="15">
        <v>11.88</v>
      </c>
      <c r="G148" s="15" t="s">
        <v>8</v>
      </c>
      <c r="H148" s="15">
        <v>0.7</v>
      </c>
      <c r="I148" s="15" t="s">
        <v>8</v>
      </c>
      <c r="J148" s="15">
        <v>2.21</v>
      </c>
      <c r="K148" s="15" t="s">
        <v>8</v>
      </c>
      <c r="L148" s="15">
        <v>149</v>
      </c>
      <c r="M148" s="15" t="s">
        <v>8</v>
      </c>
      <c r="N148" s="15">
        <v>50</v>
      </c>
      <c r="O148" s="15" t="s">
        <v>8</v>
      </c>
      <c r="P148" s="15">
        <v>1</v>
      </c>
      <c r="Q148" s="15">
        <v>0</v>
      </c>
      <c r="R148" s="15">
        <v>0</v>
      </c>
      <c r="S148" s="15">
        <v>0</v>
      </c>
    </row>
    <row r="149" spans="1:19" x14ac:dyDescent="0.25">
      <c r="A149" t="s">
        <v>10</v>
      </c>
      <c r="B149" t="s">
        <v>202</v>
      </c>
      <c r="C149" s="15">
        <v>1</v>
      </c>
      <c r="D149" s="15">
        <v>8.32</v>
      </c>
      <c r="E149" s="15" t="s">
        <v>8</v>
      </c>
      <c r="F149" s="15">
        <v>9.1999999999999993</v>
      </c>
      <c r="G149" s="15" t="s">
        <v>8</v>
      </c>
      <c r="H149" s="15">
        <v>0.9</v>
      </c>
      <c r="I149" s="15" t="s">
        <v>8</v>
      </c>
      <c r="J149" s="15">
        <v>2.25</v>
      </c>
      <c r="K149" s="15" t="s">
        <v>8</v>
      </c>
      <c r="L149" s="15">
        <v>84</v>
      </c>
      <c r="M149" s="15" t="s">
        <v>8</v>
      </c>
      <c r="N149" s="15">
        <v>40</v>
      </c>
      <c r="O149" s="15" t="s">
        <v>8</v>
      </c>
      <c r="P149" s="15">
        <v>1</v>
      </c>
      <c r="Q149" s="15">
        <v>0</v>
      </c>
      <c r="R149" s="15">
        <v>0</v>
      </c>
      <c r="S149" s="15">
        <v>0</v>
      </c>
    </row>
    <row r="150" spans="1:19" x14ac:dyDescent="0.25">
      <c r="A150" t="s">
        <v>10</v>
      </c>
      <c r="B150" t="s">
        <v>203</v>
      </c>
      <c r="C150" s="15">
        <v>2</v>
      </c>
      <c r="D150" s="15">
        <v>8.32</v>
      </c>
      <c r="E150" s="15">
        <v>0</v>
      </c>
      <c r="F150" s="15">
        <v>10.095000000000001</v>
      </c>
      <c r="G150" s="15">
        <v>1.5627059864222701</v>
      </c>
      <c r="H150" s="15">
        <v>0.83499999999999996</v>
      </c>
      <c r="I150" s="15">
        <v>0.134350288425444</v>
      </c>
      <c r="J150" s="15">
        <v>2.14</v>
      </c>
      <c r="K150" s="15">
        <v>0.11313708498984799</v>
      </c>
      <c r="L150" s="15">
        <v>140.5</v>
      </c>
      <c r="M150" s="15">
        <v>30.405591591021501</v>
      </c>
      <c r="N150" s="15">
        <v>64.5</v>
      </c>
      <c r="O150" s="15">
        <v>9.1923881554251192</v>
      </c>
      <c r="P150" s="15">
        <v>1</v>
      </c>
      <c r="Q150" s="15">
        <v>0</v>
      </c>
      <c r="R150" s="15">
        <v>0</v>
      </c>
      <c r="S150" s="15">
        <v>0</v>
      </c>
    </row>
    <row r="151" spans="1:19" x14ac:dyDescent="0.25">
      <c r="A151" t="s">
        <v>10</v>
      </c>
      <c r="B151" t="s">
        <v>204</v>
      </c>
      <c r="C151" s="15">
        <v>2</v>
      </c>
      <c r="D151" s="15">
        <v>8.32</v>
      </c>
      <c r="E151" s="15">
        <v>0</v>
      </c>
      <c r="F151" s="15">
        <v>9.9450000000000003</v>
      </c>
      <c r="G151" s="15">
        <v>0.94045201897810804</v>
      </c>
      <c r="H151" s="15">
        <v>0.84</v>
      </c>
      <c r="I151" s="15">
        <v>8.4852813742385694E-2</v>
      </c>
      <c r="J151" s="15">
        <v>2.15</v>
      </c>
      <c r="K151" s="15">
        <v>2.8284271247461901E-2</v>
      </c>
      <c r="L151" s="15">
        <v>165</v>
      </c>
      <c r="M151" s="15">
        <v>9.8994949366116707</v>
      </c>
      <c r="N151" s="15">
        <v>69.5</v>
      </c>
      <c r="O151" s="15">
        <v>20.506096654409902</v>
      </c>
      <c r="P151" s="15">
        <v>1</v>
      </c>
      <c r="Q151" s="15">
        <v>0</v>
      </c>
      <c r="R151" s="15">
        <v>0</v>
      </c>
      <c r="S151" s="15">
        <v>0</v>
      </c>
    </row>
    <row r="152" spans="1:19" x14ac:dyDescent="0.25">
      <c r="A152" t="s">
        <v>10</v>
      </c>
      <c r="B152" t="s">
        <v>30</v>
      </c>
      <c r="C152" s="15">
        <v>5</v>
      </c>
      <c r="D152" s="15">
        <v>8.3260000000000005</v>
      </c>
      <c r="E152" s="15">
        <v>0.75526816429662902</v>
      </c>
      <c r="F152" s="15">
        <v>12.27</v>
      </c>
      <c r="G152" s="15">
        <v>0.76602872008822198</v>
      </c>
      <c r="H152" s="15">
        <v>0.68200000000000005</v>
      </c>
      <c r="I152" s="15">
        <v>8.28854631404084E-2</v>
      </c>
      <c r="J152" s="15">
        <v>2.4159999999999999</v>
      </c>
      <c r="K152" s="15">
        <v>4.5055521304275203E-2</v>
      </c>
      <c r="L152" s="15">
        <v>132.80000000000001</v>
      </c>
      <c r="M152" s="15">
        <v>17.455658108475902</v>
      </c>
      <c r="N152" s="15">
        <v>68.2</v>
      </c>
      <c r="O152" s="15">
        <v>3.8987177379235902</v>
      </c>
      <c r="P152" s="15">
        <v>1</v>
      </c>
      <c r="Q152" s="15">
        <v>0</v>
      </c>
      <c r="R152" s="15">
        <v>0</v>
      </c>
      <c r="S152" s="15">
        <v>0</v>
      </c>
    </row>
    <row r="153" spans="1:19" x14ac:dyDescent="0.25">
      <c r="A153" t="s">
        <v>10</v>
      </c>
      <c r="B153" t="s">
        <v>37</v>
      </c>
      <c r="C153" s="15">
        <v>1</v>
      </c>
      <c r="D153" s="15">
        <v>8.33</v>
      </c>
      <c r="E153" s="15" t="s">
        <v>8</v>
      </c>
      <c r="F153" s="15">
        <v>16.36</v>
      </c>
      <c r="G153" s="15" t="s">
        <v>8</v>
      </c>
      <c r="H153" s="15">
        <v>0.51</v>
      </c>
      <c r="I153" s="15" t="s">
        <v>8</v>
      </c>
      <c r="J153" s="15">
        <v>2.34</v>
      </c>
      <c r="K153" s="15" t="s">
        <v>8</v>
      </c>
      <c r="L153" s="15">
        <v>34</v>
      </c>
      <c r="M153" s="15" t="s">
        <v>8</v>
      </c>
      <c r="N153" s="15">
        <v>20</v>
      </c>
      <c r="O153" s="15" t="s">
        <v>8</v>
      </c>
      <c r="P153" s="15">
        <v>1</v>
      </c>
      <c r="Q153" s="15">
        <v>0</v>
      </c>
      <c r="R153" s="15">
        <v>0</v>
      </c>
      <c r="S153" s="15">
        <v>0</v>
      </c>
    </row>
    <row r="154" spans="1:19" x14ac:dyDescent="0.25">
      <c r="A154" t="s">
        <v>10</v>
      </c>
      <c r="B154" t="s">
        <v>196</v>
      </c>
      <c r="C154" s="15">
        <v>2</v>
      </c>
      <c r="D154" s="15">
        <v>8.35</v>
      </c>
      <c r="E154" s="15" t="s">
        <v>8</v>
      </c>
      <c r="F154" s="15">
        <v>13.05</v>
      </c>
      <c r="G154" s="15">
        <v>1.4283556979968299</v>
      </c>
      <c r="H154" s="15">
        <v>0.59</v>
      </c>
      <c r="I154" s="15" t="s">
        <v>8</v>
      </c>
      <c r="J154" s="15">
        <v>2.125</v>
      </c>
      <c r="K154" s="15">
        <v>0.26162950903902299</v>
      </c>
      <c r="L154" s="15">
        <v>144</v>
      </c>
      <c r="M154" s="15">
        <v>25.4558441227157</v>
      </c>
      <c r="N154" s="15">
        <v>47</v>
      </c>
      <c r="O154" s="15">
        <v>1.4142135623731</v>
      </c>
      <c r="P154" s="15">
        <v>1</v>
      </c>
      <c r="Q154" s="15">
        <v>0</v>
      </c>
      <c r="R154" s="15">
        <v>0</v>
      </c>
      <c r="S154" s="15">
        <v>0</v>
      </c>
    </row>
    <row r="155" spans="1:19" x14ac:dyDescent="0.25">
      <c r="A155" t="s">
        <v>10</v>
      </c>
      <c r="B155" t="s">
        <v>41</v>
      </c>
      <c r="C155" s="15">
        <v>1</v>
      </c>
      <c r="D155" s="15">
        <v>8.3699999999999992</v>
      </c>
      <c r="E155" s="15" t="s">
        <v>8</v>
      </c>
      <c r="F155" s="15">
        <v>14.55</v>
      </c>
      <c r="G155" s="15" t="s">
        <v>8</v>
      </c>
      <c r="H155" s="15">
        <v>0.57999999999999996</v>
      </c>
      <c r="I155" s="15" t="s">
        <v>8</v>
      </c>
      <c r="J155" s="15">
        <v>2.2200000000000002</v>
      </c>
      <c r="K155" s="15" t="s">
        <v>8</v>
      </c>
      <c r="L155" s="15">
        <v>62</v>
      </c>
      <c r="M155" s="15" t="s">
        <v>8</v>
      </c>
      <c r="N155" s="15">
        <v>54</v>
      </c>
      <c r="O155" s="15" t="s">
        <v>8</v>
      </c>
      <c r="P155" s="15">
        <v>0</v>
      </c>
      <c r="Q155" s="15">
        <v>0</v>
      </c>
      <c r="R155" s="15">
        <v>0</v>
      </c>
      <c r="S155" s="15">
        <v>1</v>
      </c>
    </row>
    <row r="156" spans="1:19" x14ac:dyDescent="0.25">
      <c r="A156" t="s">
        <v>10</v>
      </c>
      <c r="B156" t="s">
        <v>129</v>
      </c>
      <c r="C156" s="15">
        <v>2</v>
      </c>
      <c r="D156" s="15">
        <v>8.3699999999999992</v>
      </c>
      <c r="E156" s="15" t="s">
        <v>8</v>
      </c>
      <c r="F156" s="15">
        <v>14.855</v>
      </c>
      <c r="G156" s="15">
        <v>1.73241161390704</v>
      </c>
      <c r="H156" s="15">
        <v>0.61</v>
      </c>
      <c r="I156" s="15" t="s">
        <v>8</v>
      </c>
      <c r="J156" s="15">
        <v>3.0449999999999999</v>
      </c>
      <c r="K156" s="15">
        <v>6.3639610306789204E-2</v>
      </c>
      <c r="L156" s="15">
        <v>91</v>
      </c>
      <c r="M156" s="15">
        <v>1.4142135623731</v>
      </c>
      <c r="N156" s="15">
        <v>126.5</v>
      </c>
      <c r="O156" s="15">
        <v>12.0208152801713</v>
      </c>
      <c r="P156" s="15">
        <v>1</v>
      </c>
      <c r="Q156" s="15">
        <v>1</v>
      </c>
      <c r="R156" s="15">
        <v>0</v>
      </c>
      <c r="S156" s="15">
        <v>0</v>
      </c>
    </row>
    <row r="157" spans="1:19" x14ac:dyDescent="0.25">
      <c r="A157" t="s">
        <v>10</v>
      </c>
      <c r="B157" t="s">
        <v>34</v>
      </c>
      <c r="C157" s="15">
        <v>1</v>
      </c>
      <c r="D157" s="15">
        <v>8.3800000000000008</v>
      </c>
      <c r="E157" s="15" t="s">
        <v>8</v>
      </c>
      <c r="F157" s="15">
        <v>11.4</v>
      </c>
      <c r="G157" s="15" t="s">
        <v>8</v>
      </c>
      <c r="H157" s="15">
        <v>0.74</v>
      </c>
      <c r="I157" s="15" t="s">
        <v>8</v>
      </c>
      <c r="J157" s="15">
        <v>1.96</v>
      </c>
      <c r="K157" s="15" t="s">
        <v>8</v>
      </c>
      <c r="L157" s="15">
        <v>60</v>
      </c>
      <c r="M157" s="15" t="s">
        <v>8</v>
      </c>
      <c r="N157" s="15">
        <v>36</v>
      </c>
      <c r="O157" s="15" t="s">
        <v>8</v>
      </c>
      <c r="P157" s="15">
        <v>1</v>
      </c>
      <c r="Q157" s="15">
        <v>0</v>
      </c>
      <c r="R157" s="15">
        <v>0</v>
      </c>
      <c r="S157" s="15">
        <v>0</v>
      </c>
    </row>
    <row r="158" spans="1:19" x14ac:dyDescent="0.25">
      <c r="A158" t="s">
        <v>10</v>
      </c>
      <c r="B158" t="s">
        <v>220</v>
      </c>
      <c r="C158" s="15">
        <v>2</v>
      </c>
      <c r="D158" s="15">
        <v>8.3800000000000008</v>
      </c>
      <c r="E158" s="15">
        <v>0</v>
      </c>
      <c r="F158" s="15">
        <v>9.85</v>
      </c>
      <c r="G158" s="15">
        <v>0.551543289325507</v>
      </c>
      <c r="H158" s="15">
        <v>0.85499999999999998</v>
      </c>
      <c r="I158" s="15">
        <v>4.9497474683058401E-2</v>
      </c>
      <c r="J158" s="15">
        <v>2.0049999999999999</v>
      </c>
      <c r="K158" s="15">
        <v>2.1213203435596399E-2</v>
      </c>
      <c r="L158" s="15">
        <v>100</v>
      </c>
      <c r="M158" s="15">
        <v>26.870057685088799</v>
      </c>
      <c r="N158" s="15">
        <v>34</v>
      </c>
      <c r="O158" s="15">
        <v>5.6568542494923797</v>
      </c>
      <c r="P158" s="15">
        <v>1</v>
      </c>
      <c r="Q158" s="15">
        <v>0</v>
      </c>
      <c r="R158" s="15">
        <v>0</v>
      </c>
      <c r="S158" s="15">
        <v>0</v>
      </c>
    </row>
    <row r="159" spans="1:19" x14ac:dyDescent="0.25">
      <c r="A159" t="s">
        <v>10</v>
      </c>
      <c r="B159" t="s">
        <v>92</v>
      </c>
      <c r="C159" s="15">
        <v>2</v>
      </c>
      <c r="D159" s="15">
        <v>8.41</v>
      </c>
      <c r="E159" s="15" t="s">
        <v>8</v>
      </c>
      <c r="F159" s="15">
        <v>16.350000000000001</v>
      </c>
      <c r="G159" s="15">
        <v>2.3475945135393399</v>
      </c>
      <c r="H159" s="15">
        <v>0.56999999999999995</v>
      </c>
      <c r="I159" s="15" t="s">
        <v>8</v>
      </c>
      <c r="J159" s="15">
        <v>2.84</v>
      </c>
      <c r="K159" s="15">
        <v>7.0710678118654793E-2</v>
      </c>
      <c r="L159" s="15">
        <v>128</v>
      </c>
      <c r="M159" s="15">
        <v>5.6568542494923797</v>
      </c>
      <c r="N159" s="15">
        <v>72</v>
      </c>
      <c r="O159" s="15">
        <v>4.2426406871192803</v>
      </c>
      <c r="P159" s="15">
        <v>1</v>
      </c>
      <c r="Q159" s="15">
        <v>0</v>
      </c>
      <c r="R159" s="15">
        <v>0</v>
      </c>
      <c r="S159" s="15">
        <v>0</v>
      </c>
    </row>
    <row r="160" spans="1:19" x14ac:dyDescent="0.25">
      <c r="A160" t="s">
        <v>10</v>
      </c>
      <c r="B160" t="s">
        <v>165</v>
      </c>
      <c r="C160" s="15">
        <v>2</v>
      </c>
      <c r="D160" s="15">
        <v>8.4149999999999991</v>
      </c>
      <c r="E160" s="15">
        <v>0.36062445840513901</v>
      </c>
      <c r="F160" s="15">
        <v>14.095000000000001</v>
      </c>
      <c r="G160" s="15">
        <v>0.51618795026618003</v>
      </c>
      <c r="H160" s="15">
        <v>0.59499999999999997</v>
      </c>
      <c r="I160" s="15">
        <v>7.0710678118654797E-3</v>
      </c>
      <c r="J160" s="15">
        <v>3.375</v>
      </c>
      <c r="K160" s="15">
        <v>3.53553390593273E-2</v>
      </c>
      <c r="L160" s="15">
        <v>94</v>
      </c>
      <c r="M160" s="15">
        <v>12.7279220613579</v>
      </c>
      <c r="N160" s="15">
        <v>133.5</v>
      </c>
      <c r="O160" s="15">
        <v>6.3639610306789303</v>
      </c>
      <c r="P160" s="15">
        <v>1</v>
      </c>
      <c r="Q160" s="15">
        <v>1</v>
      </c>
      <c r="R160" s="15">
        <v>0</v>
      </c>
      <c r="S160" s="15">
        <v>0</v>
      </c>
    </row>
    <row r="161" spans="1:19" x14ac:dyDescent="0.25">
      <c r="A161" t="s">
        <v>10</v>
      </c>
      <c r="B161" t="s">
        <v>28</v>
      </c>
      <c r="C161" s="15">
        <v>3</v>
      </c>
      <c r="D161" s="15">
        <v>8.4733333333333292</v>
      </c>
      <c r="E161" s="15">
        <v>0.85617365839725101</v>
      </c>
      <c r="F161" s="15">
        <v>10.4133333333333</v>
      </c>
      <c r="G161" s="15">
        <v>0.497426711519731</v>
      </c>
      <c r="H161" s="15">
        <v>0.81666666666666698</v>
      </c>
      <c r="I161" s="15">
        <v>0.100166528008778</v>
      </c>
      <c r="J161" s="15">
        <v>1.5633333333333299</v>
      </c>
      <c r="K161" s="15">
        <v>7.3711147958319997E-2</v>
      </c>
      <c r="L161" s="15">
        <v>176.333333333333</v>
      </c>
      <c r="M161" s="15">
        <v>7.5055534994651296</v>
      </c>
      <c r="N161" s="15">
        <v>33.6666666666667</v>
      </c>
      <c r="O161" s="15">
        <v>2.88675134594813</v>
      </c>
      <c r="P161" s="15">
        <v>0</v>
      </c>
      <c r="Q161" s="15">
        <v>0</v>
      </c>
      <c r="R161" s="15">
        <v>0</v>
      </c>
      <c r="S161" s="15">
        <v>1</v>
      </c>
    </row>
    <row r="162" spans="1:19" x14ac:dyDescent="0.25">
      <c r="A162" t="s">
        <v>10</v>
      </c>
      <c r="B162" t="s">
        <v>125</v>
      </c>
      <c r="C162" s="15">
        <v>2</v>
      </c>
      <c r="D162" s="15">
        <v>8.4749999999999996</v>
      </c>
      <c r="E162" s="15">
        <v>7.7781745930519799E-2</v>
      </c>
      <c r="F162" s="15">
        <v>12.855</v>
      </c>
      <c r="G162" s="15">
        <v>1.1808683245815299</v>
      </c>
      <c r="H162" s="15">
        <v>0.66</v>
      </c>
      <c r="I162" s="15">
        <v>7.0710678118654696E-2</v>
      </c>
      <c r="J162" s="15">
        <v>2.2799999999999998</v>
      </c>
      <c r="K162" s="15">
        <v>0.12727922061357899</v>
      </c>
      <c r="L162" s="15">
        <v>196.5</v>
      </c>
      <c r="M162" s="15">
        <v>3.53553390593274</v>
      </c>
      <c r="N162" s="15">
        <v>50.5</v>
      </c>
      <c r="O162" s="15">
        <v>2.1213203435596402</v>
      </c>
      <c r="P162" s="15">
        <v>1</v>
      </c>
      <c r="Q162" s="15">
        <v>0</v>
      </c>
      <c r="R162" s="15">
        <v>0</v>
      </c>
      <c r="S162" s="15">
        <v>0</v>
      </c>
    </row>
    <row r="163" spans="1:19" x14ac:dyDescent="0.25">
      <c r="A163" t="s">
        <v>10</v>
      </c>
      <c r="B163" t="s">
        <v>269</v>
      </c>
      <c r="C163" s="15">
        <v>1</v>
      </c>
      <c r="D163" s="15">
        <v>8.48</v>
      </c>
      <c r="E163" s="15" t="s">
        <v>8</v>
      </c>
      <c r="F163" s="15">
        <v>19</v>
      </c>
      <c r="G163" s="15" t="s">
        <v>8</v>
      </c>
      <c r="H163" s="15">
        <v>0.45</v>
      </c>
      <c r="I163" s="15" t="s">
        <v>8</v>
      </c>
      <c r="J163" s="15">
        <v>1.83</v>
      </c>
      <c r="K163" s="15" t="s">
        <v>8</v>
      </c>
      <c r="L163" s="15">
        <v>112</v>
      </c>
      <c r="M163" s="15" t="s">
        <v>8</v>
      </c>
      <c r="N163" s="15">
        <v>56</v>
      </c>
      <c r="O163" s="15" t="s">
        <v>8</v>
      </c>
      <c r="P163" s="15">
        <v>0</v>
      </c>
      <c r="Q163" s="15">
        <v>0</v>
      </c>
      <c r="R163" s="15">
        <v>0</v>
      </c>
      <c r="S163" s="15">
        <v>1</v>
      </c>
    </row>
    <row r="164" spans="1:19" x14ac:dyDescent="0.25">
      <c r="A164" t="s">
        <v>10</v>
      </c>
      <c r="B164" t="s">
        <v>315</v>
      </c>
      <c r="C164" s="15">
        <v>1</v>
      </c>
      <c r="D164" s="15">
        <v>8.48</v>
      </c>
      <c r="E164" s="15" t="s">
        <v>8</v>
      </c>
      <c r="F164" s="15">
        <v>22.31</v>
      </c>
      <c r="G164" s="15" t="s">
        <v>8</v>
      </c>
      <c r="H164" s="15">
        <v>0.38</v>
      </c>
      <c r="I164" s="15" t="s">
        <v>8</v>
      </c>
      <c r="J164" s="15">
        <v>1.84</v>
      </c>
      <c r="K164" s="15" t="s">
        <v>8</v>
      </c>
      <c r="L164" s="15">
        <v>104</v>
      </c>
      <c r="M164" s="15" t="s">
        <v>8</v>
      </c>
      <c r="N164" s="15">
        <v>45</v>
      </c>
      <c r="O164" s="15" t="s">
        <v>8</v>
      </c>
      <c r="P164" s="15">
        <v>1</v>
      </c>
      <c r="Q164" s="15">
        <v>0</v>
      </c>
      <c r="R164" s="15">
        <v>0</v>
      </c>
      <c r="S164" s="15">
        <v>0</v>
      </c>
    </row>
    <row r="165" spans="1:19" x14ac:dyDescent="0.25">
      <c r="A165" t="s">
        <v>10</v>
      </c>
      <c r="B165" t="s">
        <v>214</v>
      </c>
      <c r="C165" s="15">
        <v>2</v>
      </c>
      <c r="D165" s="15">
        <v>8.48</v>
      </c>
      <c r="E165" s="15">
        <v>0</v>
      </c>
      <c r="F165" s="15">
        <v>11.28</v>
      </c>
      <c r="G165" s="15">
        <v>0.70710678118654802</v>
      </c>
      <c r="H165" s="15">
        <v>0.755</v>
      </c>
      <c r="I165" s="15">
        <v>4.9497474683058401E-2</v>
      </c>
      <c r="J165" s="15">
        <v>1.96</v>
      </c>
      <c r="K165" s="15" t="s">
        <v>8</v>
      </c>
      <c r="L165" s="15">
        <v>127</v>
      </c>
      <c r="M165" s="15">
        <v>4.2426406871192803</v>
      </c>
      <c r="N165" s="15">
        <v>52</v>
      </c>
      <c r="O165" s="15">
        <v>2.8284271247461898</v>
      </c>
      <c r="P165" s="15">
        <v>1</v>
      </c>
      <c r="Q165" s="15">
        <v>0</v>
      </c>
      <c r="R165" s="15">
        <v>0</v>
      </c>
      <c r="S165" s="15">
        <v>0</v>
      </c>
    </row>
    <row r="166" spans="1:19" x14ac:dyDescent="0.25">
      <c r="A166" t="s">
        <v>10</v>
      </c>
      <c r="B166" t="s">
        <v>118</v>
      </c>
      <c r="C166" s="15">
        <v>4</v>
      </c>
      <c r="D166" s="15">
        <v>8.48</v>
      </c>
      <c r="E166" s="15">
        <v>0.240416305603426</v>
      </c>
      <c r="F166" s="15">
        <v>13.38</v>
      </c>
      <c r="G166" s="15">
        <v>0.59537103277424197</v>
      </c>
      <c r="H166" s="15">
        <v>0.61</v>
      </c>
      <c r="I166" s="15">
        <v>2.8284271247461901E-2</v>
      </c>
      <c r="J166" s="15">
        <v>2.0175000000000001</v>
      </c>
      <c r="K166" s="15">
        <v>6.65206734782504E-2</v>
      </c>
      <c r="L166" s="15">
        <v>107</v>
      </c>
      <c r="M166" s="15">
        <v>4.2426406871192803</v>
      </c>
      <c r="N166" s="15">
        <v>66.5</v>
      </c>
      <c r="O166" s="15">
        <v>1.91485421551268</v>
      </c>
      <c r="P166" s="15">
        <v>1</v>
      </c>
      <c r="Q166" s="15">
        <v>0</v>
      </c>
      <c r="R166" s="15">
        <v>0</v>
      </c>
      <c r="S166" s="15">
        <v>0</v>
      </c>
    </row>
    <row r="167" spans="1:19" x14ac:dyDescent="0.25">
      <c r="A167" t="s">
        <v>10</v>
      </c>
      <c r="B167" t="s">
        <v>299</v>
      </c>
      <c r="C167" s="15">
        <v>1</v>
      </c>
      <c r="D167" s="15">
        <v>8.5</v>
      </c>
      <c r="E167" s="15" t="s">
        <v>8</v>
      </c>
      <c r="F167" s="15">
        <v>15.17</v>
      </c>
      <c r="G167" s="15" t="s">
        <v>8</v>
      </c>
      <c r="H167" s="15">
        <v>0.56000000000000005</v>
      </c>
      <c r="I167" s="15" t="s">
        <v>8</v>
      </c>
      <c r="J167" s="15">
        <v>2.29</v>
      </c>
      <c r="K167" s="15" t="s">
        <v>8</v>
      </c>
      <c r="L167" s="15">
        <v>52</v>
      </c>
      <c r="M167" s="15" t="s">
        <v>8</v>
      </c>
      <c r="N167" s="15">
        <v>35</v>
      </c>
      <c r="O167" s="15" t="s">
        <v>8</v>
      </c>
      <c r="P167" s="15">
        <v>0</v>
      </c>
      <c r="Q167" s="15">
        <v>0</v>
      </c>
      <c r="R167" s="15">
        <v>0</v>
      </c>
      <c r="S167" s="15">
        <v>1</v>
      </c>
    </row>
    <row r="168" spans="1:19" x14ac:dyDescent="0.25">
      <c r="A168" t="s">
        <v>10</v>
      </c>
      <c r="B168" t="s">
        <v>134</v>
      </c>
      <c r="C168" s="15">
        <v>2</v>
      </c>
      <c r="D168" s="15">
        <v>8.5150000000000006</v>
      </c>
      <c r="E168" s="15">
        <v>0.16263455967290599</v>
      </c>
      <c r="F168" s="15">
        <v>13.345000000000001</v>
      </c>
      <c r="G168" s="15">
        <v>0.54447222151364105</v>
      </c>
      <c r="H168" s="15">
        <v>0.64</v>
      </c>
      <c r="I168" s="15">
        <v>1.4142135623730999E-2</v>
      </c>
      <c r="J168" s="15">
        <v>2.1949999999999998</v>
      </c>
      <c r="K168" s="15">
        <v>4.94974746830582E-2</v>
      </c>
      <c r="L168" s="15">
        <v>172</v>
      </c>
      <c r="M168" s="15">
        <v>16.9705627484771</v>
      </c>
      <c r="N168" s="15">
        <v>51</v>
      </c>
      <c r="O168" s="15">
        <v>4.2426406871192803</v>
      </c>
      <c r="P168" s="15">
        <v>0</v>
      </c>
      <c r="Q168" s="15">
        <v>0</v>
      </c>
      <c r="R168" s="15">
        <v>0</v>
      </c>
      <c r="S168" s="15">
        <v>1</v>
      </c>
    </row>
    <row r="169" spans="1:19" x14ac:dyDescent="0.25">
      <c r="A169" t="s">
        <v>10</v>
      </c>
      <c r="B169" t="s">
        <v>132</v>
      </c>
      <c r="C169" s="15">
        <v>3</v>
      </c>
      <c r="D169" s="15">
        <v>8.5549999999999997</v>
      </c>
      <c r="E169" s="15">
        <v>0.45961940777125598</v>
      </c>
      <c r="F169" s="15">
        <v>12.6</v>
      </c>
      <c r="G169" s="15">
        <v>0.60654760736483004</v>
      </c>
      <c r="H169" s="15">
        <v>0.68</v>
      </c>
      <c r="I169" s="15">
        <v>8.4852813742385694E-2</v>
      </c>
      <c r="J169" s="15">
        <v>2.12666666666667</v>
      </c>
      <c r="K169" s="15">
        <v>0.16165807537309501</v>
      </c>
      <c r="L169" s="15">
        <v>112.666666666667</v>
      </c>
      <c r="M169" s="15">
        <v>24.6846781087648</v>
      </c>
      <c r="N169" s="15">
        <v>70.3333333333333</v>
      </c>
      <c r="O169" s="15">
        <v>10.4083299973307</v>
      </c>
      <c r="P169" s="15">
        <v>1</v>
      </c>
      <c r="Q169" s="15">
        <v>0</v>
      </c>
      <c r="R169" s="15">
        <v>0</v>
      </c>
      <c r="S169" s="15">
        <v>0</v>
      </c>
    </row>
    <row r="170" spans="1:19" x14ac:dyDescent="0.25">
      <c r="A170" t="s">
        <v>10</v>
      </c>
      <c r="B170" t="s">
        <v>181</v>
      </c>
      <c r="C170" s="15">
        <v>3</v>
      </c>
      <c r="D170" s="15">
        <v>8.5733333333333306</v>
      </c>
      <c r="E170" s="15">
        <v>0.417891532976361</v>
      </c>
      <c r="F170" s="15">
        <v>13.6366666666667</v>
      </c>
      <c r="G170" s="15">
        <v>1.41302276461964</v>
      </c>
      <c r="H170" s="15">
        <v>0.63333333333333297</v>
      </c>
      <c r="I170" s="15">
        <v>6.3508529610858802E-2</v>
      </c>
      <c r="J170" s="15">
        <v>1.91333333333333</v>
      </c>
      <c r="K170" s="15">
        <v>0.13796134724383199</v>
      </c>
      <c r="L170" s="15">
        <v>156.333333333333</v>
      </c>
      <c r="M170" s="15">
        <v>11.590225767142501</v>
      </c>
      <c r="N170" s="15">
        <v>57.3333333333333</v>
      </c>
      <c r="O170" s="15">
        <v>13.2035348802256</v>
      </c>
      <c r="P170" s="15">
        <v>1</v>
      </c>
      <c r="Q170" s="15">
        <v>0</v>
      </c>
      <c r="R170" s="15">
        <v>0</v>
      </c>
      <c r="S170" s="15">
        <v>0</v>
      </c>
    </row>
    <row r="171" spans="1:19" x14ac:dyDescent="0.25">
      <c r="A171" t="s">
        <v>10</v>
      </c>
      <c r="B171" t="s">
        <v>195</v>
      </c>
      <c r="C171" s="15">
        <v>2</v>
      </c>
      <c r="D171" s="15">
        <v>8.6300000000000008</v>
      </c>
      <c r="E171" s="15">
        <v>0.410121933088198</v>
      </c>
      <c r="F171" s="15">
        <v>14.51</v>
      </c>
      <c r="G171" s="15">
        <v>0.83438600180012601</v>
      </c>
      <c r="H171" s="15">
        <v>0.59499999999999997</v>
      </c>
      <c r="I171" s="15">
        <v>7.0710678118654797E-3</v>
      </c>
      <c r="J171" s="15">
        <v>2.54</v>
      </c>
      <c r="K171" s="15">
        <v>2.8284271247461901E-2</v>
      </c>
      <c r="L171" s="15">
        <v>82.5</v>
      </c>
      <c r="M171" s="15">
        <v>13.4350288425444</v>
      </c>
      <c r="N171" s="15">
        <v>167.5</v>
      </c>
      <c r="O171" s="15">
        <v>13.4350288425444</v>
      </c>
      <c r="P171" s="15">
        <v>1</v>
      </c>
      <c r="Q171" s="15">
        <v>1</v>
      </c>
      <c r="R171" s="15">
        <v>0</v>
      </c>
      <c r="S171" s="15">
        <v>0</v>
      </c>
    </row>
    <row r="172" spans="1:19" x14ac:dyDescent="0.25">
      <c r="A172" t="s">
        <v>10</v>
      </c>
      <c r="B172" t="s">
        <v>224</v>
      </c>
      <c r="C172" s="15">
        <v>2</v>
      </c>
      <c r="D172" s="15">
        <v>8.6300000000000008</v>
      </c>
      <c r="E172" s="15">
        <v>1.0182337649086299</v>
      </c>
      <c r="F172" s="15">
        <v>14.08</v>
      </c>
      <c r="G172" s="15" t="s">
        <v>8</v>
      </c>
      <c r="H172" s="15">
        <v>0.56000000000000005</v>
      </c>
      <c r="I172" s="15" t="s">
        <v>8</v>
      </c>
      <c r="J172" s="15">
        <v>1.74</v>
      </c>
      <c r="K172" s="15" t="s">
        <v>8</v>
      </c>
      <c r="L172" s="15">
        <v>154</v>
      </c>
      <c r="M172" s="15" t="s">
        <v>8</v>
      </c>
      <c r="N172" s="15">
        <v>52</v>
      </c>
      <c r="O172" s="15" t="s">
        <v>8</v>
      </c>
      <c r="P172" s="15">
        <v>0</v>
      </c>
      <c r="Q172" s="15">
        <v>0</v>
      </c>
      <c r="R172" s="15">
        <v>0</v>
      </c>
      <c r="S172" s="15">
        <v>1</v>
      </c>
    </row>
    <row r="173" spans="1:19" x14ac:dyDescent="0.25">
      <c r="A173" t="s">
        <v>10</v>
      </c>
      <c r="B173" t="s">
        <v>82</v>
      </c>
      <c r="C173" s="15">
        <v>2</v>
      </c>
      <c r="D173" s="15">
        <v>8.6549999999999994</v>
      </c>
      <c r="E173" s="15">
        <v>0.51618795026618003</v>
      </c>
      <c r="F173" s="15">
        <v>13.27</v>
      </c>
      <c r="G173" s="15">
        <v>0.43840620433565902</v>
      </c>
      <c r="H173" s="15">
        <v>0.65</v>
      </c>
      <c r="I173" s="15">
        <v>1.4142135623730999E-2</v>
      </c>
      <c r="J173" s="15">
        <v>2.09</v>
      </c>
      <c r="K173" s="15">
        <v>8.4852813742385805E-2</v>
      </c>
      <c r="L173" s="15">
        <v>44</v>
      </c>
      <c r="M173" s="15">
        <v>2.8284271247461898</v>
      </c>
      <c r="N173" s="15">
        <v>15.5</v>
      </c>
      <c r="O173" s="15">
        <v>0.70710678118654802</v>
      </c>
      <c r="P173" s="15">
        <v>0</v>
      </c>
      <c r="Q173" s="15">
        <v>0</v>
      </c>
      <c r="R173" s="15">
        <v>0</v>
      </c>
      <c r="S173" s="15">
        <v>1</v>
      </c>
    </row>
    <row r="174" spans="1:19" x14ac:dyDescent="0.25">
      <c r="A174" t="s">
        <v>10</v>
      </c>
      <c r="B174" t="s">
        <v>58</v>
      </c>
      <c r="C174" s="15">
        <v>2</v>
      </c>
      <c r="D174" s="15">
        <v>8.68</v>
      </c>
      <c r="E174" s="15">
        <v>0.169705627484772</v>
      </c>
      <c r="F174" s="15">
        <v>11.72</v>
      </c>
      <c r="G174" s="15">
        <v>0.26870057685088899</v>
      </c>
      <c r="H174" s="15">
        <v>0.74</v>
      </c>
      <c r="I174" s="15">
        <v>0</v>
      </c>
      <c r="J174" s="15">
        <v>2.8</v>
      </c>
      <c r="K174" s="15">
        <v>0.18384776310850301</v>
      </c>
      <c r="L174" s="15">
        <v>80</v>
      </c>
      <c r="M174" s="15">
        <v>25.4558441227157</v>
      </c>
      <c r="N174" s="15">
        <v>160.5</v>
      </c>
      <c r="O174" s="15">
        <v>7.7781745930520199</v>
      </c>
      <c r="P174" s="15">
        <v>1</v>
      </c>
      <c r="Q174" s="15">
        <v>1</v>
      </c>
      <c r="R174" s="15">
        <v>0</v>
      </c>
      <c r="S174" s="15">
        <v>0</v>
      </c>
    </row>
    <row r="175" spans="1:19" x14ac:dyDescent="0.25">
      <c r="A175" t="s">
        <v>10</v>
      </c>
      <c r="B175" t="s">
        <v>128</v>
      </c>
      <c r="C175" s="15">
        <v>2</v>
      </c>
      <c r="D175" s="15">
        <v>8.68</v>
      </c>
      <c r="E175" s="15">
        <v>0</v>
      </c>
      <c r="F175" s="15">
        <v>17.350000000000001</v>
      </c>
      <c r="G175" s="15">
        <v>1.9940411229460699</v>
      </c>
      <c r="H175" s="15">
        <v>0.5</v>
      </c>
      <c r="I175" s="15">
        <v>5.6568542494923803E-2</v>
      </c>
      <c r="J175" s="15">
        <v>2.41</v>
      </c>
      <c r="K175" s="15">
        <v>9.8994949366116705E-2</v>
      </c>
      <c r="L175" s="15">
        <v>187</v>
      </c>
      <c r="M175" s="15">
        <v>7.0710678118654799</v>
      </c>
      <c r="N175" s="15">
        <v>53.5</v>
      </c>
      <c r="O175" s="15">
        <v>6.3639610306789303</v>
      </c>
      <c r="P175" s="15">
        <v>1</v>
      </c>
      <c r="Q175" s="15">
        <v>0</v>
      </c>
      <c r="R175" s="15">
        <v>0</v>
      </c>
      <c r="S175" s="15">
        <v>0</v>
      </c>
    </row>
    <row r="176" spans="1:19" x14ac:dyDescent="0.25">
      <c r="A176" t="s">
        <v>10</v>
      </c>
      <c r="B176" t="s">
        <v>39</v>
      </c>
      <c r="C176" s="15">
        <v>1</v>
      </c>
      <c r="D176" s="15">
        <v>8.75</v>
      </c>
      <c r="E176" s="15" t="s">
        <v>8</v>
      </c>
      <c r="F176" s="15">
        <v>14.32</v>
      </c>
      <c r="G176" s="15" t="s">
        <v>8</v>
      </c>
      <c r="H176" s="15">
        <v>0.61</v>
      </c>
      <c r="I176" s="15" t="s">
        <v>8</v>
      </c>
      <c r="J176" s="15">
        <v>2.2200000000000002</v>
      </c>
      <c r="K176" s="15" t="s">
        <v>8</v>
      </c>
      <c r="L176" s="15">
        <v>162</v>
      </c>
      <c r="M176" s="15" t="s">
        <v>8</v>
      </c>
      <c r="N176" s="15">
        <v>88</v>
      </c>
      <c r="O176" s="15" t="s">
        <v>8</v>
      </c>
      <c r="P176" s="15">
        <v>1</v>
      </c>
      <c r="Q176" s="15">
        <v>0</v>
      </c>
      <c r="R176" s="15">
        <v>0</v>
      </c>
      <c r="S176" s="15">
        <v>0</v>
      </c>
    </row>
    <row r="177" spans="1:19" x14ac:dyDescent="0.25">
      <c r="A177" t="s">
        <v>10</v>
      </c>
      <c r="B177" t="s">
        <v>240</v>
      </c>
      <c r="C177" s="15">
        <v>1</v>
      </c>
      <c r="D177" s="15">
        <v>8.81</v>
      </c>
      <c r="E177" s="15" t="s">
        <v>8</v>
      </c>
      <c r="F177" s="15">
        <v>12.61</v>
      </c>
      <c r="G177" s="15" t="s">
        <v>8</v>
      </c>
      <c r="H177" s="15">
        <v>0.7</v>
      </c>
      <c r="I177" s="15" t="s">
        <v>8</v>
      </c>
      <c r="J177" s="15">
        <v>3.35</v>
      </c>
      <c r="K177" s="15" t="s">
        <v>8</v>
      </c>
      <c r="L177" s="15">
        <v>55</v>
      </c>
      <c r="M177" s="15" t="s">
        <v>8</v>
      </c>
      <c r="N177" s="15">
        <v>131</v>
      </c>
      <c r="O177" s="15" t="s">
        <v>8</v>
      </c>
      <c r="P177" s="15">
        <v>1</v>
      </c>
      <c r="Q177" s="15">
        <v>1</v>
      </c>
      <c r="R177" s="15">
        <v>0</v>
      </c>
      <c r="S177" s="15">
        <v>0</v>
      </c>
    </row>
    <row r="178" spans="1:19" x14ac:dyDescent="0.25">
      <c r="A178" t="s">
        <v>10</v>
      </c>
      <c r="B178" t="s">
        <v>205</v>
      </c>
      <c r="C178" s="15">
        <v>2</v>
      </c>
      <c r="D178" s="15">
        <v>8.92</v>
      </c>
      <c r="E178" s="15">
        <v>0.73539105243400904</v>
      </c>
      <c r="F178" s="15">
        <v>10.805</v>
      </c>
      <c r="G178" s="15">
        <v>1.0535891039679599</v>
      </c>
      <c r="H178" s="15">
        <v>0.82499999999999996</v>
      </c>
      <c r="I178" s="15">
        <v>7.0710678118654797E-3</v>
      </c>
      <c r="J178" s="15">
        <v>2.1150000000000002</v>
      </c>
      <c r="K178" s="15">
        <v>0.31819805153394598</v>
      </c>
      <c r="L178" s="15">
        <v>114.5</v>
      </c>
      <c r="M178" s="15">
        <v>24.7487373415292</v>
      </c>
      <c r="N178" s="15">
        <v>58</v>
      </c>
      <c r="O178" s="15">
        <v>7.0710678118654799</v>
      </c>
      <c r="P178" s="15">
        <v>1</v>
      </c>
      <c r="Q178" s="15">
        <v>0</v>
      </c>
      <c r="R178" s="15">
        <v>0</v>
      </c>
      <c r="S178" s="15">
        <v>0</v>
      </c>
    </row>
    <row r="179" spans="1:19" x14ac:dyDescent="0.25">
      <c r="A179" t="s">
        <v>10</v>
      </c>
      <c r="B179" t="s">
        <v>91</v>
      </c>
      <c r="C179" s="15">
        <v>2</v>
      </c>
      <c r="D179" s="15">
        <v>8.94</v>
      </c>
      <c r="E179" s="15" t="s">
        <v>8</v>
      </c>
      <c r="F179" s="15">
        <v>14.37</v>
      </c>
      <c r="G179" s="15">
        <v>0.25455844122715798</v>
      </c>
      <c r="H179" s="15">
        <v>0.63</v>
      </c>
      <c r="I179" s="15" t="s">
        <v>8</v>
      </c>
      <c r="J179" s="15">
        <v>2.19</v>
      </c>
      <c r="K179" s="15">
        <v>4.2426406871192902E-2</v>
      </c>
      <c r="L179" s="15">
        <v>82.5</v>
      </c>
      <c r="M179" s="15">
        <v>28.991378028648398</v>
      </c>
      <c r="N179" s="15">
        <v>67.5</v>
      </c>
      <c r="O179" s="15">
        <v>19.091883092036799</v>
      </c>
      <c r="P179" s="15">
        <v>1</v>
      </c>
      <c r="Q179" s="15">
        <v>0</v>
      </c>
      <c r="R179" s="15">
        <v>0</v>
      </c>
      <c r="S179" s="15">
        <v>0</v>
      </c>
    </row>
    <row r="180" spans="1:19" x14ac:dyDescent="0.25">
      <c r="A180" t="s">
        <v>10</v>
      </c>
      <c r="B180" t="s">
        <v>42</v>
      </c>
      <c r="C180" s="15">
        <v>3</v>
      </c>
      <c r="D180" s="15">
        <v>9.1666666666666696</v>
      </c>
      <c r="E180" s="15">
        <v>0.22300971578237</v>
      </c>
      <c r="F180" s="15">
        <v>19.536666666666701</v>
      </c>
      <c r="G180" s="15">
        <v>0.74460280239422505</v>
      </c>
      <c r="H180" s="15">
        <v>0.47</v>
      </c>
      <c r="I180" s="15">
        <v>9.9999999999999794E-3</v>
      </c>
      <c r="J180" s="15">
        <v>1.65333333333333</v>
      </c>
      <c r="K180" s="15">
        <v>3.5118845842842403E-2</v>
      </c>
      <c r="L180" s="15">
        <v>44.6666666666667</v>
      </c>
      <c r="M180" s="15">
        <v>10.2632028788938</v>
      </c>
      <c r="N180" s="15">
        <v>52.3333333333333</v>
      </c>
      <c r="O180" s="15">
        <v>17.214335111567099</v>
      </c>
      <c r="P180" s="15">
        <v>1</v>
      </c>
      <c r="Q180" s="15">
        <v>0</v>
      </c>
      <c r="R180" s="15">
        <v>0</v>
      </c>
      <c r="S180" s="15">
        <v>0</v>
      </c>
    </row>
    <row r="181" spans="1:19" x14ac:dyDescent="0.25">
      <c r="A181" t="s">
        <v>10</v>
      </c>
      <c r="B181" t="s">
        <v>200</v>
      </c>
      <c r="C181" s="15">
        <v>4</v>
      </c>
      <c r="D181" s="15">
        <v>9.1733333333333302</v>
      </c>
      <c r="E181" s="15">
        <v>0.28676354952004202</v>
      </c>
      <c r="F181" s="15">
        <v>11.782500000000001</v>
      </c>
      <c r="G181" s="15">
        <v>0.70058903788169602</v>
      </c>
      <c r="H181" s="15">
        <v>0.79</v>
      </c>
      <c r="I181" s="15">
        <v>5.2915026221291801E-2</v>
      </c>
      <c r="J181" s="15">
        <v>2.2425000000000002</v>
      </c>
      <c r="K181" s="15">
        <v>0.124465524008324</v>
      </c>
      <c r="L181" s="15">
        <v>146.5</v>
      </c>
      <c r="M181" s="15">
        <v>9.5742710775633793</v>
      </c>
      <c r="N181" s="15">
        <v>74</v>
      </c>
      <c r="O181" s="15">
        <v>8.1240384046359608</v>
      </c>
      <c r="P181" s="15">
        <v>1</v>
      </c>
      <c r="Q181" s="15">
        <v>0</v>
      </c>
      <c r="R181" s="15">
        <v>0</v>
      </c>
      <c r="S181" s="15">
        <v>0</v>
      </c>
    </row>
    <row r="182" spans="1:19" x14ac:dyDescent="0.25">
      <c r="A182" t="s">
        <v>10</v>
      </c>
      <c r="B182" t="s">
        <v>182</v>
      </c>
      <c r="C182" s="15">
        <v>2</v>
      </c>
      <c r="D182" s="15">
        <v>9.2100000000000009</v>
      </c>
      <c r="E182" s="15">
        <v>0</v>
      </c>
      <c r="F182" s="15">
        <v>10.9</v>
      </c>
      <c r="G182" s="15">
        <v>0.49497474683058301</v>
      </c>
      <c r="H182" s="15">
        <v>0.84499999999999997</v>
      </c>
      <c r="I182" s="15">
        <v>3.5355339059327397E-2</v>
      </c>
      <c r="J182" s="15">
        <v>1.875</v>
      </c>
      <c r="K182" s="15">
        <v>2.1213203435596299E-2</v>
      </c>
      <c r="L182" s="15">
        <v>157</v>
      </c>
      <c r="M182" s="15">
        <v>9.8994949366116707</v>
      </c>
      <c r="N182" s="15">
        <v>64.5</v>
      </c>
      <c r="O182" s="15">
        <v>10.606601717798201</v>
      </c>
      <c r="P182" s="15">
        <v>1</v>
      </c>
      <c r="Q182" s="15">
        <v>0</v>
      </c>
      <c r="R182" s="15">
        <v>0</v>
      </c>
      <c r="S182" s="15">
        <v>0</v>
      </c>
    </row>
    <row r="183" spans="1:19" x14ac:dyDescent="0.25">
      <c r="A183" t="s">
        <v>10</v>
      </c>
      <c r="B183" t="s">
        <v>256</v>
      </c>
      <c r="C183" s="15">
        <v>3</v>
      </c>
      <c r="D183" s="15">
        <v>9.2200000000000006</v>
      </c>
      <c r="E183" s="15" t="s">
        <v>8</v>
      </c>
      <c r="F183" s="15">
        <v>15.453333333333299</v>
      </c>
      <c r="G183" s="15">
        <v>0.96001736095413004</v>
      </c>
      <c r="H183" s="15">
        <v>0.59</v>
      </c>
      <c r="I183" s="15" t="s">
        <v>8</v>
      </c>
      <c r="J183" s="15">
        <v>1.97</v>
      </c>
      <c r="K183" s="15">
        <v>8.71779788708133E-2</v>
      </c>
      <c r="L183" s="15">
        <v>130.333333333333</v>
      </c>
      <c r="M183" s="15">
        <v>9.7125348562223106</v>
      </c>
      <c r="N183" s="15">
        <v>64.6666666666667</v>
      </c>
      <c r="O183" s="15">
        <v>9.4516312525052193</v>
      </c>
      <c r="P183" s="15">
        <v>1</v>
      </c>
      <c r="Q183" s="15">
        <v>0</v>
      </c>
      <c r="R183" s="15">
        <v>0</v>
      </c>
      <c r="S183" s="15">
        <v>0</v>
      </c>
    </row>
    <row r="184" spans="1:19" x14ac:dyDescent="0.25">
      <c r="A184" t="s">
        <v>10</v>
      </c>
      <c r="B184" t="s">
        <v>54</v>
      </c>
      <c r="C184" s="15">
        <v>1</v>
      </c>
      <c r="D184" s="15">
        <v>9.2200000000000006</v>
      </c>
      <c r="E184" s="15" t="s">
        <v>8</v>
      </c>
      <c r="F184" s="15">
        <v>17.899999999999999</v>
      </c>
      <c r="G184" s="15" t="s">
        <v>8</v>
      </c>
      <c r="H184" s="15">
        <v>0.51</v>
      </c>
      <c r="I184" s="15" t="s">
        <v>8</v>
      </c>
      <c r="J184" s="15">
        <v>2.93</v>
      </c>
      <c r="K184" s="15" t="s">
        <v>8</v>
      </c>
      <c r="L184" s="15">
        <v>71</v>
      </c>
      <c r="M184" s="15" t="s">
        <v>8</v>
      </c>
      <c r="N184" s="15">
        <v>63</v>
      </c>
      <c r="O184" s="15" t="s">
        <v>8</v>
      </c>
      <c r="P184" s="15">
        <v>0</v>
      </c>
      <c r="Q184" s="15">
        <v>0</v>
      </c>
      <c r="R184" s="15">
        <v>1</v>
      </c>
      <c r="S184" s="15">
        <v>0</v>
      </c>
    </row>
    <row r="185" spans="1:19" x14ac:dyDescent="0.25">
      <c r="A185" t="s">
        <v>10</v>
      </c>
      <c r="B185" t="s">
        <v>88</v>
      </c>
      <c r="C185" s="15">
        <v>4</v>
      </c>
      <c r="D185" s="15">
        <v>9.25</v>
      </c>
      <c r="E185" s="15">
        <v>7.0710678118655806E-2</v>
      </c>
      <c r="F185" s="15">
        <v>12.975</v>
      </c>
      <c r="G185" s="15">
        <v>1.15367528649385</v>
      </c>
      <c r="H185" s="15">
        <v>0.72</v>
      </c>
      <c r="I185" s="15">
        <v>4.2426406871192902E-2</v>
      </c>
      <c r="J185" s="15">
        <v>1.8774999999999999</v>
      </c>
      <c r="K185" s="15">
        <v>0.128160056179763</v>
      </c>
      <c r="L185" s="15">
        <v>119.25</v>
      </c>
      <c r="M185" s="15">
        <v>13.744695946679499</v>
      </c>
      <c r="N185" s="15">
        <v>59.5</v>
      </c>
      <c r="O185" s="15">
        <v>2.08166599946613</v>
      </c>
      <c r="P185" s="15">
        <v>1</v>
      </c>
      <c r="Q185" s="15">
        <v>0</v>
      </c>
      <c r="R185" s="15">
        <v>0</v>
      </c>
      <c r="S185" s="15">
        <v>0</v>
      </c>
    </row>
    <row r="186" spans="1:19" x14ac:dyDescent="0.25">
      <c r="A186" t="s">
        <v>10</v>
      </c>
      <c r="B186" t="s">
        <v>21</v>
      </c>
      <c r="C186" s="15">
        <v>3</v>
      </c>
      <c r="D186" s="15">
        <v>9.3000000000000007</v>
      </c>
      <c r="E186" s="15" t="s">
        <v>8</v>
      </c>
      <c r="F186" s="15">
        <v>12.5</v>
      </c>
      <c r="G186" s="15">
        <v>0.55434646206140803</v>
      </c>
      <c r="H186" s="15">
        <v>0.71</v>
      </c>
      <c r="I186" s="15" t="s">
        <v>8</v>
      </c>
      <c r="J186" s="15">
        <v>1.67333333333333</v>
      </c>
      <c r="K186" s="15">
        <v>0.34078341117685501</v>
      </c>
      <c r="L186" s="15">
        <v>204</v>
      </c>
      <c r="M186" s="15">
        <v>9.6436507609929496</v>
      </c>
      <c r="N186" s="15">
        <v>27.6666666666667</v>
      </c>
      <c r="O186" s="15">
        <v>17.672954855748699</v>
      </c>
      <c r="P186" s="15">
        <v>0</v>
      </c>
      <c r="Q186" s="15">
        <v>0</v>
      </c>
      <c r="R186" s="15">
        <v>0</v>
      </c>
      <c r="S186" s="15">
        <v>1</v>
      </c>
    </row>
    <row r="187" spans="1:19" x14ac:dyDescent="0.25">
      <c r="A187" t="s">
        <v>10</v>
      </c>
      <c r="B187" t="s">
        <v>194</v>
      </c>
      <c r="C187" s="15">
        <v>1</v>
      </c>
      <c r="D187" s="15">
        <v>9.41</v>
      </c>
      <c r="E187" s="15" t="s">
        <v>8</v>
      </c>
      <c r="F187" s="15">
        <v>13.57</v>
      </c>
      <c r="G187" s="15" t="s">
        <v>8</v>
      </c>
      <c r="H187" s="15">
        <v>0.69</v>
      </c>
      <c r="I187" s="15" t="s">
        <v>8</v>
      </c>
      <c r="J187" s="15">
        <v>1.75</v>
      </c>
      <c r="K187" s="15" t="s">
        <v>8</v>
      </c>
      <c r="L187" s="15">
        <v>42</v>
      </c>
      <c r="M187" s="15" t="s">
        <v>8</v>
      </c>
      <c r="N187" s="15">
        <v>20</v>
      </c>
      <c r="O187" s="15" t="s">
        <v>8</v>
      </c>
      <c r="P187" s="15">
        <v>1</v>
      </c>
      <c r="Q187" s="15">
        <v>0</v>
      </c>
      <c r="R187" s="15">
        <v>0</v>
      </c>
      <c r="S187" s="15">
        <v>0</v>
      </c>
    </row>
    <row r="188" spans="1:19" x14ac:dyDescent="0.25">
      <c r="A188" t="s">
        <v>10</v>
      </c>
      <c r="B188" t="s">
        <v>206</v>
      </c>
      <c r="C188" s="15">
        <v>1</v>
      </c>
      <c r="D188" s="15">
        <v>9.48</v>
      </c>
      <c r="E188" s="15" t="s">
        <v>8</v>
      </c>
      <c r="F188" s="15">
        <v>14.24</v>
      </c>
      <c r="G188" s="15" t="s">
        <v>8</v>
      </c>
      <c r="H188" s="15">
        <v>0.67</v>
      </c>
      <c r="I188" s="15" t="s">
        <v>8</v>
      </c>
      <c r="J188" s="15">
        <v>1.54</v>
      </c>
      <c r="K188" s="15" t="s">
        <v>8</v>
      </c>
      <c r="L188" s="15">
        <v>150</v>
      </c>
      <c r="M188" s="15" t="s">
        <v>8</v>
      </c>
      <c r="N188" s="15">
        <v>51</v>
      </c>
      <c r="O188" s="15" t="s">
        <v>8</v>
      </c>
      <c r="P188" s="15">
        <v>0</v>
      </c>
      <c r="Q188" s="15">
        <v>0</v>
      </c>
      <c r="R188" s="15">
        <v>0</v>
      </c>
      <c r="S188" s="15">
        <v>1</v>
      </c>
    </row>
    <row r="189" spans="1:19" x14ac:dyDescent="0.25">
      <c r="A189" t="s">
        <v>10</v>
      </c>
      <c r="B189" t="s">
        <v>38</v>
      </c>
      <c r="C189" s="15">
        <v>3</v>
      </c>
      <c r="D189" s="15">
        <v>9.4849999999999994</v>
      </c>
      <c r="E189" s="15">
        <v>0.57275649276110396</v>
      </c>
      <c r="F189" s="15">
        <v>14.83</v>
      </c>
      <c r="G189" s="15">
        <v>0.88475985442378702</v>
      </c>
      <c r="H189" s="15">
        <v>0.63500000000000001</v>
      </c>
      <c r="I189" s="15">
        <v>7.0710678118654797E-3</v>
      </c>
      <c r="J189" s="15">
        <v>2.0499999999999998</v>
      </c>
      <c r="K189" s="15">
        <v>0.02</v>
      </c>
      <c r="L189" s="15">
        <v>119</v>
      </c>
      <c r="M189" s="15">
        <v>6.5574385243020004</v>
      </c>
      <c r="N189" s="15">
        <v>91.6666666666667</v>
      </c>
      <c r="O189" s="15">
        <v>10.5039675043925</v>
      </c>
      <c r="P189" s="15">
        <v>1</v>
      </c>
      <c r="Q189" s="15">
        <v>0</v>
      </c>
      <c r="R189" s="15">
        <v>0</v>
      </c>
      <c r="S189" s="15">
        <v>0</v>
      </c>
    </row>
    <row r="190" spans="1:19" x14ac:dyDescent="0.25">
      <c r="A190" t="s">
        <v>10</v>
      </c>
      <c r="B190" t="s">
        <v>107</v>
      </c>
      <c r="C190" s="15">
        <v>1</v>
      </c>
      <c r="D190" s="15">
        <v>9.5299999999999994</v>
      </c>
      <c r="E190" s="15" t="s">
        <v>8</v>
      </c>
      <c r="F190" s="15">
        <v>17.78</v>
      </c>
      <c r="G190" s="15" t="s">
        <v>8</v>
      </c>
      <c r="H190" s="15">
        <v>0.54</v>
      </c>
      <c r="I190" s="15" t="s">
        <v>8</v>
      </c>
      <c r="J190" s="15">
        <v>2.12</v>
      </c>
      <c r="K190" s="15" t="s">
        <v>8</v>
      </c>
      <c r="L190" s="15">
        <v>52</v>
      </c>
      <c r="M190" s="15" t="s">
        <v>8</v>
      </c>
      <c r="N190" s="15">
        <v>26</v>
      </c>
      <c r="O190" s="15" t="s">
        <v>8</v>
      </c>
      <c r="P190" s="15">
        <v>0</v>
      </c>
      <c r="Q190" s="15">
        <v>0</v>
      </c>
      <c r="R190" s="15">
        <v>0</v>
      </c>
      <c r="S190" s="15">
        <v>1</v>
      </c>
    </row>
    <row r="191" spans="1:19" x14ac:dyDescent="0.25">
      <c r="A191" t="s">
        <v>10</v>
      </c>
      <c r="B191" t="s">
        <v>68</v>
      </c>
      <c r="C191" s="15">
        <v>2</v>
      </c>
      <c r="D191" s="15">
        <v>9.5850000000000009</v>
      </c>
      <c r="E191" s="15">
        <v>0.62932503525602601</v>
      </c>
      <c r="F191" s="15">
        <v>16.739999999999998</v>
      </c>
      <c r="G191" s="15">
        <v>0.38183766184073797</v>
      </c>
      <c r="H191" s="15">
        <v>0.56999999999999995</v>
      </c>
      <c r="I191" s="15">
        <v>2.8284271247461801E-2</v>
      </c>
      <c r="J191" s="15">
        <v>2.3199999999999998</v>
      </c>
      <c r="K191" s="15">
        <v>0</v>
      </c>
      <c r="L191" s="15">
        <v>108</v>
      </c>
      <c r="M191" s="15">
        <v>2.8284271247461898</v>
      </c>
      <c r="N191" s="15">
        <v>47</v>
      </c>
      <c r="O191" s="15">
        <v>7.0710678118654799</v>
      </c>
      <c r="P191" s="15">
        <v>0</v>
      </c>
      <c r="Q191" s="15">
        <v>0</v>
      </c>
      <c r="R191" s="15">
        <v>1</v>
      </c>
      <c r="S191" s="15">
        <v>0</v>
      </c>
    </row>
    <row r="192" spans="1:19" x14ac:dyDescent="0.25">
      <c r="A192" t="s">
        <v>10</v>
      </c>
      <c r="B192" t="s">
        <v>87</v>
      </c>
      <c r="C192" s="15">
        <v>3</v>
      </c>
      <c r="D192" s="15">
        <v>9.59</v>
      </c>
      <c r="E192" s="15" t="s">
        <v>8</v>
      </c>
      <c r="F192" s="15">
        <v>12.34</v>
      </c>
      <c r="G192" s="15">
        <v>2.0378665314490099</v>
      </c>
      <c r="H192" s="15">
        <v>0.7</v>
      </c>
      <c r="I192" s="15" t="s">
        <v>8</v>
      </c>
      <c r="J192" s="15">
        <v>1.7233333333333301</v>
      </c>
      <c r="K192" s="15">
        <v>5.6862407030773297E-2</v>
      </c>
      <c r="L192" s="15">
        <v>92</v>
      </c>
      <c r="M192" s="15">
        <v>6.2449979983984001</v>
      </c>
      <c r="N192" s="15">
        <v>64.3333333333333</v>
      </c>
      <c r="O192" s="15">
        <v>5.8594652770823199</v>
      </c>
      <c r="P192" s="15">
        <v>1</v>
      </c>
      <c r="Q192" s="15">
        <v>0</v>
      </c>
      <c r="R192" s="15">
        <v>0</v>
      </c>
      <c r="S192" s="15">
        <v>0</v>
      </c>
    </row>
    <row r="193" spans="1:19" x14ac:dyDescent="0.25">
      <c r="A193" t="s">
        <v>10</v>
      </c>
      <c r="B193" t="s">
        <v>69</v>
      </c>
      <c r="C193" s="15">
        <v>1</v>
      </c>
      <c r="D193" s="15">
        <v>9.65</v>
      </c>
      <c r="E193" s="15" t="s">
        <v>8</v>
      </c>
      <c r="F193" s="15">
        <v>15.85</v>
      </c>
      <c r="G193" s="15" t="s">
        <v>8</v>
      </c>
      <c r="H193" s="15">
        <v>0.61</v>
      </c>
      <c r="I193" s="15" t="s">
        <v>8</v>
      </c>
      <c r="J193" s="15">
        <v>2.31</v>
      </c>
      <c r="K193" s="15" t="s">
        <v>8</v>
      </c>
      <c r="L193" s="15">
        <v>106</v>
      </c>
      <c r="M193" s="15" t="s">
        <v>8</v>
      </c>
      <c r="N193" s="15">
        <v>77</v>
      </c>
      <c r="O193" s="15" t="s">
        <v>8</v>
      </c>
      <c r="P193" s="15">
        <v>1</v>
      </c>
      <c r="Q193" s="15">
        <v>0</v>
      </c>
      <c r="R193" s="15">
        <v>0</v>
      </c>
      <c r="S193" s="15">
        <v>0</v>
      </c>
    </row>
    <row r="194" spans="1:19" x14ac:dyDescent="0.25">
      <c r="A194" t="s">
        <v>10</v>
      </c>
      <c r="B194" t="s">
        <v>60</v>
      </c>
      <c r="C194" s="15">
        <v>1</v>
      </c>
      <c r="D194" s="15">
        <v>9.77</v>
      </c>
      <c r="E194" s="15" t="s">
        <v>8</v>
      </c>
      <c r="F194" s="15">
        <v>12.08</v>
      </c>
      <c r="G194" s="15" t="s">
        <v>8</v>
      </c>
      <c r="H194" s="15">
        <v>0.81</v>
      </c>
      <c r="I194" s="15" t="s">
        <v>8</v>
      </c>
      <c r="J194" s="15">
        <v>2.91</v>
      </c>
      <c r="K194" s="15" t="s">
        <v>8</v>
      </c>
      <c r="L194" s="15">
        <v>94</v>
      </c>
      <c r="M194" s="15" t="s">
        <v>8</v>
      </c>
      <c r="N194" s="15">
        <v>130</v>
      </c>
      <c r="O194" s="15" t="s">
        <v>8</v>
      </c>
      <c r="P194" s="15">
        <v>1</v>
      </c>
      <c r="Q194" s="15">
        <v>1</v>
      </c>
      <c r="R194" s="15">
        <v>0</v>
      </c>
      <c r="S194" s="15">
        <v>0</v>
      </c>
    </row>
    <row r="195" spans="1:19" x14ac:dyDescent="0.25">
      <c r="A195" t="s">
        <v>10</v>
      </c>
      <c r="B195" t="s">
        <v>127</v>
      </c>
      <c r="C195" s="15">
        <v>1</v>
      </c>
      <c r="D195" s="15">
        <v>9.7899999999999991</v>
      </c>
      <c r="E195" s="15" t="s">
        <v>8</v>
      </c>
      <c r="F195" s="15">
        <v>13.98</v>
      </c>
      <c r="G195" s="15" t="s">
        <v>8</v>
      </c>
      <c r="H195" s="15">
        <v>0.7</v>
      </c>
      <c r="I195" s="15" t="s">
        <v>8</v>
      </c>
      <c r="J195" s="15">
        <v>2</v>
      </c>
      <c r="K195" s="15" t="s">
        <v>8</v>
      </c>
      <c r="L195" s="15">
        <v>188</v>
      </c>
      <c r="M195" s="15" t="s">
        <v>8</v>
      </c>
      <c r="N195" s="15">
        <v>52</v>
      </c>
      <c r="O195" s="15" t="s">
        <v>8</v>
      </c>
      <c r="P195" s="15">
        <v>1</v>
      </c>
      <c r="Q195" s="15">
        <v>0</v>
      </c>
      <c r="R195" s="15">
        <v>0</v>
      </c>
      <c r="S195" s="15">
        <v>0</v>
      </c>
    </row>
    <row r="196" spans="1:19" x14ac:dyDescent="0.25">
      <c r="A196" t="s">
        <v>10</v>
      </c>
      <c r="B196" t="s">
        <v>81</v>
      </c>
      <c r="C196" s="15">
        <v>2</v>
      </c>
      <c r="D196" s="15">
        <v>9.8350000000000009</v>
      </c>
      <c r="E196" s="15">
        <v>4.9497474683057298E-2</v>
      </c>
      <c r="F196" s="15">
        <v>13.755000000000001</v>
      </c>
      <c r="G196" s="15">
        <v>0.16263455967290499</v>
      </c>
      <c r="H196" s="15">
        <v>0.71499999999999997</v>
      </c>
      <c r="I196" s="15">
        <v>7.0710678118654797E-3</v>
      </c>
      <c r="J196" s="15">
        <v>2.1</v>
      </c>
      <c r="K196" s="15">
        <v>0.11313708498984799</v>
      </c>
      <c r="L196" s="15">
        <v>73</v>
      </c>
      <c r="M196" s="15">
        <v>32.5269119345812</v>
      </c>
      <c r="N196" s="15">
        <v>46</v>
      </c>
      <c r="O196" s="15">
        <v>16.9705627484771</v>
      </c>
      <c r="P196" s="15">
        <v>1</v>
      </c>
      <c r="Q196" s="15">
        <v>1</v>
      </c>
      <c r="R196" s="15">
        <v>0</v>
      </c>
      <c r="S196" s="15">
        <v>0</v>
      </c>
    </row>
    <row r="197" spans="1:19" x14ac:dyDescent="0.25">
      <c r="A197" t="s">
        <v>10</v>
      </c>
      <c r="B197" t="s">
        <v>276</v>
      </c>
      <c r="C197" s="15">
        <v>2</v>
      </c>
      <c r="D197" s="15">
        <v>9.86</v>
      </c>
      <c r="E197" s="15" t="s">
        <v>8</v>
      </c>
      <c r="F197" s="15">
        <v>15.605</v>
      </c>
      <c r="G197" s="15">
        <v>0.64346717087975702</v>
      </c>
      <c r="H197" s="15">
        <v>0.61</v>
      </c>
      <c r="I197" s="15" t="s">
        <v>8</v>
      </c>
      <c r="J197" s="15">
        <v>2.2200000000000002</v>
      </c>
      <c r="K197" s="15">
        <v>2.8284271247461901E-2</v>
      </c>
      <c r="L197" s="15">
        <v>47</v>
      </c>
      <c r="M197" s="15">
        <v>1.4142135623731</v>
      </c>
      <c r="N197" s="15">
        <v>33</v>
      </c>
      <c r="O197" s="15">
        <v>1.4142135623731</v>
      </c>
      <c r="P197" s="15">
        <v>1</v>
      </c>
      <c r="Q197" s="15">
        <v>0</v>
      </c>
      <c r="R197" s="15">
        <v>0</v>
      </c>
      <c r="S197" s="15">
        <v>0</v>
      </c>
    </row>
    <row r="198" spans="1:19" x14ac:dyDescent="0.25">
      <c r="A198" t="s">
        <v>10</v>
      </c>
      <c r="B198" t="s">
        <v>208</v>
      </c>
      <c r="C198" s="15">
        <v>1</v>
      </c>
      <c r="D198" s="15">
        <v>9.86</v>
      </c>
      <c r="E198" s="15" t="s">
        <v>8</v>
      </c>
      <c r="F198" s="15">
        <v>16.03</v>
      </c>
      <c r="G198" s="15" t="s">
        <v>8</v>
      </c>
      <c r="H198" s="15">
        <v>0.62</v>
      </c>
      <c r="I198" s="15" t="s">
        <v>8</v>
      </c>
      <c r="J198" s="15">
        <v>2.4700000000000002</v>
      </c>
      <c r="K198" s="15" t="s">
        <v>8</v>
      </c>
      <c r="L198" s="15">
        <v>60</v>
      </c>
      <c r="M198" s="15" t="s">
        <v>8</v>
      </c>
      <c r="N198" s="15">
        <v>80</v>
      </c>
      <c r="O198" s="15" t="s">
        <v>8</v>
      </c>
      <c r="P198" s="15">
        <v>1</v>
      </c>
      <c r="Q198" s="15">
        <v>0</v>
      </c>
      <c r="R198" s="15">
        <v>0</v>
      </c>
      <c r="S198" s="15">
        <v>0</v>
      </c>
    </row>
    <row r="199" spans="1:19" x14ac:dyDescent="0.25">
      <c r="A199" t="s">
        <v>10</v>
      </c>
      <c r="B199" t="s">
        <v>18</v>
      </c>
      <c r="C199" s="15">
        <v>4</v>
      </c>
      <c r="D199" s="15">
        <v>9.9949999999999992</v>
      </c>
      <c r="E199" s="15">
        <v>1.8738329701443499</v>
      </c>
      <c r="F199" s="15">
        <v>15.065</v>
      </c>
      <c r="G199" s="15">
        <v>1.0945166360849301</v>
      </c>
      <c r="H199" s="15">
        <v>0.63500000000000001</v>
      </c>
      <c r="I199" s="15">
        <v>6.3639610306789302E-2</v>
      </c>
      <c r="J199" s="15">
        <v>1.7625</v>
      </c>
      <c r="K199" s="15">
        <v>9.4295634398771006E-2</v>
      </c>
      <c r="L199" s="15">
        <v>210</v>
      </c>
      <c r="M199" s="15">
        <v>9.3808315196468595</v>
      </c>
      <c r="N199" s="15">
        <v>21.5</v>
      </c>
      <c r="O199" s="15">
        <v>8.6986589004665902</v>
      </c>
      <c r="P199" s="15">
        <v>0</v>
      </c>
      <c r="Q199" s="15">
        <v>0</v>
      </c>
      <c r="R199" s="15">
        <v>0</v>
      </c>
      <c r="S199" s="15">
        <v>1</v>
      </c>
    </row>
    <row r="200" spans="1:19" x14ac:dyDescent="0.25">
      <c r="A200" t="s">
        <v>10</v>
      </c>
      <c r="B200" t="s">
        <v>99</v>
      </c>
      <c r="C200" s="15">
        <v>2</v>
      </c>
      <c r="D200" s="15">
        <v>10.06</v>
      </c>
      <c r="E200" s="15" t="s">
        <v>8</v>
      </c>
      <c r="F200" s="15">
        <v>17.875</v>
      </c>
      <c r="G200" s="15">
        <v>1.3364318164425799</v>
      </c>
      <c r="H200" s="15">
        <v>0.53</v>
      </c>
      <c r="I200" s="15" t="s">
        <v>8</v>
      </c>
      <c r="J200" s="15">
        <v>2.1349999999999998</v>
      </c>
      <c r="K200" s="15">
        <v>0.14849242404917501</v>
      </c>
      <c r="L200" s="15">
        <v>208</v>
      </c>
      <c r="M200" s="15">
        <v>5.6568542494923797</v>
      </c>
      <c r="N200" s="15">
        <v>23.5</v>
      </c>
      <c r="O200" s="15">
        <v>3.53553390593274</v>
      </c>
      <c r="P200" s="15">
        <v>1</v>
      </c>
      <c r="Q200" s="15">
        <v>0</v>
      </c>
      <c r="R200" s="15">
        <v>0</v>
      </c>
      <c r="S200" s="15">
        <v>0</v>
      </c>
    </row>
    <row r="201" spans="1:19" x14ac:dyDescent="0.25">
      <c r="A201" t="s">
        <v>10</v>
      </c>
      <c r="B201" t="s">
        <v>265</v>
      </c>
      <c r="C201" s="15">
        <v>3</v>
      </c>
      <c r="D201" s="15">
        <v>10.07</v>
      </c>
      <c r="E201" s="15">
        <v>0.15556349186103999</v>
      </c>
      <c r="F201" s="15">
        <v>16.03</v>
      </c>
      <c r="G201" s="15">
        <v>3.24639800394222</v>
      </c>
      <c r="H201" s="15">
        <v>0.71</v>
      </c>
      <c r="I201" s="15">
        <v>0</v>
      </c>
      <c r="J201" s="15">
        <v>2.1366666666666698</v>
      </c>
      <c r="K201" s="15">
        <v>9.8657657246324998E-2</v>
      </c>
      <c r="L201" s="15">
        <v>93.6666666666667</v>
      </c>
      <c r="M201" s="15">
        <v>7.7674534651540297</v>
      </c>
      <c r="N201" s="15">
        <v>59.6666666666667</v>
      </c>
      <c r="O201" s="15">
        <v>8.5049005481153799</v>
      </c>
      <c r="P201" s="15">
        <v>1</v>
      </c>
      <c r="Q201" s="15">
        <v>1</v>
      </c>
      <c r="R201" s="15">
        <v>0</v>
      </c>
      <c r="S201" s="15">
        <v>0</v>
      </c>
    </row>
    <row r="202" spans="1:19" x14ac:dyDescent="0.25">
      <c r="A202" t="s">
        <v>10</v>
      </c>
      <c r="B202" t="s">
        <v>16</v>
      </c>
      <c r="C202" s="15">
        <v>6</v>
      </c>
      <c r="D202" s="15">
        <v>10.09</v>
      </c>
      <c r="E202" s="15">
        <v>2.2055158126841898</v>
      </c>
      <c r="F202" s="15">
        <v>14.824999999999999</v>
      </c>
      <c r="G202" s="15">
        <v>0.79351748562964897</v>
      </c>
      <c r="H202" s="15">
        <v>0.68666666666666698</v>
      </c>
      <c r="I202" s="15">
        <v>0.116761865920913</v>
      </c>
      <c r="J202" s="15">
        <v>1.8233333333333299</v>
      </c>
      <c r="K202" s="15">
        <v>6.9185740341971294E-2</v>
      </c>
      <c r="L202" s="15">
        <v>214</v>
      </c>
      <c r="M202" s="15">
        <v>5.2535702146254799</v>
      </c>
      <c r="N202" s="15">
        <v>16.5</v>
      </c>
      <c r="O202" s="15">
        <v>5.5045435778091498</v>
      </c>
      <c r="P202" s="15">
        <v>0</v>
      </c>
      <c r="Q202" s="15">
        <v>0</v>
      </c>
      <c r="R202" s="15">
        <v>0</v>
      </c>
      <c r="S202" s="15">
        <v>1</v>
      </c>
    </row>
    <row r="203" spans="1:19" x14ac:dyDescent="0.25">
      <c r="A203" t="s">
        <v>10</v>
      </c>
      <c r="B203" t="s">
        <v>157</v>
      </c>
      <c r="C203" s="15">
        <v>2</v>
      </c>
      <c r="D203" s="15">
        <v>10.11</v>
      </c>
      <c r="E203" s="15">
        <v>0.73539105243401004</v>
      </c>
      <c r="F203" s="15">
        <v>17.195</v>
      </c>
      <c r="G203" s="15">
        <v>1.3647160876900399</v>
      </c>
      <c r="H203" s="15">
        <v>0.59</v>
      </c>
      <c r="I203" s="15">
        <v>0</v>
      </c>
      <c r="J203" s="15">
        <v>2.42</v>
      </c>
      <c r="K203" s="15">
        <v>0.11313708498984799</v>
      </c>
      <c r="L203" s="15">
        <v>61</v>
      </c>
      <c r="M203" s="15">
        <v>12.7279220613579</v>
      </c>
      <c r="N203" s="15">
        <v>67.5</v>
      </c>
      <c r="O203" s="15">
        <v>6.3639610306789303</v>
      </c>
      <c r="P203" s="15">
        <v>1</v>
      </c>
      <c r="Q203" s="15">
        <v>0</v>
      </c>
      <c r="R203" s="15">
        <v>0</v>
      </c>
      <c r="S203" s="15">
        <v>0</v>
      </c>
    </row>
    <row r="204" spans="1:19" x14ac:dyDescent="0.25">
      <c r="A204" t="s">
        <v>10</v>
      </c>
      <c r="B204" t="s">
        <v>185</v>
      </c>
      <c r="C204" s="15">
        <v>2</v>
      </c>
      <c r="D204" s="15">
        <v>10.11</v>
      </c>
      <c r="E204" s="15" t="s">
        <v>8</v>
      </c>
      <c r="F204" s="15">
        <v>19.875</v>
      </c>
      <c r="G204" s="15">
        <v>0.106066017177981</v>
      </c>
      <c r="H204" s="15">
        <v>0.51</v>
      </c>
      <c r="I204" s="15" t="s">
        <v>8</v>
      </c>
      <c r="J204" s="15">
        <v>2.2149999999999999</v>
      </c>
      <c r="K204" s="15">
        <v>0.14849242404917501</v>
      </c>
      <c r="L204" s="15">
        <v>142</v>
      </c>
      <c r="M204" s="15">
        <v>2.8284271247461898</v>
      </c>
      <c r="N204" s="15">
        <v>37.5</v>
      </c>
      <c r="O204" s="15">
        <v>2.1213203435596402</v>
      </c>
      <c r="P204" s="15">
        <v>1</v>
      </c>
      <c r="Q204" s="15">
        <v>0</v>
      </c>
      <c r="R204" s="15">
        <v>0</v>
      </c>
      <c r="S204" s="15">
        <v>0</v>
      </c>
    </row>
    <row r="205" spans="1:19" x14ac:dyDescent="0.25">
      <c r="A205" t="s">
        <v>10</v>
      </c>
      <c r="B205" t="s">
        <v>183</v>
      </c>
      <c r="C205" s="15">
        <v>3</v>
      </c>
      <c r="D205" s="15">
        <v>10.164999999999999</v>
      </c>
      <c r="E205" s="15">
        <v>0.37476659402887003</v>
      </c>
      <c r="F205" s="15">
        <v>13.9166666666667</v>
      </c>
      <c r="G205" s="15">
        <v>0.19756855350316599</v>
      </c>
      <c r="H205" s="15">
        <v>0.73</v>
      </c>
      <c r="I205" s="15">
        <v>1.4142135623730999E-2</v>
      </c>
      <c r="J205" s="15">
        <v>1.9566666666666701</v>
      </c>
      <c r="K205" s="15">
        <v>0.205264057577875</v>
      </c>
      <c r="L205" s="15">
        <v>146.666666666667</v>
      </c>
      <c r="M205" s="15">
        <v>23.180451534284899</v>
      </c>
      <c r="N205" s="15">
        <v>70.3333333333333</v>
      </c>
      <c r="O205" s="15">
        <v>6.6583281184793899</v>
      </c>
      <c r="P205" s="15">
        <v>1</v>
      </c>
      <c r="Q205" s="15">
        <v>0</v>
      </c>
      <c r="R205" s="15">
        <v>0</v>
      </c>
      <c r="S205" s="15">
        <v>0</v>
      </c>
    </row>
    <row r="206" spans="1:19" x14ac:dyDescent="0.25">
      <c r="A206" t="s">
        <v>10</v>
      </c>
      <c r="B206" t="s">
        <v>216</v>
      </c>
      <c r="C206" s="15">
        <v>2</v>
      </c>
      <c r="D206" s="15">
        <v>10.23</v>
      </c>
      <c r="E206" s="15">
        <v>0</v>
      </c>
      <c r="F206" s="15">
        <v>14.1</v>
      </c>
      <c r="G206" s="15">
        <v>2.3758787847868001</v>
      </c>
      <c r="H206" s="15">
        <v>0.73499999999999999</v>
      </c>
      <c r="I206" s="15">
        <v>0.120208152801713</v>
      </c>
      <c r="J206" s="15">
        <v>2.2250000000000001</v>
      </c>
      <c r="K206" s="15">
        <v>3.53553390593273E-2</v>
      </c>
      <c r="L206" s="15">
        <v>142</v>
      </c>
      <c r="M206" s="15">
        <v>22.627416997969501</v>
      </c>
      <c r="N206" s="15">
        <v>43.5</v>
      </c>
      <c r="O206" s="15">
        <v>14.849242404917501</v>
      </c>
      <c r="P206" s="15">
        <v>1</v>
      </c>
      <c r="Q206" s="15">
        <v>0</v>
      </c>
      <c r="R206" s="15">
        <v>0</v>
      </c>
      <c r="S206" s="15">
        <v>0</v>
      </c>
    </row>
    <row r="207" spans="1:19" x14ac:dyDescent="0.25">
      <c r="A207" t="s">
        <v>10</v>
      </c>
      <c r="B207" t="s">
        <v>111</v>
      </c>
      <c r="C207" s="15">
        <v>2</v>
      </c>
      <c r="D207" s="15">
        <v>10.3</v>
      </c>
      <c r="E207" s="15">
        <v>1.5556349186104099</v>
      </c>
      <c r="F207" s="15">
        <v>15.695</v>
      </c>
      <c r="G207" s="15">
        <v>2.83549819255806</v>
      </c>
      <c r="H207" s="15">
        <v>0.65500000000000003</v>
      </c>
      <c r="I207" s="15">
        <v>2.1213203435596399E-2</v>
      </c>
      <c r="J207" s="15">
        <v>2.31</v>
      </c>
      <c r="K207" s="15">
        <v>0</v>
      </c>
      <c r="L207" s="15">
        <v>65.5</v>
      </c>
      <c r="M207" s="15">
        <v>9.1923881554251192</v>
      </c>
      <c r="N207" s="15">
        <v>33</v>
      </c>
      <c r="O207" s="15">
        <v>5.6568542494923797</v>
      </c>
      <c r="P207" s="15">
        <v>1</v>
      </c>
      <c r="Q207" s="15">
        <v>0</v>
      </c>
      <c r="R207" s="15">
        <v>0</v>
      </c>
      <c r="S207" s="15">
        <v>0</v>
      </c>
    </row>
    <row r="208" spans="1:19" x14ac:dyDescent="0.25">
      <c r="A208" t="s">
        <v>10</v>
      </c>
      <c r="B208" t="s">
        <v>158</v>
      </c>
      <c r="C208" s="15">
        <v>5</v>
      </c>
      <c r="D208" s="15">
        <v>10.3066666666667</v>
      </c>
      <c r="E208" s="15">
        <v>0.78704087145035395</v>
      </c>
      <c r="F208" s="15">
        <v>15.98</v>
      </c>
      <c r="G208" s="15">
        <v>0.93970740126913999</v>
      </c>
      <c r="H208" s="15">
        <v>0.63666666666666705</v>
      </c>
      <c r="I208" s="15">
        <v>3.7859388972001903E-2</v>
      </c>
      <c r="J208" s="15">
        <v>2.222</v>
      </c>
      <c r="K208" s="15">
        <v>0.265556020455195</v>
      </c>
      <c r="L208" s="15">
        <v>88</v>
      </c>
      <c r="M208" s="15">
        <v>17.014699527173601</v>
      </c>
      <c r="N208" s="15">
        <v>51.4</v>
      </c>
      <c r="O208" s="15">
        <v>18.756332264064799</v>
      </c>
      <c r="P208" s="15">
        <v>1</v>
      </c>
      <c r="Q208" s="15">
        <v>0</v>
      </c>
      <c r="R208" s="15">
        <v>0</v>
      </c>
      <c r="S208" s="15">
        <v>0</v>
      </c>
    </row>
    <row r="209" spans="1:19" x14ac:dyDescent="0.25">
      <c r="A209" t="s">
        <v>10</v>
      </c>
      <c r="B209" t="s">
        <v>24</v>
      </c>
      <c r="C209" s="15">
        <v>2</v>
      </c>
      <c r="D209" s="15">
        <v>10.315</v>
      </c>
      <c r="E209" s="15">
        <v>0.26162950903902199</v>
      </c>
      <c r="F209" s="15">
        <v>15.39</v>
      </c>
      <c r="G209" s="15">
        <v>0.21213203435596401</v>
      </c>
      <c r="H209" s="15">
        <v>0.67</v>
      </c>
      <c r="I209" s="15">
        <v>1.4142135623730999E-2</v>
      </c>
      <c r="J209" s="15">
        <v>2.5950000000000002</v>
      </c>
      <c r="K209" s="15">
        <v>0.275771644662754</v>
      </c>
      <c r="L209" s="15">
        <v>117</v>
      </c>
      <c r="M209" s="15">
        <v>22.627416997969501</v>
      </c>
      <c r="N209" s="15">
        <v>65.5</v>
      </c>
      <c r="O209" s="15">
        <v>0.70710678118654802</v>
      </c>
      <c r="P209" s="15">
        <v>1</v>
      </c>
      <c r="Q209" s="15">
        <v>0</v>
      </c>
      <c r="R209" s="15">
        <v>0</v>
      </c>
      <c r="S209" s="15">
        <v>0</v>
      </c>
    </row>
    <row r="210" spans="1:19" x14ac:dyDescent="0.25">
      <c r="A210" t="s">
        <v>10</v>
      </c>
      <c r="B210" t="s">
        <v>131</v>
      </c>
      <c r="C210" s="15">
        <v>2</v>
      </c>
      <c r="D210" s="15">
        <v>10.41</v>
      </c>
      <c r="E210" s="15" t="s">
        <v>8</v>
      </c>
      <c r="F210" s="15">
        <v>16</v>
      </c>
      <c r="G210" s="15">
        <v>0.39597979746446699</v>
      </c>
      <c r="H210" s="15">
        <v>0.66</v>
      </c>
      <c r="I210" s="15" t="s">
        <v>8</v>
      </c>
      <c r="J210" s="15">
        <v>1.98</v>
      </c>
      <c r="K210" s="15">
        <v>9.8994949366116594E-2</v>
      </c>
      <c r="L210" s="15">
        <v>136.5</v>
      </c>
      <c r="M210" s="15">
        <v>4.94974746830583</v>
      </c>
      <c r="N210" s="15">
        <v>100</v>
      </c>
      <c r="O210" s="15">
        <v>5.6568542494923797</v>
      </c>
      <c r="P210" s="15">
        <v>0</v>
      </c>
      <c r="Q210" s="15">
        <v>0</v>
      </c>
      <c r="R210" s="15">
        <v>0</v>
      </c>
      <c r="S210" s="15">
        <v>1</v>
      </c>
    </row>
    <row r="211" spans="1:19" x14ac:dyDescent="0.25">
      <c r="A211" t="s">
        <v>10</v>
      </c>
      <c r="B211" t="s">
        <v>35</v>
      </c>
      <c r="C211" s="15">
        <v>2</v>
      </c>
      <c r="D211" s="15">
        <v>10.49</v>
      </c>
      <c r="E211" s="15" t="s">
        <v>8</v>
      </c>
      <c r="F211" s="15">
        <v>12.885</v>
      </c>
      <c r="G211" s="15">
        <v>0.74246212024587499</v>
      </c>
      <c r="H211" s="15">
        <v>0.78</v>
      </c>
      <c r="I211" s="15" t="s">
        <v>8</v>
      </c>
      <c r="J211" s="15">
        <v>1.93</v>
      </c>
      <c r="K211" s="15">
        <v>2.8284271247461901E-2</v>
      </c>
      <c r="L211" s="15">
        <v>165</v>
      </c>
      <c r="M211" s="15">
        <v>4.2426406871192803</v>
      </c>
      <c r="N211" s="15">
        <v>58</v>
      </c>
      <c r="O211" s="15">
        <v>4.2426406871192803</v>
      </c>
      <c r="P211" s="15">
        <v>0</v>
      </c>
      <c r="Q211" s="15">
        <v>0</v>
      </c>
      <c r="R211" s="15">
        <v>0</v>
      </c>
      <c r="S211" s="15">
        <v>1</v>
      </c>
    </row>
    <row r="212" spans="1:19" x14ac:dyDescent="0.25">
      <c r="A212" t="s">
        <v>10</v>
      </c>
      <c r="B212" t="s">
        <v>115</v>
      </c>
      <c r="C212" s="15">
        <v>2</v>
      </c>
      <c r="D212" s="15">
        <v>10.58</v>
      </c>
      <c r="E212" s="15">
        <v>0.212132034355965</v>
      </c>
      <c r="F212" s="15">
        <v>15.95</v>
      </c>
      <c r="G212" s="15">
        <v>2.4324473272817202</v>
      </c>
      <c r="H212" s="15">
        <v>0.67</v>
      </c>
      <c r="I212" s="15">
        <v>8.4852813742385694E-2</v>
      </c>
      <c r="J212" s="15">
        <v>2.1549999999999998</v>
      </c>
      <c r="K212" s="15">
        <v>3.5355339059327598E-2</v>
      </c>
      <c r="L212" s="15">
        <v>95.5</v>
      </c>
      <c r="M212" s="15">
        <v>44.547727214752499</v>
      </c>
      <c r="N212" s="15">
        <v>43.5</v>
      </c>
      <c r="O212" s="15">
        <v>16.2634559672906</v>
      </c>
      <c r="P212" s="15">
        <v>0</v>
      </c>
      <c r="Q212" s="15">
        <v>0</v>
      </c>
      <c r="R212" s="15">
        <v>0</v>
      </c>
      <c r="S212" s="15">
        <v>1</v>
      </c>
    </row>
    <row r="213" spans="1:19" x14ac:dyDescent="0.25">
      <c r="A213" t="s">
        <v>10</v>
      </c>
      <c r="B213" t="s">
        <v>123</v>
      </c>
      <c r="C213" s="15">
        <v>1</v>
      </c>
      <c r="D213" s="15">
        <v>10.76</v>
      </c>
      <c r="E213" s="15" t="s">
        <v>8</v>
      </c>
      <c r="F213" s="15">
        <v>25.46</v>
      </c>
      <c r="G213" s="15" t="s">
        <v>8</v>
      </c>
      <c r="H213" s="15">
        <v>0.42</v>
      </c>
      <c r="I213" s="15" t="s">
        <v>8</v>
      </c>
      <c r="J213" s="15">
        <v>1.67</v>
      </c>
      <c r="K213" s="15" t="s">
        <v>8</v>
      </c>
      <c r="L213" s="15">
        <v>84</v>
      </c>
      <c r="M213" s="15" t="s">
        <v>8</v>
      </c>
      <c r="N213" s="15">
        <v>144</v>
      </c>
      <c r="O213" s="15" t="s">
        <v>8</v>
      </c>
      <c r="P213" s="15">
        <v>1</v>
      </c>
      <c r="Q213" s="15">
        <v>0</v>
      </c>
      <c r="R213" s="15">
        <v>0</v>
      </c>
      <c r="S213" s="15">
        <v>0</v>
      </c>
    </row>
    <row r="214" spans="1:19" x14ac:dyDescent="0.25">
      <c r="A214" t="s">
        <v>10</v>
      </c>
      <c r="B214" t="s">
        <v>76</v>
      </c>
      <c r="C214" s="15">
        <v>2</v>
      </c>
      <c r="D214" s="15">
        <v>10.88</v>
      </c>
      <c r="E214" s="15" t="s">
        <v>8</v>
      </c>
      <c r="F214" s="15">
        <v>17.12</v>
      </c>
      <c r="G214" s="15">
        <v>0.94752308678997399</v>
      </c>
      <c r="H214" s="15">
        <v>0.61</v>
      </c>
      <c r="I214" s="15" t="s">
        <v>8</v>
      </c>
      <c r="J214" s="15">
        <v>1.82</v>
      </c>
      <c r="K214" s="15">
        <v>8.4852813742385597E-2</v>
      </c>
      <c r="L214" s="15">
        <v>131.5</v>
      </c>
      <c r="M214" s="15">
        <v>17.677669529663699</v>
      </c>
      <c r="N214" s="15">
        <v>59.5</v>
      </c>
      <c r="O214" s="15">
        <v>0.70710678118654802</v>
      </c>
      <c r="P214" s="15">
        <v>1</v>
      </c>
      <c r="Q214" s="15">
        <v>0</v>
      </c>
      <c r="R214" s="15">
        <v>0</v>
      </c>
      <c r="S214" s="15">
        <v>0</v>
      </c>
    </row>
    <row r="215" spans="1:19" x14ac:dyDescent="0.25">
      <c r="A215" t="s">
        <v>10</v>
      </c>
      <c r="B215" t="s">
        <v>166</v>
      </c>
      <c r="C215" s="15">
        <v>4</v>
      </c>
      <c r="D215" s="15">
        <v>10.94</v>
      </c>
      <c r="E215" s="15">
        <v>0.74665922615340397</v>
      </c>
      <c r="F215" s="15">
        <v>13.9275</v>
      </c>
      <c r="G215" s="15">
        <v>0.970820100052872</v>
      </c>
      <c r="H215" s="15">
        <v>0.77</v>
      </c>
      <c r="I215" s="15">
        <v>8.8881944173155897E-2</v>
      </c>
      <c r="J215" s="15">
        <v>2.8450000000000002</v>
      </c>
      <c r="K215" s="15">
        <v>0.20240223977680299</v>
      </c>
      <c r="L215" s="15">
        <v>92</v>
      </c>
      <c r="M215" s="15">
        <v>4.3204937989385703</v>
      </c>
      <c r="N215" s="15">
        <v>138.25</v>
      </c>
      <c r="O215" s="15">
        <v>6.7019897542943703</v>
      </c>
      <c r="P215" s="15">
        <v>1</v>
      </c>
      <c r="Q215" s="15">
        <v>1</v>
      </c>
      <c r="R215" s="15">
        <v>0</v>
      </c>
      <c r="S215" s="15">
        <v>0</v>
      </c>
    </row>
    <row r="216" spans="1:19" x14ac:dyDescent="0.25">
      <c r="A216" t="s">
        <v>10</v>
      </c>
      <c r="B216" t="s">
        <v>112</v>
      </c>
      <c r="C216" s="15">
        <v>1</v>
      </c>
      <c r="D216" s="15">
        <v>11.03</v>
      </c>
      <c r="E216" s="15" t="s">
        <v>8</v>
      </c>
      <c r="F216" s="15">
        <v>15.21</v>
      </c>
      <c r="G216" s="15" t="s">
        <v>8</v>
      </c>
      <c r="H216" s="15">
        <v>0.73</v>
      </c>
      <c r="I216" s="15" t="s">
        <v>8</v>
      </c>
      <c r="J216" s="15">
        <v>1.76</v>
      </c>
      <c r="K216" s="15" t="s">
        <v>8</v>
      </c>
      <c r="L216" s="15">
        <v>70</v>
      </c>
      <c r="M216" s="15" t="s">
        <v>8</v>
      </c>
      <c r="N216" s="15">
        <v>47</v>
      </c>
      <c r="O216" s="15" t="s">
        <v>8</v>
      </c>
      <c r="P216" s="15">
        <v>0</v>
      </c>
      <c r="Q216" s="15">
        <v>0</v>
      </c>
      <c r="R216" s="15">
        <v>1</v>
      </c>
      <c r="S216" s="15">
        <v>0</v>
      </c>
    </row>
    <row r="217" spans="1:19" x14ac:dyDescent="0.25">
      <c r="A217" t="s">
        <v>10</v>
      </c>
      <c r="B217" t="s">
        <v>49</v>
      </c>
      <c r="C217" s="15">
        <v>1</v>
      </c>
      <c r="D217" s="15">
        <v>11.09</v>
      </c>
      <c r="E217" s="15" t="s">
        <v>8</v>
      </c>
      <c r="F217" s="15">
        <v>18.82</v>
      </c>
      <c r="G217" s="15" t="s">
        <v>8</v>
      </c>
      <c r="H217" s="15">
        <v>0.59</v>
      </c>
      <c r="I217" s="15" t="s">
        <v>8</v>
      </c>
      <c r="J217" s="15">
        <v>1.6</v>
      </c>
      <c r="K217" s="15" t="s">
        <v>8</v>
      </c>
      <c r="L217" s="15">
        <v>40</v>
      </c>
      <c r="M217" s="15" t="s">
        <v>8</v>
      </c>
      <c r="N217" s="15">
        <v>34</v>
      </c>
      <c r="O217" s="15" t="s">
        <v>8</v>
      </c>
      <c r="P217" s="15">
        <v>1</v>
      </c>
      <c r="Q217" s="15">
        <v>0</v>
      </c>
      <c r="R217" s="15">
        <v>0</v>
      </c>
      <c r="S217" s="15">
        <v>0</v>
      </c>
    </row>
    <row r="218" spans="1:19" x14ac:dyDescent="0.25">
      <c r="A218" t="s">
        <v>10</v>
      </c>
      <c r="B218" t="s">
        <v>144</v>
      </c>
      <c r="C218" s="15">
        <v>4</v>
      </c>
      <c r="D218" s="15">
        <v>11.223333333333301</v>
      </c>
      <c r="E218" s="15">
        <v>1.5077908785151</v>
      </c>
      <c r="F218" s="15">
        <v>16.649999999999999</v>
      </c>
      <c r="G218" s="15">
        <v>1.0369828028146499</v>
      </c>
      <c r="H218" s="15">
        <v>0.66</v>
      </c>
      <c r="I218" s="15">
        <v>9.1651513899116799E-2</v>
      </c>
      <c r="J218" s="15">
        <v>2.0625</v>
      </c>
      <c r="K218" s="15">
        <v>5.6789083458002799E-2</v>
      </c>
      <c r="L218" s="15">
        <v>99.5</v>
      </c>
      <c r="M218" s="15">
        <v>13.699148392023</v>
      </c>
      <c r="N218" s="15">
        <v>76.75</v>
      </c>
      <c r="O218" s="15">
        <v>14.8632656797444</v>
      </c>
      <c r="P218" s="15">
        <v>1</v>
      </c>
      <c r="Q218" s="15">
        <v>0</v>
      </c>
      <c r="R218" s="15">
        <v>1</v>
      </c>
      <c r="S218" s="15">
        <v>0</v>
      </c>
    </row>
    <row r="219" spans="1:19" x14ac:dyDescent="0.25">
      <c r="A219" t="s">
        <v>10</v>
      </c>
      <c r="B219" t="s">
        <v>124</v>
      </c>
      <c r="C219" s="15">
        <v>2</v>
      </c>
      <c r="D219" s="15">
        <v>11.39</v>
      </c>
      <c r="E219" s="15">
        <v>0</v>
      </c>
      <c r="F219" s="15">
        <v>15.84</v>
      </c>
      <c r="G219" s="15">
        <v>9.1216774773064593</v>
      </c>
      <c r="H219" s="15">
        <v>0.86</v>
      </c>
      <c r="I219" s="15">
        <v>0.49497474683058301</v>
      </c>
      <c r="J219" s="15">
        <v>1.4950000000000001</v>
      </c>
      <c r="K219" s="15">
        <v>0.14849242404917501</v>
      </c>
      <c r="L219" s="15">
        <v>53.5</v>
      </c>
      <c r="M219" s="15">
        <v>19.091883092036799</v>
      </c>
      <c r="N219" s="15">
        <v>45.5</v>
      </c>
      <c r="O219" s="15">
        <v>6.3639610306789303</v>
      </c>
      <c r="P219" s="15">
        <v>1</v>
      </c>
      <c r="Q219" s="15">
        <v>0</v>
      </c>
      <c r="R219" s="15">
        <v>0</v>
      </c>
      <c r="S219" s="15">
        <v>0</v>
      </c>
    </row>
    <row r="220" spans="1:19" x14ac:dyDescent="0.25">
      <c r="A220" t="s">
        <v>10</v>
      </c>
      <c r="B220" t="s">
        <v>264</v>
      </c>
      <c r="C220" s="15">
        <v>2</v>
      </c>
      <c r="D220" s="15">
        <v>11.4</v>
      </c>
      <c r="E220" s="15" t="s">
        <v>8</v>
      </c>
      <c r="F220" s="15">
        <v>13.88</v>
      </c>
      <c r="G220" s="15">
        <v>0.80610173055266299</v>
      </c>
      <c r="H220" s="15">
        <v>0.79</v>
      </c>
      <c r="I220" s="15" t="s">
        <v>8</v>
      </c>
      <c r="J220" s="15">
        <v>2.7549999999999999</v>
      </c>
      <c r="K220" s="15">
        <v>7.0710678118653201E-3</v>
      </c>
      <c r="L220" s="15">
        <v>95.5</v>
      </c>
      <c r="M220" s="15">
        <v>21.920310216783001</v>
      </c>
      <c r="N220" s="15">
        <v>122.5</v>
      </c>
      <c r="O220" s="15">
        <v>14.849242404917501</v>
      </c>
      <c r="P220" s="15">
        <v>1</v>
      </c>
      <c r="Q220" s="15">
        <v>1</v>
      </c>
      <c r="R220" s="15">
        <v>0</v>
      </c>
      <c r="S220" s="15">
        <v>0</v>
      </c>
    </row>
    <row r="221" spans="1:19" x14ac:dyDescent="0.25">
      <c r="A221" t="s">
        <v>10</v>
      </c>
      <c r="B221" t="s">
        <v>296</v>
      </c>
      <c r="C221" s="15">
        <v>2</v>
      </c>
      <c r="D221" s="15">
        <v>11.59</v>
      </c>
      <c r="E221" s="15">
        <v>0</v>
      </c>
      <c r="F221" s="15">
        <v>17.61</v>
      </c>
      <c r="G221" s="15">
        <v>1.5273506473629399</v>
      </c>
      <c r="H221" s="15">
        <v>0.66</v>
      </c>
      <c r="I221" s="15">
        <v>5.6568542494923803E-2</v>
      </c>
      <c r="J221" s="15">
        <v>2.09</v>
      </c>
      <c r="K221" s="15">
        <v>0.141421356237309</v>
      </c>
      <c r="L221" s="15">
        <v>106.5</v>
      </c>
      <c r="M221" s="15">
        <v>0.70710678118654802</v>
      </c>
      <c r="N221" s="15">
        <v>38</v>
      </c>
      <c r="O221" s="15">
        <v>0</v>
      </c>
      <c r="P221" s="15">
        <v>1</v>
      </c>
      <c r="Q221" s="15">
        <v>0</v>
      </c>
      <c r="R221" s="15">
        <v>0</v>
      </c>
      <c r="S221" s="15">
        <v>0</v>
      </c>
    </row>
    <row r="222" spans="1:19" x14ac:dyDescent="0.25">
      <c r="A222" t="s">
        <v>10</v>
      </c>
      <c r="B222" t="s">
        <v>164</v>
      </c>
      <c r="C222" s="15">
        <v>1</v>
      </c>
      <c r="D222" s="15">
        <v>11.59</v>
      </c>
      <c r="E222" s="15" t="s">
        <v>8</v>
      </c>
      <c r="F222" s="15">
        <v>17.25</v>
      </c>
      <c r="G222" s="15" t="s">
        <v>8</v>
      </c>
      <c r="H222" s="15">
        <v>0.67</v>
      </c>
      <c r="I222" s="15" t="s">
        <v>8</v>
      </c>
      <c r="J222" s="15">
        <v>2.34</v>
      </c>
      <c r="K222" s="15" t="s">
        <v>8</v>
      </c>
      <c r="L222" s="15">
        <v>119</v>
      </c>
      <c r="M222" s="15" t="s">
        <v>8</v>
      </c>
      <c r="N222" s="15">
        <v>54</v>
      </c>
      <c r="O222" s="15" t="s">
        <v>8</v>
      </c>
      <c r="P222" s="15">
        <v>0</v>
      </c>
      <c r="Q222" s="15">
        <v>0</v>
      </c>
      <c r="R222" s="15">
        <v>1</v>
      </c>
      <c r="S222" s="15">
        <v>0</v>
      </c>
    </row>
    <row r="223" spans="1:19" x14ac:dyDescent="0.25">
      <c r="A223" t="s">
        <v>10</v>
      </c>
      <c r="B223" t="s">
        <v>122</v>
      </c>
      <c r="C223" s="15">
        <v>3</v>
      </c>
      <c r="D223" s="15">
        <v>11.705</v>
      </c>
      <c r="E223" s="15">
        <v>6.3639610306789204E-2</v>
      </c>
      <c r="F223" s="15">
        <v>20.149999999999999</v>
      </c>
      <c r="G223" s="15">
        <v>1.5852760012061</v>
      </c>
      <c r="H223" s="15">
        <v>0.56000000000000005</v>
      </c>
      <c r="I223" s="15">
        <v>1.41421356237309E-2</v>
      </c>
      <c r="J223" s="15">
        <v>1.65333333333333</v>
      </c>
      <c r="K223" s="15">
        <v>0.13576941236277501</v>
      </c>
      <c r="L223" s="15">
        <v>38.3333333333333</v>
      </c>
      <c r="M223" s="15">
        <v>3.2145502536643198</v>
      </c>
      <c r="N223" s="15">
        <v>47</v>
      </c>
      <c r="O223" s="15">
        <v>14.730919862656201</v>
      </c>
      <c r="P223" s="15">
        <v>1</v>
      </c>
      <c r="Q223" s="15">
        <v>0</v>
      </c>
      <c r="R223" s="15">
        <v>0</v>
      </c>
      <c r="S223" s="15">
        <v>0</v>
      </c>
    </row>
    <row r="224" spans="1:19" x14ac:dyDescent="0.25">
      <c r="A224" t="s">
        <v>10</v>
      </c>
      <c r="B224" t="s">
        <v>114</v>
      </c>
      <c r="C224" s="15">
        <v>1</v>
      </c>
      <c r="D224" s="15">
        <v>12</v>
      </c>
      <c r="E224" s="15" t="s">
        <v>8</v>
      </c>
      <c r="F224" s="15">
        <v>17.690000000000001</v>
      </c>
      <c r="G224" s="15" t="s">
        <v>8</v>
      </c>
      <c r="H224" s="15">
        <v>0.68</v>
      </c>
      <c r="I224" s="15" t="s">
        <v>8</v>
      </c>
      <c r="J224" s="15">
        <v>2.2799999999999998</v>
      </c>
      <c r="K224" s="15" t="s">
        <v>8</v>
      </c>
      <c r="L224" s="15">
        <v>151</v>
      </c>
      <c r="M224" s="15" t="s">
        <v>8</v>
      </c>
      <c r="N224" s="15">
        <v>65</v>
      </c>
      <c r="O224" s="15" t="s">
        <v>8</v>
      </c>
      <c r="P224" s="15">
        <v>1</v>
      </c>
      <c r="Q224" s="15">
        <v>0</v>
      </c>
      <c r="R224" s="15">
        <v>0</v>
      </c>
      <c r="S224" s="15">
        <v>0</v>
      </c>
    </row>
    <row r="225" spans="1:19" x14ac:dyDescent="0.25">
      <c r="A225" t="s">
        <v>10</v>
      </c>
      <c r="B225" t="s">
        <v>17</v>
      </c>
      <c r="C225" s="15">
        <v>5</v>
      </c>
      <c r="D225" s="15">
        <v>12.36</v>
      </c>
      <c r="E225" s="15">
        <v>0.79195959492893298</v>
      </c>
      <c r="F225" s="15">
        <v>16.956</v>
      </c>
      <c r="G225" s="15">
        <v>2.5160345784587301</v>
      </c>
      <c r="H225" s="15">
        <v>0.63</v>
      </c>
      <c r="I225" s="15">
        <v>1.4142135623730999E-2</v>
      </c>
      <c r="J225" s="15">
        <v>1.93</v>
      </c>
      <c r="K225" s="15">
        <v>0.101980390271856</v>
      </c>
      <c r="L225" s="15">
        <v>208</v>
      </c>
      <c r="M225" s="15">
        <v>4.1833001326703796</v>
      </c>
      <c r="N225" s="15">
        <v>23.8</v>
      </c>
      <c r="O225" s="15">
        <v>2.3874672772626599</v>
      </c>
      <c r="P225" s="15">
        <v>0</v>
      </c>
      <c r="Q225" s="15">
        <v>0</v>
      </c>
      <c r="R225" s="15">
        <v>0</v>
      </c>
      <c r="S225" s="15">
        <v>1</v>
      </c>
    </row>
    <row r="226" spans="1:19" x14ac:dyDescent="0.25">
      <c r="A226" t="s">
        <v>10</v>
      </c>
      <c r="B226" t="s">
        <v>186</v>
      </c>
      <c r="C226" s="15">
        <v>2</v>
      </c>
      <c r="D226" s="15">
        <v>12.59</v>
      </c>
      <c r="E226" s="15">
        <v>0.11313708498984799</v>
      </c>
      <c r="F226" s="15">
        <v>19.079999999999998</v>
      </c>
      <c r="G226" s="15">
        <v>2.2627416997969498</v>
      </c>
      <c r="H226" s="15">
        <v>0.66</v>
      </c>
      <c r="I226" s="15">
        <v>8.4852813742385694E-2</v>
      </c>
      <c r="J226" s="15">
        <v>1.89</v>
      </c>
      <c r="K226" s="15">
        <v>0</v>
      </c>
      <c r="L226" s="15">
        <v>65</v>
      </c>
      <c r="M226" s="15">
        <v>7.0710678118654799</v>
      </c>
      <c r="N226" s="15">
        <v>59</v>
      </c>
      <c r="O226" s="15">
        <v>7.0710678118654799</v>
      </c>
      <c r="P226" s="15">
        <v>1</v>
      </c>
      <c r="Q226" s="15">
        <v>0</v>
      </c>
      <c r="R226" s="15">
        <v>0</v>
      </c>
      <c r="S226" s="15">
        <v>0</v>
      </c>
    </row>
    <row r="227" spans="1:19" x14ac:dyDescent="0.25">
      <c r="A227" t="s">
        <v>10</v>
      </c>
      <c r="B227" t="s">
        <v>198</v>
      </c>
      <c r="C227" s="15">
        <v>3</v>
      </c>
      <c r="D227" s="15">
        <v>12.74</v>
      </c>
      <c r="E227" s="15" t="s">
        <v>8</v>
      </c>
      <c r="F227" s="15">
        <v>17.966666666666701</v>
      </c>
      <c r="G227" s="15">
        <v>1.7371624372330099</v>
      </c>
      <c r="H227" s="15">
        <v>0.7</v>
      </c>
      <c r="I227" s="15" t="s">
        <v>8</v>
      </c>
      <c r="J227" s="15">
        <v>2.2233333333333301</v>
      </c>
      <c r="K227" s="15">
        <v>8.08290376865477E-2</v>
      </c>
      <c r="L227" s="15">
        <v>134</v>
      </c>
      <c r="M227" s="15">
        <v>6.9282032302755097</v>
      </c>
      <c r="N227" s="15">
        <v>41.3333333333333</v>
      </c>
      <c r="O227" s="15">
        <v>8.3266639978645305</v>
      </c>
      <c r="P227" s="15">
        <v>1</v>
      </c>
      <c r="Q227" s="15">
        <v>0</v>
      </c>
      <c r="R227" s="15">
        <v>0</v>
      </c>
      <c r="S227" s="15">
        <v>0</v>
      </c>
    </row>
    <row r="228" spans="1:19" x14ac:dyDescent="0.25">
      <c r="A228" t="s">
        <v>10</v>
      </c>
      <c r="B228" t="s">
        <v>108</v>
      </c>
      <c r="C228" s="15">
        <v>1</v>
      </c>
      <c r="D228" s="15">
        <v>12.89</v>
      </c>
      <c r="E228" s="15" t="s">
        <v>8</v>
      </c>
      <c r="F228" s="15">
        <v>20.52</v>
      </c>
      <c r="G228" s="15" t="s">
        <v>8</v>
      </c>
      <c r="H228" s="15">
        <v>0.63</v>
      </c>
      <c r="I228" s="15" t="s">
        <v>8</v>
      </c>
      <c r="J228" s="15">
        <v>2.52</v>
      </c>
      <c r="K228" s="15" t="s">
        <v>8</v>
      </c>
      <c r="L228" s="15">
        <v>130</v>
      </c>
      <c r="M228" s="15" t="s">
        <v>8</v>
      </c>
      <c r="N228" s="15">
        <v>77</v>
      </c>
      <c r="O228" s="15" t="s">
        <v>8</v>
      </c>
      <c r="P228" s="15">
        <v>1</v>
      </c>
      <c r="Q228" s="15">
        <v>0</v>
      </c>
      <c r="R228" s="15">
        <v>1</v>
      </c>
      <c r="S228" s="15">
        <v>0</v>
      </c>
    </row>
    <row r="229" spans="1:19" x14ac:dyDescent="0.25">
      <c r="A229" t="s">
        <v>10</v>
      </c>
      <c r="B229" t="s">
        <v>113</v>
      </c>
      <c r="C229" s="15">
        <v>2</v>
      </c>
      <c r="D229" s="15">
        <v>13.29</v>
      </c>
      <c r="E229" s="15" t="s">
        <v>8</v>
      </c>
      <c r="F229" s="15">
        <v>20.62</v>
      </c>
      <c r="G229" s="15">
        <v>3.2668333290818499</v>
      </c>
      <c r="H229" s="15">
        <v>0.57999999999999996</v>
      </c>
      <c r="I229" s="15" t="s">
        <v>8</v>
      </c>
      <c r="J229" s="15">
        <v>2.4049999999999998</v>
      </c>
      <c r="K229" s="15">
        <v>4.94974746830582E-2</v>
      </c>
      <c r="L229" s="15">
        <v>174</v>
      </c>
      <c r="M229" s="15">
        <v>15.556349186104001</v>
      </c>
      <c r="N229" s="15">
        <v>64.5</v>
      </c>
      <c r="O229" s="15">
        <v>7.7781745930520199</v>
      </c>
      <c r="P229" s="15">
        <v>1</v>
      </c>
      <c r="Q229" s="15">
        <v>0</v>
      </c>
      <c r="R229" s="15">
        <v>0</v>
      </c>
      <c r="S229" s="15">
        <v>0</v>
      </c>
    </row>
    <row r="230" spans="1:19" x14ac:dyDescent="0.25">
      <c r="A230" t="s">
        <v>10</v>
      </c>
      <c r="B230" t="s">
        <v>162</v>
      </c>
      <c r="C230" s="15">
        <v>2</v>
      </c>
      <c r="D230" s="15">
        <v>13.34</v>
      </c>
      <c r="E230" s="15">
        <v>0</v>
      </c>
      <c r="F230" s="15">
        <v>14.045</v>
      </c>
      <c r="G230" s="15">
        <v>1.60513239329346</v>
      </c>
      <c r="H230" s="15">
        <v>0.95499999999999996</v>
      </c>
      <c r="I230" s="15">
        <v>0.106066017177982</v>
      </c>
      <c r="J230" s="15">
        <v>1.82</v>
      </c>
      <c r="K230" s="15">
        <v>2.8284271247461901E-2</v>
      </c>
      <c r="L230" s="15">
        <v>133</v>
      </c>
      <c r="M230" s="15">
        <v>24.0416305603426</v>
      </c>
      <c r="N230" s="15">
        <v>48</v>
      </c>
      <c r="O230" s="15">
        <v>2.8284271247461898</v>
      </c>
      <c r="P230" s="15">
        <v>1</v>
      </c>
      <c r="Q230" s="15">
        <v>0</v>
      </c>
      <c r="R230" s="15">
        <v>0</v>
      </c>
      <c r="S230" s="15">
        <v>0</v>
      </c>
    </row>
    <row r="231" spans="1:19" x14ac:dyDescent="0.25">
      <c r="A231" t="s">
        <v>10</v>
      </c>
      <c r="B231" t="s">
        <v>163</v>
      </c>
      <c r="C231" s="15">
        <v>2</v>
      </c>
      <c r="D231" s="15">
        <v>13.34</v>
      </c>
      <c r="E231" s="15">
        <v>0</v>
      </c>
      <c r="F231" s="15">
        <v>15.375</v>
      </c>
      <c r="G231" s="15">
        <v>1.3647160876900399</v>
      </c>
      <c r="H231" s="15">
        <v>0.875</v>
      </c>
      <c r="I231" s="15">
        <v>7.7781745930520299E-2</v>
      </c>
      <c r="J231" s="15">
        <v>2.08</v>
      </c>
      <c r="K231" s="15">
        <v>9.8994949366116705E-2</v>
      </c>
      <c r="L231" s="15">
        <v>110.5</v>
      </c>
      <c r="M231" s="15">
        <v>7.7781745930520199</v>
      </c>
      <c r="N231" s="15">
        <v>29.5</v>
      </c>
      <c r="O231" s="15">
        <v>0.70710678118654802</v>
      </c>
      <c r="P231" s="15">
        <v>0</v>
      </c>
      <c r="Q231" s="15">
        <v>0</v>
      </c>
      <c r="R231" s="15">
        <v>0</v>
      </c>
      <c r="S231" s="15">
        <v>1</v>
      </c>
    </row>
    <row r="232" spans="1:19" x14ac:dyDescent="0.25">
      <c r="A232" t="s">
        <v>10</v>
      </c>
      <c r="B232" t="s">
        <v>161</v>
      </c>
      <c r="C232" s="15">
        <v>4</v>
      </c>
      <c r="D232" s="15">
        <v>13.342499999999999</v>
      </c>
      <c r="E232" s="15">
        <v>4.2824554872175797</v>
      </c>
      <c r="F232" s="15">
        <v>18.434999999999999</v>
      </c>
      <c r="G232" s="15">
        <v>2.0011121907579299</v>
      </c>
      <c r="H232" s="15">
        <v>0.73</v>
      </c>
      <c r="I232" s="15">
        <v>0.339411254969543</v>
      </c>
      <c r="J232" s="15">
        <v>1.9750000000000001</v>
      </c>
      <c r="K232" s="15">
        <v>0.106066017177982</v>
      </c>
      <c r="L232" s="15">
        <v>114</v>
      </c>
      <c r="M232" s="15">
        <v>16.9705627484771</v>
      </c>
      <c r="N232" s="15">
        <v>45.5</v>
      </c>
      <c r="O232" s="15">
        <v>7.7781745930520199</v>
      </c>
      <c r="P232" s="15">
        <v>1</v>
      </c>
      <c r="Q232" s="15">
        <v>0</v>
      </c>
      <c r="R232" s="15">
        <v>0</v>
      </c>
      <c r="S232" s="15">
        <v>0</v>
      </c>
    </row>
    <row r="233" spans="1:19" x14ac:dyDescent="0.25">
      <c r="A233" t="s">
        <v>211</v>
      </c>
      <c r="B233" t="s">
        <v>258</v>
      </c>
      <c r="C233" s="15">
        <v>1</v>
      </c>
      <c r="D233" s="15">
        <v>15.63</v>
      </c>
      <c r="E233" s="15" t="s">
        <v>8</v>
      </c>
      <c r="F233" s="15">
        <v>44.33</v>
      </c>
      <c r="G233" s="15" t="s">
        <v>8</v>
      </c>
      <c r="H233" s="15">
        <v>0.35</v>
      </c>
      <c r="I233" s="15" t="s">
        <v>8</v>
      </c>
      <c r="J233" s="15">
        <v>2.48</v>
      </c>
      <c r="K233" s="15" t="s">
        <v>8</v>
      </c>
      <c r="L233" s="15">
        <v>52</v>
      </c>
      <c r="M233" s="15" t="s">
        <v>8</v>
      </c>
      <c r="N233" s="15">
        <v>27</v>
      </c>
      <c r="O233" s="15" t="s">
        <v>8</v>
      </c>
      <c r="P233" s="15">
        <v>0</v>
      </c>
      <c r="Q233" s="15">
        <v>0</v>
      </c>
      <c r="R233" s="15">
        <v>0</v>
      </c>
      <c r="S233" s="15">
        <v>1</v>
      </c>
    </row>
    <row r="234" spans="1:19" x14ac:dyDescent="0.25">
      <c r="A234" t="s">
        <v>211</v>
      </c>
      <c r="B234" t="s">
        <v>226</v>
      </c>
      <c r="C234" s="15">
        <v>3</v>
      </c>
      <c r="D234" s="15">
        <v>18.886666666666699</v>
      </c>
      <c r="E234" s="15">
        <v>0.58483615939280997</v>
      </c>
      <c r="F234" s="15">
        <v>38.86</v>
      </c>
      <c r="G234" s="15">
        <v>2.5746650267559099</v>
      </c>
      <c r="H234" s="15">
        <v>0.48666666666666702</v>
      </c>
      <c r="I234" s="15">
        <v>4.0414518843273801E-2</v>
      </c>
      <c r="J234" s="15">
        <v>2.54</v>
      </c>
      <c r="K234" s="15">
        <v>5.2915026221291898E-2</v>
      </c>
      <c r="L234" s="15">
        <v>60.89</v>
      </c>
      <c r="M234" s="15">
        <v>8.2277761272411905</v>
      </c>
      <c r="N234" s="15">
        <v>41.6666666666667</v>
      </c>
      <c r="O234" s="15">
        <v>4.0414518843273797</v>
      </c>
      <c r="P234" s="15">
        <v>1</v>
      </c>
      <c r="Q234" s="15">
        <v>0</v>
      </c>
      <c r="R234" s="15">
        <v>0</v>
      </c>
      <c r="S234" s="15">
        <v>0</v>
      </c>
    </row>
    <row r="235" spans="1:19" x14ac:dyDescent="0.25">
      <c r="A235" t="s">
        <v>10</v>
      </c>
      <c r="B235" t="s">
        <v>986</v>
      </c>
      <c r="C235" s="15">
        <v>1</v>
      </c>
      <c r="D235" s="15">
        <v>25.39</v>
      </c>
      <c r="E235" s="15" t="s">
        <v>8</v>
      </c>
      <c r="F235" s="15">
        <v>28.22</v>
      </c>
      <c r="G235" s="15" t="s">
        <v>8</v>
      </c>
      <c r="H235" s="15">
        <v>0.9</v>
      </c>
      <c r="I235" s="15" t="s">
        <v>8</v>
      </c>
      <c r="J235" s="15" t="s">
        <v>8</v>
      </c>
      <c r="K235" s="15" t="s">
        <v>8</v>
      </c>
      <c r="L235" s="15" t="s">
        <v>8</v>
      </c>
      <c r="M235" s="15" t="s">
        <v>8</v>
      </c>
      <c r="N235" s="15" t="s">
        <v>8</v>
      </c>
      <c r="O235" s="15" t="s">
        <v>8</v>
      </c>
      <c r="P235" s="15">
        <v>1</v>
      </c>
      <c r="Q235" s="15">
        <v>0</v>
      </c>
      <c r="R235" s="15">
        <v>0</v>
      </c>
      <c r="S235" s="15">
        <v>0</v>
      </c>
    </row>
    <row r="236" spans="1:19" x14ac:dyDescent="0.25">
      <c r="A236" t="s">
        <v>211</v>
      </c>
      <c r="B236" t="s">
        <v>230</v>
      </c>
      <c r="C236" s="15">
        <v>2</v>
      </c>
      <c r="D236" s="15">
        <v>27.385000000000002</v>
      </c>
      <c r="E236" s="15">
        <v>0.74246212024587499</v>
      </c>
      <c r="F236" s="15">
        <v>37.42</v>
      </c>
      <c r="G236" s="15">
        <v>1.79605122421383</v>
      </c>
      <c r="H236" s="15">
        <v>0.73</v>
      </c>
      <c r="I236" s="15">
        <v>5.65685424949239E-2</v>
      </c>
      <c r="J236" s="15">
        <v>2.69</v>
      </c>
      <c r="K236" s="15">
        <v>8.4852813742385805E-2</v>
      </c>
      <c r="L236" s="15">
        <v>61.5</v>
      </c>
      <c r="M236" s="15">
        <v>12.0208152801713</v>
      </c>
      <c r="N236" s="15">
        <v>34</v>
      </c>
      <c r="O236" s="15">
        <v>14.142135623731001</v>
      </c>
      <c r="P236" s="15">
        <v>0</v>
      </c>
      <c r="Q236" s="15">
        <v>0</v>
      </c>
      <c r="R236" s="15">
        <v>0</v>
      </c>
      <c r="S236" s="15">
        <v>1</v>
      </c>
    </row>
    <row r="237" spans="1:19" x14ac:dyDescent="0.25">
      <c r="A237" t="s">
        <v>10</v>
      </c>
      <c r="B237" t="s">
        <v>253</v>
      </c>
      <c r="C237" s="15">
        <v>2</v>
      </c>
      <c r="D237" s="15">
        <v>27.43</v>
      </c>
      <c r="E237" s="15">
        <v>1.5697770542341301</v>
      </c>
      <c r="F237" s="15">
        <v>35.229999999999997</v>
      </c>
      <c r="G237" s="15">
        <v>4.5961940777125596</v>
      </c>
      <c r="H237" s="15">
        <v>0.78</v>
      </c>
      <c r="I237" s="15">
        <v>5.6568542494923803E-2</v>
      </c>
      <c r="J237" s="15">
        <v>2.105</v>
      </c>
      <c r="K237" s="15">
        <v>0.176776695296637</v>
      </c>
      <c r="L237" s="15">
        <v>69.5</v>
      </c>
      <c r="M237" s="15">
        <v>4.94974746830583</v>
      </c>
      <c r="N237" s="15">
        <v>71.5</v>
      </c>
      <c r="O237" s="15">
        <v>7.7781745930520199</v>
      </c>
      <c r="P237" s="15">
        <v>1</v>
      </c>
      <c r="Q237" s="15">
        <v>0</v>
      </c>
      <c r="R237" s="15">
        <v>1</v>
      </c>
      <c r="S237" s="15">
        <v>0</v>
      </c>
    </row>
    <row r="238" spans="1:19" x14ac:dyDescent="0.25">
      <c r="A238" t="s">
        <v>211</v>
      </c>
      <c r="B238" t="s">
        <v>293</v>
      </c>
      <c r="C238" s="15">
        <v>2</v>
      </c>
      <c r="D238" s="15">
        <v>28.66</v>
      </c>
      <c r="E238" s="15" t="s">
        <v>8</v>
      </c>
      <c r="F238" s="15">
        <v>49.85</v>
      </c>
      <c r="G238" s="15">
        <v>9.1782460198013904</v>
      </c>
      <c r="H238" s="15">
        <v>0.51</v>
      </c>
      <c r="I238" s="15" t="s">
        <v>8</v>
      </c>
      <c r="J238" s="15">
        <v>2.2799999999999998</v>
      </c>
      <c r="K238" s="15" t="s">
        <v>8</v>
      </c>
      <c r="L238" s="15">
        <v>50</v>
      </c>
      <c r="M238" s="15" t="s">
        <v>8</v>
      </c>
      <c r="N238" s="15">
        <v>21</v>
      </c>
      <c r="O238" s="15" t="s">
        <v>8</v>
      </c>
      <c r="P238" s="15">
        <v>1</v>
      </c>
      <c r="Q238" s="15">
        <v>0</v>
      </c>
      <c r="R238" s="15">
        <v>0</v>
      </c>
      <c r="S238" s="15">
        <v>0</v>
      </c>
    </row>
    <row r="239" spans="1:19" x14ac:dyDescent="0.25">
      <c r="A239" t="s">
        <v>211</v>
      </c>
      <c r="B239" t="s">
        <v>233</v>
      </c>
      <c r="C239" s="15">
        <v>1</v>
      </c>
      <c r="D239" s="15">
        <v>28.86</v>
      </c>
      <c r="E239" s="15" t="s">
        <v>8</v>
      </c>
      <c r="F239" s="15">
        <v>27.68</v>
      </c>
      <c r="G239" s="15" t="s">
        <v>8</v>
      </c>
      <c r="H239" s="15">
        <v>1.04</v>
      </c>
      <c r="I239" s="15" t="s">
        <v>8</v>
      </c>
      <c r="J239" s="15">
        <v>2.97</v>
      </c>
      <c r="K239" s="15" t="s">
        <v>8</v>
      </c>
      <c r="L239" s="15">
        <v>96</v>
      </c>
      <c r="M239" s="15" t="s">
        <v>8</v>
      </c>
      <c r="N239" s="15">
        <v>47</v>
      </c>
      <c r="O239" s="15" t="s">
        <v>8</v>
      </c>
      <c r="P239" s="15">
        <v>0</v>
      </c>
      <c r="Q239" s="15">
        <v>0</v>
      </c>
      <c r="R239" s="15">
        <v>0</v>
      </c>
      <c r="S239" s="15">
        <v>1</v>
      </c>
    </row>
    <row r="240" spans="1:19" x14ac:dyDescent="0.25">
      <c r="A240" t="s">
        <v>211</v>
      </c>
      <c r="B240" t="s">
        <v>312</v>
      </c>
      <c r="C240" s="15">
        <v>1</v>
      </c>
      <c r="D240" s="15">
        <v>30.5</v>
      </c>
      <c r="E240" s="15" t="s">
        <v>8</v>
      </c>
      <c r="F240" s="15">
        <v>39.22</v>
      </c>
      <c r="G240" s="15" t="s">
        <v>8</v>
      </c>
      <c r="H240" s="15">
        <v>0.78</v>
      </c>
      <c r="I240" s="15" t="s">
        <v>8</v>
      </c>
      <c r="J240" s="15">
        <v>2.91</v>
      </c>
      <c r="K240" s="15" t="s">
        <v>8</v>
      </c>
      <c r="L240" s="15">
        <v>73</v>
      </c>
      <c r="M240" s="15" t="s">
        <v>8</v>
      </c>
      <c r="N240" s="15">
        <v>33</v>
      </c>
      <c r="O240" s="15" t="s">
        <v>8</v>
      </c>
      <c r="P240" s="15">
        <v>0</v>
      </c>
      <c r="Q240" s="15">
        <v>0</v>
      </c>
      <c r="R240" s="15">
        <v>0</v>
      </c>
      <c r="S240" s="15">
        <v>1</v>
      </c>
    </row>
    <row r="241" spans="1:19" x14ac:dyDescent="0.25">
      <c r="A241" t="s">
        <v>211</v>
      </c>
      <c r="B241" t="s">
        <v>225</v>
      </c>
      <c r="C241" s="15">
        <v>1</v>
      </c>
      <c r="D241" s="15">
        <v>31.01</v>
      </c>
      <c r="E241" s="15" t="s">
        <v>8</v>
      </c>
      <c r="F241" s="15">
        <v>38.64</v>
      </c>
      <c r="G241" s="15" t="s">
        <v>8</v>
      </c>
      <c r="H241" s="15">
        <v>0.8</v>
      </c>
      <c r="I241" s="15" t="s">
        <v>8</v>
      </c>
      <c r="J241" s="15">
        <v>2.79</v>
      </c>
      <c r="K241" s="15" t="s">
        <v>8</v>
      </c>
      <c r="L241" s="15">
        <v>77</v>
      </c>
      <c r="M241" s="15" t="s">
        <v>8</v>
      </c>
      <c r="N241" s="15">
        <v>27</v>
      </c>
      <c r="O241" s="15" t="s">
        <v>8</v>
      </c>
      <c r="P241" s="15">
        <v>1</v>
      </c>
      <c r="Q241" s="15">
        <v>0</v>
      </c>
      <c r="R241" s="15">
        <v>0</v>
      </c>
      <c r="S241" s="15">
        <v>0</v>
      </c>
    </row>
    <row r="242" spans="1:19" x14ac:dyDescent="0.25">
      <c r="A242" t="s">
        <v>211</v>
      </c>
      <c r="B242" t="s">
        <v>314</v>
      </c>
      <c r="C242" s="15">
        <v>1</v>
      </c>
      <c r="D242" s="15">
        <v>31.6</v>
      </c>
      <c r="E242" s="15" t="s">
        <v>8</v>
      </c>
      <c r="F242" s="15">
        <v>24.57</v>
      </c>
      <c r="G242" s="15" t="s">
        <v>8</v>
      </c>
      <c r="H242" s="15">
        <v>1.29</v>
      </c>
      <c r="I242" s="15" t="s">
        <v>8</v>
      </c>
      <c r="J242" s="15">
        <v>2.04</v>
      </c>
      <c r="K242" s="15" t="s">
        <v>8</v>
      </c>
      <c r="L242" s="15">
        <v>62</v>
      </c>
      <c r="M242" s="15" t="s">
        <v>8</v>
      </c>
      <c r="N242" s="15">
        <v>34</v>
      </c>
      <c r="O242" s="15" t="s">
        <v>8</v>
      </c>
      <c r="P242" s="15">
        <v>0</v>
      </c>
      <c r="Q242" s="15">
        <v>0</v>
      </c>
      <c r="R242" s="15">
        <v>0</v>
      </c>
      <c r="S242" s="15">
        <v>1</v>
      </c>
    </row>
    <row r="243" spans="1:19" x14ac:dyDescent="0.25">
      <c r="A243" t="s">
        <v>211</v>
      </c>
      <c r="B243" t="s">
        <v>313</v>
      </c>
      <c r="C243" s="15">
        <v>1</v>
      </c>
      <c r="D243" s="15">
        <v>32.1</v>
      </c>
      <c r="E243" s="15" t="s">
        <v>8</v>
      </c>
      <c r="F243" s="15">
        <v>49.36</v>
      </c>
      <c r="G243" s="15" t="s">
        <v>8</v>
      </c>
      <c r="H243" s="15">
        <v>0.65</v>
      </c>
      <c r="I243" s="15" t="s">
        <v>8</v>
      </c>
      <c r="J243" s="15">
        <v>2.41</v>
      </c>
      <c r="K243" s="15" t="s">
        <v>8</v>
      </c>
      <c r="L243" s="15">
        <v>66</v>
      </c>
      <c r="M243" s="15" t="s">
        <v>8</v>
      </c>
      <c r="N243" s="15">
        <v>48</v>
      </c>
      <c r="O243" s="15" t="s">
        <v>8</v>
      </c>
      <c r="P243" s="15">
        <v>0</v>
      </c>
      <c r="Q243" s="15">
        <v>0</v>
      </c>
      <c r="R243" s="15">
        <v>0</v>
      </c>
      <c r="S243" s="15">
        <v>1</v>
      </c>
    </row>
    <row r="244" spans="1:19" x14ac:dyDescent="0.25">
      <c r="A244" t="s">
        <v>211</v>
      </c>
      <c r="B244" t="s">
        <v>239</v>
      </c>
      <c r="C244" s="15">
        <v>1</v>
      </c>
      <c r="D244" s="15">
        <v>32.35</v>
      </c>
      <c r="E244" s="15" t="s">
        <v>8</v>
      </c>
      <c r="F244" s="15">
        <v>36.950000000000003</v>
      </c>
      <c r="G244" s="15" t="s">
        <v>8</v>
      </c>
      <c r="H244" s="15">
        <v>0.88</v>
      </c>
      <c r="I244" s="15" t="s">
        <v>8</v>
      </c>
      <c r="J244" s="15">
        <v>2.35</v>
      </c>
      <c r="K244" s="15" t="s">
        <v>8</v>
      </c>
      <c r="L244" s="15">
        <v>65</v>
      </c>
      <c r="M244" s="15" t="s">
        <v>8</v>
      </c>
      <c r="N244" s="15">
        <v>45</v>
      </c>
      <c r="O244" s="15" t="s">
        <v>8</v>
      </c>
      <c r="P244" s="15">
        <v>1</v>
      </c>
      <c r="Q244" s="15">
        <v>0</v>
      </c>
      <c r="R244" s="15">
        <v>1</v>
      </c>
      <c r="S244" s="15">
        <v>0</v>
      </c>
    </row>
    <row r="245" spans="1:19" x14ac:dyDescent="0.25">
      <c r="A245" t="s">
        <v>211</v>
      </c>
      <c r="B245" t="s">
        <v>234</v>
      </c>
      <c r="C245" s="15">
        <v>1</v>
      </c>
      <c r="D245" s="15">
        <v>32.56</v>
      </c>
      <c r="E245" s="15" t="s">
        <v>8</v>
      </c>
      <c r="F245" s="15">
        <v>42.03</v>
      </c>
      <c r="G245" s="15" t="s">
        <v>8</v>
      </c>
      <c r="H245" s="15">
        <v>0.77</v>
      </c>
      <c r="I245" s="15" t="s">
        <v>8</v>
      </c>
      <c r="J245" s="15">
        <v>2.98</v>
      </c>
      <c r="K245" s="15" t="s">
        <v>8</v>
      </c>
      <c r="L245" s="15">
        <v>54</v>
      </c>
      <c r="M245" s="15" t="s">
        <v>8</v>
      </c>
      <c r="N245" s="15">
        <v>52</v>
      </c>
      <c r="O245" s="15" t="s">
        <v>8</v>
      </c>
      <c r="P245" s="15">
        <v>0</v>
      </c>
      <c r="Q245" s="15">
        <v>0</v>
      </c>
      <c r="R245" s="15">
        <v>0</v>
      </c>
      <c r="S245" s="15">
        <v>1</v>
      </c>
    </row>
    <row r="246" spans="1:19" x14ac:dyDescent="0.25">
      <c r="A246" t="s">
        <v>211</v>
      </c>
      <c r="B246" t="s">
        <v>282</v>
      </c>
      <c r="C246" s="15">
        <v>1</v>
      </c>
      <c r="D246" s="15">
        <v>32.68</v>
      </c>
      <c r="E246" s="15" t="s">
        <v>8</v>
      </c>
      <c r="F246" s="15">
        <v>47.39</v>
      </c>
      <c r="G246" s="15" t="s">
        <v>8</v>
      </c>
      <c r="H246" s="15">
        <v>0.69</v>
      </c>
      <c r="I246" s="15" t="s">
        <v>8</v>
      </c>
      <c r="J246" s="15">
        <v>2.5299999999999998</v>
      </c>
      <c r="K246" s="15" t="s">
        <v>8</v>
      </c>
      <c r="L246" s="15">
        <v>70</v>
      </c>
      <c r="M246" s="15" t="s">
        <v>8</v>
      </c>
      <c r="N246" s="15">
        <v>55</v>
      </c>
      <c r="O246" s="15" t="s">
        <v>8</v>
      </c>
      <c r="P246" s="15">
        <v>1</v>
      </c>
      <c r="Q246" s="15">
        <v>0</v>
      </c>
      <c r="R246" s="15">
        <v>0</v>
      </c>
      <c r="S246" s="15">
        <v>0</v>
      </c>
    </row>
    <row r="247" spans="1:19" x14ac:dyDescent="0.25">
      <c r="A247" t="s">
        <v>211</v>
      </c>
      <c r="B247" t="s">
        <v>232</v>
      </c>
      <c r="C247" s="15">
        <v>1</v>
      </c>
      <c r="D247" s="15">
        <v>34</v>
      </c>
      <c r="E247" s="15" t="s">
        <v>8</v>
      </c>
      <c r="F247" s="15">
        <v>50.81</v>
      </c>
      <c r="G247" s="15" t="s">
        <v>8</v>
      </c>
      <c r="H247" s="15">
        <v>0.67</v>
      </c>
      <c r="I247" s="15" t="s">
        <v>8</v>
      </c>
      <c r="J247" s="15">
        <v>3.16</v>
      </c>
      <c r="K247" s="15" t="s">
        <v>8</v>
      </c>
      <c r="L247" s="15">
        <v>129</v>
      </c>
      <c r="M247" s="15" t="s">
        <v>8</v>
      </c>
      <c r="N247" s="15">
        <v>60</v>
      </c>
      <c r="O247" s="15" t="s">
        <v>8</v>
      </c>
      <c r="P247" s="15">
        <v>0</v>
      </c>
      <c r="Q247" s="15">
        <v>0</v>
      </c>
      <c r="R247" s="15">
        <v>0</v>
      </c>
      <c r="S247" s="15">
        <v>1</v>
      </c>
    </row>
    <row r="248" spans="1:19" x14ac:dyDescent="0.25">
      <c r="A248" t="s">
        <v>211</v>
      </c>
      <c r="B248" t="s">
        <v>300</v>
      </c>
      <c r="C248" s="15">
        <v>1</v>
      </c>
      <c r="D248" s="15">
        <v>34</v>
      </c>
      <c r="E248" s="15" t="s">
        <v>8</v>
      </c>
      <c r="F248" s="15">
        <v>36.75</v>
      </c>
      <c r="G248" s="15" t="s">
        <v>8</v>
      </c>
      <c r="H248" s="15">
        <v>0.93</v>
      </c>
      <c r="I248" s="15" t="s">
        <v>8</v>
      </c>
      <c r="J248" s="15">
        <v>3.16</v>
      </c>
      <c r="K248" s="15" t="s">
        <v>8</v>
      </c>
      <c r="L248" s="15">
        <v>96</v>
      </c>
      <c r="M248" s="15" t="s">
        <v>8</v>
      </c>
      <c r="N248" s="15">
        <v>52</v>
      </c>
      <c r="O248" s="15" t="s">
        <v>8</v>
      </c>
      <c r="P248" s="15">
        <v>0</v>
      </c>
      <c r="Q248" s="15">
        <v>0</v>
      </c>
      <c r="R248" s="15">
        <v>0</v>
      </c>
      <c r="S248" s="15">
        <v>1</v>
      </c>
    </row>
    <row r="249" spans="1:19" x14ac:dyDescent="0.25">
      <c r="A249" t="s">
        <v>211</v>
      </c>
      <c r="B249" t="s">
        <v>311</v>
      </c>
      <c r="C249" s="15">
        <v>1</v>
      </c>
      <c r="D249" s="15">
        <v>34.07</v>
      </c>
      <c r="E249" s="15" t="s">
        <v>8</v>
      </c>
      <c r="F249" s="15">
        <v>47.78</v>
      </c>
      <c r="G249" s="15" t="s">
        <v>8</v>
      </c>
      <c r="H249" s="15">
        <v>0.71</v>
      </c>
      <c r="I249" s="15" t="s">
        <v>8</v>
      </c>
      <c r="J249" s="15">
        <v>2.48</v>
      </c>
      <c r="K249" s="15" t="s">
        <v>8</v>
      </c>
      <c r="L249" s="15">
        <v>76</v>
      </c>
      <c r="M249" s="15" t="s">
        <v>8</v>
      </c>
      <c r="N249" s="15">
        <v>44</v>
      </c>
      <c r="O249" s="15" t="s">
        <v>8</v>
      </c>
      <c r="P249" s="15">
        <v>0</v>
      </c>
      <c r="Q249" s="15">
        <v>0</v>
      </c>
      <c r="R249" s="15">
        <v>0</v>
      </c>
      <c r="S249" s="15">
        <v>1</v>
      </c>
    </row>
    <row r="250" spans="1:19" x14ac:dyDescent="0.25">
      <c r="A250" t="s">
        <v>211</v>
      </c>
      <c r="B250" t="s">
        <v>231</v>
      </c>
      <c r="C250" s="15">
        <v>2</v>
      </c>
      <c r="D250" s="15">
        <v>34.164999999999999</v>
      </c>
      <c r="E250" s="15">
        <v>7.7428192539926997</v>
      </c>
      <c r="F250" s="15">
        <v>48.875</v>
      </c>
      <c r="G250" s="15">
        <v>5.2396612485923102</v>
      </c>
      <c r="H250" s="15">
        <v>0.69499999999999995</v>
      </c>
      <c r="I250" s="15">
        <v>7.7781745930520202E-2</v>
      </c>
      <c r="J250" s="15">
        <v>2.5449999999999999</v>
      </c>
      <c r="K250" s="15">
        <v>0.21920310216783001</v>
      </c>
      <c r="L250" s="15">
        <v>75.5</v>
      </c>
      <c r="M250" s="15">
        <v>10.606601717798201</v>
      </c>
      <c r="N250" s="15">
        <v>24.5</v>
      </c>
      <c r="O250" s="15">
        <v>2.1213203435596402</v>
      </c>
      <c r="P250" s="15">
        <v>0</v>
      </c>
      <c r="Q250" s="15">
        <v>0</v>
      </c>
      <c r="R250" s="15">
        <v>0</v>
      </c>
      <c r="S250" s="15">
        <v>1</v>
      </c>
    </row>
    <row r="251" spans="1:19" x14ac:dyDescent="0.25">
      <c r="A251" t="s">
        <v>211</v>
      </c>
      <c r="B251" t="s">
        <v>235</v>
      </c>
      <c r="C251" s="15">
        <v>1</v>
      </c>
      <c r="D251" s="15">
        <v>36.92</v>
      </c>
      <c r="E251" s="15" t="s">
        <v>8</v>
      </c>
      <c r="F251" s="15">
        <v>40.54</v>
      </c>
      <c r="G251" s="15" t="s">
        <v>8</v>
      </c>
      <c r="H251" s="15">
        <v>0.91</v>
      </c>
      <c r="I251" s="15" t="s">
        <v>8</v>
      </c>
      <c r="J251" s="15">
        <v>2.93</v>
      </c>
      <c r="K251" s="15" t="s">
        <v>8</v>
      </c>
      <c r="L251" s="15">
        <v>80</v>
      </c>
      <c r="M251" s="15" t="s">
        <v>8</v>
      </c>
      <c r="N251" s="15">
        <v>33</v>
      </c>
      <c r="O251" s="15" t="s">
        <v>8</v>
      </c>
      <c r="P251" s="15">
        <v>0</v>
      </c>
      <c r="Q251" s="15">
        <v>0</v>
      </c>
      <c r="R251" s="15">
        <v>0</v>
      </c>
      <c r="S251" s="15">
        <v>1</v>
      </c>
    </row>
    <row r="252" spans="1:19" x14ac:dyDescent="0.25">
      <c r="A252" t="s">
        <v>211</v>
      </c>
      <c r="B252" t="s">
        <v>981</v>
      </c>
      <c r="C252" s="15">
        <v>1</v>
      </c>
      <c r="D252" s="15">
        <v>37.49</v>
      </c>
      <c r="E252" s="15" t="s">
        <v>8</v>
      </c>
      <c r="F252" s="15">
        <v>45.07</v>
      </c>
      <c r="G252" s="15" t="s">
        <v>8</v>
      </c>
      <c r="H252" s="15">
        <v>0.83</v>
      </c>
      <c r="I252" s="15" t="s">
        <v>8</v>
      </c>
      <c r="J252" s="15" t="s">
        <v>8</v>
      </c>
      <c r="K252" s="15" t="s">
        <v>8</v>
      </c>
      <c r="L252" s="15" t="s">
        <v>8</v>
      </c>
      <c r="M252" s="15" t="s">
        <v>8</v>
      </c>
      <c r="N252" s="15" t="s">
        <v>8</v>
      </c>
      <c r="O252" s="15" t="s">
        <v>8</v>
      </c>
      <c r="P252" s="15">
        <v>0</v>
      </c>
      <c r="Q252" s="15">
        <v>0</v>
      </c>
      <c r="R252" s="15">
        <v>0</v>
      </c>
      <c r="S252" s="15">
        <v>1</v>
      </c>
    </row>
    <row r="253" spans="1:19" x14ac:dyDescent="0.25">
      <c r="A253" t="s">
        <v>211</v>
      </c>
      <c r="B253" t="s">
        <v>991</v>
      </c>
      <c r="C253" s="15">
        <v>1</v>
      </c>
      <c r="D253" s="15">
        <v>38.590000000000003</v>
      </c>
      <c r="E253" s="15" t="s">
        <v>8</v>
      </c>
      <c r="F253" s="15">
        <v>41.91</v>
      </c>
      <c r="G253" s="15" t="s">
        <v>8</v>
      </c>
      <c r="H253" s="15">
        <v>0.92</v>
      </c>
      <c r="I253" s="15" t="s">
        <v>8</v>
      </c>
      <c r="J253" s="15" t="s">
        <v>8</v>
      </c>
      <c r="K253" s="15" t="s">
        <v>8</v>
      </c>
      <c r="L253" s="15" t="s">
        <v>8</v>
      </c>
      <c r="M253" s="15" t="s">
        <v>8</v>
      </c>
      <c r="N253" s="15" t="s">
        <v>8</v>
      </c>
      <c r="O253" s="15" t="s">
        <v>8</v>
      </c>
      <c r="P253" s="15">
        <v>0</v>
      </c>
      <c r="Q253" s="15">
        <v>0</v>
      </c>
      <c r="R253" s="15">
        <v>0</v>
      </c>
      <c r="S253" s="15">
        <v>1</v>
      </c>
    </row>
    <row r="254" spans="1:19" x14ac:dyDescent="0.25">
      <c r="A254" t="s">
        <v>211</v>
      </c>
      <c r="B254" t="s">
        <v>984</v>
      </c>
      <c r="C254" s="15">
        <v>1</v>
      </c>
      <c r="D254" s="15">
        <v>39.130000000000003</v>
      </c>
      <c r="E254" s="15" t="s">
        <v>8</v>
      </c>
      <c r="F254" s="15">
        <v>50.19</v>
      </c>
      <c r="G254" s="15" t="s">
        <v>8</v>
      </c>
      <c r="H254" s="15">
        <v>0.78</v>
      </c>
      <c r="I254" s="15" t="s">
        <v>8</v>
      </c>
      <c r="J254" s="15" t="s">
        <v>8</v>
      </c>
      <c r="K254" s="15" t="s">
        <v>8</v>
      </c>
      <c r="L254" s="15" t="s">
        <v>8</v>
      </c>
      <c r="M254" s="15" t="s">
        <v>8</v>
      </c>
      <c r="N254" s="15" t="s">
        <v>8</v>
      </c>
      <c r="O254" s="15" t="s">
        <v>8</v>
      </c>
      <c r="P254" s="15">
        <v>0</v>
      </c>
      <c r="Q254" s="15">
        <v>0</v>
      </c>
      <c r="R254" s="15">
        <v>0</v>
      </c>
      <c r="S254" s="15">
        <v>1</v>
      </c>
    </row>
    <row r="255" spans="1:19" x14ac:dyDescent="0.25">
      <c r="A255" t="s">
        <v>211</v>
      </c>
      <c r="B255" t="s">
        <v>289</v>
      </c>
      <c r="C255" s="15">
        <v>1</v>
      </c>
      <c r="D255" s="15">
        <v>43</v>
      </c>
      <c r="E255" s="15" t="s">
        <v>8</v>
      </c>
      <c r="F255" s="15">
        <v>42.58</v>
      </c>
      <c r="G255" s="15" t="s">
        <v>8</v>
      </c>
      <c r="H255" s="15">
        <v>1.01</v>
      </c>
      <c r="I255" s="15" t="s">
        <v>8</v>
      </c>
      <c r="J255" s="15">
        <v>2.39</v>
      </c>
      <c r="K255" s="15" t="s">
        <v>8</v>
      </c>
      <c r="L255" s="15">
        <v>71</v>
      </c>
      <c r="M255" s="15" t="s">
        <v>8</v>
      </c>
      <c r="N255" s="15">
        <v>52</v>
      </c>
      <c r="O255" s="15" t="s">
        <v>8</v>
      </c>
      <c r="P255" s="15">
        <v>0</v>
      </c>
      <c r="Q255" s="15">
        <v>0</v>
      </c>
      <c r="R255" s="15">
        <v>0</v>
      </c>
      <c r="S255" s="15">
        <v>1</v>
      </c>
    </row>
    <row r="256" spans="1:19" x14ac:dyDescent="0.25">
      <c r="A256" t="s">
        <v>211</v>
      </c>
      <c r="B256" t="s">
        <v>287</v>
      </c>
      <c r="C256" s="15">
        <v>6</v>
      </c>
      <c r="D256" s="15">
        <v>43.082000000000001</v>
      </c>
      <c r="E256" s="15">
        <v>7.1488614478111101</v>
      </c>
      <c r="F256" s="15">
        <v>55.295000000000002</v>
      </c>
      <c r="G256" s="15">
        <v>3.7264527368531102</v>
      </c>
      <c r="H256" s="15">
        <v>0.81</v>
      </c>
      <c r="I256" s="15" t="s">
        <v>8</v>
      </c>
      <c r="J256" s="15" t="s">
        <v>8</v>
      </c>
      <c r="K256" s="15" t="s">
        <v>8</v>
      </c>
      <c r="L256" s="15" t="s">
        <v>8</v>
      </c>
      <c r="M256" s="15" t="s">
        <v>8</v>
      </c>
      <c r="N256" s="15" t="s">
        <v>8</v>
      </c>
      <c r="O256" s="15" t="s">
        <v>8</v>
      </c>
      <c r="P256" s="15">
        <v>1</v>
      </c>
      <c r="Q256" s="15">
        <v>0</v>
      </c>
      <c r="R256" s="15">
        <v>0</v>
      </c>
      <c r="S256" s="15">
        <v>0</v>
      </c>
    </row>
    <row r="257" spans="1:19" x14ac:dyDescent="0.25">
      <c r="A257" t="s">
        <v>211</v>
      </c>
      <c r="B257" t="s">
        <v>227</v>
      </c>
      <c r="C257" s="15">
        <v>1</v>
      </c>
      <c r="D257" s="15">
        <v>43.3</v>
      </c>
      <c r="E257" s="15" t="s">
        <v>8</v>
      </c>
      <c r="F257" s="15">
        <v>51.25</v>
      </c>
      <c r="G257" s="15" t="s">
        <v>8</v>
      </c>
      <c r="H257" s="15">
        <v>0.84</v>
      </c>
      <c r="I257" s="15" t="s">
        <v>8</v>
      </c>
      <c r="J257" s="15">
        <v>2.35</v>
      </c>
      <c r="K257" s="15" t="s">
        <v>8</v>
      </c>
      <c r="L257" s="15">
        <v>63</v>
      </c>
      <c r="M257" s="15" t="s">
        <v>8</v>
      </c>
      <c r="N257" s="15">
        <v>35</v>
      </c>
      <c r="O257" s="15" t="s">
        <v>8</v>
      </c>
      <c r="P257" s="15">
        <v>1</v>
      </c>
      <c r="Q257" s="15">
        <v>0</v>
      </c>
      <c r="R257" s="15">
        <v>0</v>
      </c>
      <c r="S257" s="15">
        <v>0</v>
      </c>
    </row>
    <row r="258" spans="1:19" x14ac:dyDescent="0.25">
      <c r="A258" t="s">
        <v>211</v>
      </c>
      <c r="B258" t="s">
        <v>238</v>
      </c>
      <c r="C258" s="15">
        <v>1</v>
      </c>
      <c r="D258" s="15">
        <v>43.66</v>
      </c>
      <c r="E258" s="15" t="s">
        <v>8</v>
      </c>
      <c r="F258" s="15">
        <v>52.78</v>
      </c>
      <c r="G258" s="15" t="s">
        <v>8</v>
      </c>
      <c r="H258" s="15">
        <v>0.83</v>
      </c>
      <c r="I258" s="15" t="s">
        <v>8</v>
      </c>
      <c r="J258" s="15">
        <v>2.59</v>
      </c>
      <c r="K258" s="15" t="s">
        <v>8</v>
      </c>
      <c r="L258" s="15">
        <v>57</v>
      </c>
      <c r="M258" s="15" t="s">
        <v>8</v>
      </c>
      <c r="N258" s="15">
        <v>36</v>
      </c>
      <c r="O258" s="15" t="s">
        <v>8</v>
      </c>
      <c r="P258" s="15">
        <v>1</v>
      </c>
      <c r="Q258" s="15">
        <v>0</v>
      </c>
      <c r="R258" s="15">
        <v>0</v>
      </c>
      <c r="S258" s="15">
        <v>0</v>
      </c>
    </row>
    <row r="259" spans="1:19" x14ac:dyDescent="0.25">
      <c r="A259" t="s">
        <v>211</v>
      </c>
      <c r="B259" t="s">
        <v>237</v>
      </c>
      <c r="C259" s="15">
        <v>1</v>
      </c>
      <c r="D259" s="15">
        <v>43.8</v>
      </c>
      <c r="E259" s="15" t="s">
        <v>8</v>
      </c>
      <c r="F259" s="15">
        <v>47.48</v>
      </c>
      <c r="G259" s="15" t="s">
        <v>8</v>
      </c>
      <c r="H259" s="15">
        <v>0.92</v>
      </c>
      <c r="I259" s="15" t="s">
        <v>8</v>
      </c>
      <c r="J259" s="15">
        <v>2.34</v>
      </c>
      <c r="K259" s="15" t="s">
        <v>8</v>
      </c>
      <c r="L259" s="15">
        <v>56</v>
      </c>
      <c r="M259" s="15" t="s">
        <v>8</v>
      </c>
      <c r="N259" s="15">
        <v>28</v>
      </c>
      <c r="O259" s="15" t="s">
        <v>8</v>
      </c>
      <c r="P259" s="15">
        <v>0</v>
      </c>
      <c r="Q259" s="15">
        <v>0</v>
      </c>
      <c r="R259" s="15">
        <v>0</v>
      </c>
      <c r="S259" s="15">
        <v>1</v>
      </c>
    </row>
    <row r="260" spans="1:19" x14ac:dyDescent="0.25">
      <c r="A260" t="s">
        <v>211</v>
      </c>
      <c r="B260" t="s">
        <v>292</v>
      </c>
      <c r="C260" s="15">
        <v>2</v>
      </c>
      <c r="D260" s="15">
        <v>44.23</v>
      </c>
      <c r="E260" s="15">
        <v>1.7253405460951801</v>
      </c>
      <c r="F260" s="15">
        <v>52.23</v>
      </c>
      <c r="G260" s="15">
        <v>1.2445079348883199</v>
      </c>
      <c r="H260" s="15">
        <v>0.85</v>
      </c>
      <c r="I260" s="15">
        <v>1.4142135623730999E-2</v>
      </c>
      <c r="J260" s="15" t="s">
        <v>8</v>
      </c>
      <c r="K260" s="15" t="s">
        <v>8</v>
      </c>
      <c r="L260" s="15" t="s">
        <v>8</v>
      </c>
      <c r="M260" s="15" t="s">
        <v>8</v>
      </c>
      <c r="N260" s="15" t="s">
        <v>8</v>
      </c>
      <c r="O260" s="15" t="s">
        <v>8</v>
      </c>
      <c r="P260" s="15">
        <v>0</v>
      </c>
      <c r="Q260" s="15">
        <v>0</v>
      </c>
      <c r="R260" s="15">
        <v>0</v>
      </c>
      <c r="S260" s="15">
        <v>1</v>
      </c>
    </row>
    <row r="261" spans="1:19" x14ac:dyDescent="0.25">
      <c r="A261" t="s">
        <v>211</v>
      </c>
      <c r="B261" t="s">
        <v>236</v>
      </c>
      <c r="C261" s="15">
        <v>1</v>
      </c>
      <c r="D261" s="15">
        <v>45.5</v>
      </c>
      <c r="E261" s="15" t="s">
        <v>8</v>
      </c>
      <c r="F261" s="15">
        <v>53.19</v>
      </c>
      <c r="G261" s="15" t="s">
        <v>8</v>
      </c>
      <c r="H261" s="15">
        <v>0.86</v>
      </c>
      <c r="I261" s="15" t="s">
        <v>8</v>
      </c>
      <c r="J261" s="15">
        <v>2.65</v>
      </c>
      <c r="K261" s="15" t="s">
        <v>8</v>
      </c>
      <c r="L261" s="15">
        <v>60</v>
      </c>
      <c r="M261" s="15" t="s">
        <v>8</v>
      </c>
      <c r="N261" s="15">
        <v>38</v>
      </c>
      <c r="O261" s="15" t="s">
        <v>8</v>
      </c>
      <c r="P261" s="15">
        <v>0</v>
      </c>
      <c r="Q261" s="15">
        <v>0</v>
      </c>
      <c r="R261" s="15">
        <v>0</v>
      </c>
      <c r="S261" s="15">
        <v>1</v>
      </c>
    </row>
    <row r="262" spans="1:19" x14ac:dyDescent="0.25">
      <c r="A262" t="s">
        <v>211</v>
      </c>
      <c r="B262" t="s">
        <v>288</v>
      </c>
      <c r="C262" s="15">
        <v>1</v>
      </c>
      <c r="D262" s="15">
        <v>53.98</v>
      </c>
      <c r="E262" s="15" t="s">
        <v>8</v>
      </c>
      <c r="F262" s="15">
        <v>49.69</v>
      </c>
      <c r="G262" s="15" t="s">
        <v>8</v>
      </c>
      <c r="H262" s="15">
        <v>1.0900000000000001</v>
      </c>
      <c r="I262" s="15" t="s">
        <v>8</v>
      </c>
      <c r="J262" s="15">
        <v>2.59</v>
      </c>
      <c r="K262" s="15" t="s">
        <v>8</v>
      </c>
      <c r="L262" s="15">
        <v>66</v>
      </c>
      <c r="M262" s="15" t="s">
        <v>8</v>
      </c>
      <c r="N262" s="15">
        <v>41</v>
      </c>
      <c r="O262" s="15" t="s">
        <v>8</v>
      </c>
      <c r="P262" s="15">
        <v>0</v>
      </c>
      <c r="Q262" s="15">
        <v>0</v>
      </c>
      <c r="R262" s="15">
        <v>0</v>
      </c>
      <c r="S262" s="15">
        <v>1</v>
      </c>
    </row>
    <row r="263" spans="1:19" x14ac:dyDescent="0.25">
      <c r="A263" t="s">
        <v>211</v>
      </c>
      <c r="B263" t="s">
        <v>285</v>
      </c>
      <c r="C263" s="15">
        <v>1</v>
      </c>
      <c r="D263" s="15">
        <v>60.4</v>
      </c>
      <c r="E263" s="15" t="s">
        <v>8</v>
      </c>
      <c r="F263" s="15">
        <v>45.83</v>
      </c>
      <c r="G263" s="15" t="s">
        <v>8</v>
      </c>
      <c r="H263" s="15">
        <v>1.32</v>
      </c>
      <c r="I263" s="15" t="s">
        <v>8</v>
      </c>
      <c r="J263" s="15">
        <v>2.52</v>
      </c>
      <c r="K263" s="15" t="s">
        <v>8</v>
      </c>
      <c r="L263" s="15">
        <v>86</v>
      </c>
      <c r="M263" s="15" t="s">
        <v>8</v>
      </c>
      <c r="N263" s="15">
        <v>53</v>
      </c>
      <c r="O263" s="15" t="s">
        <v>8</v>
      </c>
      <c r="P263" s="15">
        <v>0</v>
      </c>
      <c r="Q263" s="15">
        <v>0</v>
      </c>
      <c r="R263" s="15">
        <v>0</v>
      </c>
      <c r="S263" s="15">
        <v>1</v>
      </c>
    </row>
    <row r="264" spans="1:19" x14ac:dyDescent="0.25">
      <c r="A264" t="s">
        <v>211</v>
      </c>
      <c r="B264" t="s">
        <v>283</v>
      </c>
      <c r="C264" s="15">
        <v>1</v>
      </c>
      <c r="D264" s="15">
        <v>61.8</v>
      </c>
      <c r="E264" s="15" t="s">
        <v>8</v>
      </c>
      <c r="F264" s="15">
        <v>39.81</v>
      </c>
      <c r="G264" s="15" t="s">
        <v>8</v>
      </c>
      <c r="H264" s="15">
        <v>1.55</v>
      </c>
      <c r="I264" s="15" t="s">
        <v>8</v>
      </c>
      <c r="J264" s="15">
        <v>2.85</v>
      </c>
      <c r="K264" s="15" t="s">
        <v>8</v>
      </c>
      <c r="L264" s="15">
        <v>108</v>
      </c>
      <c r="M264" s="15" t="s">
        <v>8</v>
      </c>
      <c r="N264" s="15">
        <v>54</v>
      </c>
      <c r="O264" s="15" t="s">
        <v>8</v>
      </c>
      <c r="P264" s="15">
        <v>0</v>
      </c>
      <c r="Q264" s="15">
        <v>0</v>
      </c>
      <c r="R264" s="15">
        <v>0</v>
      </c>
      <c r="S264" s="15">
        <v>1</v>
      </c>
    </row>
    <row r="265" spans="1:19" x14ac:dyDescent="0.25">
      <c r="A265" t="s">
        <v>211</v>
      </c>
      <c r="B265" t="s">
        <v>284</v>
      </c>
      <c r="C265" s="15">
        <v>1</v>
      </c>
      <c r="D265" s="15">
        <v>64.959999999999994</v>
      </c>
      <c r="E265" s="15" t="s">
        <v>8</v>
      </c>
      <c r="F265" s="15">
        <v>42.22</v>
      </c>
      <c r="G265" s="15" t="s">
        <v>8</v>
      </c>
      <c r="H265" s="15">
        <v>1.54</v>
      </c>
      <c r="I265" s="15" t="s">
        <v>8</v>
      </c>
      <c r="J265" s="15">
        <v>2.36</v>
      </c>
      <c r="K265" s="15" t="s">
        <v>8</v>
      </c>
      <c r="L265" s="15">
        <v>116</v>
      </c>
      <c r="M265" s="15" t="s">
        <v>8</v>
      </c>
      <c r="N265" s="15">
        <v>52</v>
      </c>
      <c r="O265" s="15" t="s">
        <v>8</v>
      </c>
      <c r="P265" s="15">
        <v>0</v>
      </c>
      <c r="Q265" s="15">
        <v>0</v>
      </c>
      <c r="R265" s="15">
        <v>0</v>
      </c>
      <c r="S265" s="15">
        <v>1</v>
      </c>
    </row>
    <row r="266" spans="1:19" x14ac:dyDescent="0.25">
      <c r="A266" t="s">
        <v>211</v>
      </c>
      <c r="B266" t="s">
        <v>978</v>
      </c>
      <c r="C266" s="15">
        <v>2</v>
      </c>
      <c r="D266" s="15">
        <v>65.644999999999996</v>
      </c>
      <c r="E266" s="15">
        <v>18.504984463652001</v>
      </c>
      <c r="F266" s="15">
        <v>45.66</v>
      </c>
      <c r="G266" s="15">
        <v>5.6285699782449203</v>
      </c>
      <c r="H266" s="15">
        <v>1.425</v>
      </c>
      <c r="I266" s="15">
        <v>0.23334523779156099</v>
      </c>
      <c r="J266" s="15" t="s">
        <v>8</v>
      </c>
      <c r="K266" s="15" t="s">
        <v>8</v>
      </c>
      <c r="L266" s="15" t="s">
        <v>8</v>
      </c>
      <c r="M266" s="15" t="s">
        <v>8</v>
      </c>
      <c r="N266" s="15" t="s">
        <v>8</v>
      </c>
      <c r="O266" s="15" t="s">
        <v>8</v>
      </c>
      <c r="P266" s="15">
        <v>0</v>
      </c>
      <c r="Q266" s="15">
        <v>0</v>
      </c>
      <c r="R266" s="15">
        <v>0</v>
      </c>
      <c r="S266" s="15">
        <v>1</v>
      </c>
    </row>
    <row r="267" spans="1:19" x14ac:dyDescent="0.25">
      <c r="A267" t="s">
        <v>211</v>
      </c>
      <c r="B267" t="s">
        <v>229</v>
      </c>
      <c r="C267" s="15">
        <v>2</v>
      </c>
      <c r="D267" s="15">
        <v>69.38</v>
      </c>
      <c r="E267" s="15">
        <v>1.7394826817189</v>
      </c>
      <c r="F267" s="15">
        <v>46.445</v>
      </c>
      <c r="G267" s="15">
        <v>0.74246212024587299</v>
      </c>
      <c r="H267" s="15">
        <v>1.4950000000000001</v>
      </c>
      <c r="I267" s="15">
        <v>6.3639610306789302E-2</v>
      </c>
      <c r="J267" s="15">
        <v>2.415</v>
      </c>
      <c r="K267" s="15">
        <v>0.106066017177982</v>
      </c>
      <c r="L267" s="15">
        <v>88.5</v>
      </c>
      <c r="M267" s="15">
        <v>0.70710678118654802</v>
      </c>
      <c r="N267" s="15">
        <v>59</v>
      </c>
      <c r="O267" s="15">
        <v>11.3137084989848</v>
      </c>
      <c r="P267" s="15">
        <v>0</v>
      </c>
      <c r="Q267" s="15">
        <v>0</v>
      </c>
      <c r="R267" s="15">
        <v>0</v>
      </c>
      <c r="S267" s="15">
        <v>1</v>
      </c>
    </row>
    <row r="268" spans="1:19" x14ac:dyDescent="0.25">
      <c r="A268" t="s">
        <v>211</v>
      </c>
      <c r="B268" t="s">
        <v>260</v>
      </c>
      <c r="C268" s="15">
        <v>1</v>
      </c>
      <c r="D268" s="15">
        <v>83.54</v>
      </c>
      <c r="E268" s="15" t="s">
        <v>8</v>
      </c>
      <c r="F268" s="15">
        <v>53.47</v>
      </c>
      <c r="G268" s="15" t="s">
        <v>8</v>
      </c>
      <c r="H268" s="15">
        <v>1.56</v>
      </c>
      <c r="I268" s="15" t="s">
        <v>8</v>
      </c>
      <c r="J268" s="15">
        <v>2.77</v>
      </c>
      <c r="K268" s="15" t="s">
        <v>8</v>
      </c>
      <c r="L268" s="15">
        <v>60</v>
      </c>
      <c r="M268" s="15" t="s">
        <v>8</v>
      </c>
      <c r="N268" s="15">
        <v>48</v>
      </c>
      <c r="O268" s="15" t="s">
        <v>8</v>
      </c>
      <c r="P268" s="15">
        <v>1</v>
      </c>
      <c r="Q268" s="15">
        <v>0</v>
      </c>
      <c r="R268" s="15">
        <v>0</v>
      </c>
      <c r="S268" s="15">
        <v>0</v>
      </c>
    </row>
    <row r="269" spans="1:19" x14ac:dyDescent="0.25">
      <c r="A269" t="s">
        <v>211</v>
      </c>
      <c r="B269" t="s">
        <v>228</v>
      </c>
      <c r="C269" s="15">
        <v>2</v>
      </c>
      <c r="D269" s="15">
        <v>96.09</v>
      </c>
      <c r="E269" s="15" t="s">
        <v>8</v>
      </c>
      <c r="F269" s="15">
        <v>49.25</v>
      </c>
      <c r="G269" s="15">
        <v>1.1737972567696699</v>
      </c>
      <c r="H269" s="15">
        <v>1.98</v>
      </c>
      <c r="I269" s="15" t="s">
        <v>8</v>
      </c>
      <c r="J269" s="15">
        <v>2.6</v>
      </c>
      <c r="K269" s="15">
        <v>0.15556349186103999</v>
      </c>
      <c r="L269" s="15">
        <v>66.5</v>
      </c>
      <c r="M269" s="15">
        <v>3.53553390593274</v>
      </c>
      <c r="N269" s="15">
        <v>46</v>
      </c>
      <c r="O269" s="15">
        <v>5.6568542494923797</v>
      </c>
      <c r="P269" s="15">
        <v>0</v>
      </c>
      <c r="Q269" s="15">
        <v>0</v>
      </c>
      <c r="R269" s="15">
        <v>0</v>
      </c>
      <c r="S269" s="15">
        <v>1</v>
      </c>
    </row>
    <row r="270" spans="1:19" x14ac:dyDescent="0.25">
      <c r="A270" t="s">
        <v>211</v>
      </c>
      <c r="B270" t="s">
        <v>251</v>
      </c>
      <c r="C270" s="15">
        <v>1</v>
      </c>
      <c r="D270" s="15">
        <v>108.07</v>
      </c>
      <c r="E270" s="15" t="s">
        <v>8</v>
      </c>
      <c r="F270" s="15">
        <v>45.5</v>
      </c>
      <c r="G270" s="15" t="s">
        <v>8</v>
      </c>
      <c r="H270" s="15">
        <v>2.38</v>
      </c>
      <c r="I270" s="15" t="s">
        <v>8</v>
      </c>
      <c r="J270" s="15">
        <v>2.61</v>
      </c>
      <c r="K270" s="15" t="s">
        <v>8</v>
      </c>
      <c r="L270" s="15">
        <v>88</v>
      </c>
      <c r="M270" s="15" t="s">
        <v>8</v>
      </c>
      <c r="N270" s="15">
        <v>58</v>
      </c>
      <c r="O270" s="15" t="s">
        <v>8</v>
      </c>
      <c r="P270" s="15">
        <v>1</v>
      </c>
      <c r="Q270" s="15">
        <v>0</v>
      </c>
      <c r="R270" s="15">
        <v>0</v>
      </c>
      <c r="S270" s="15">
        <v>0</v>
      </c>
    </row>
    <row r="271" spans="1:19" x14ac:dyDescent="0.25">
      <c r="A271" t="s">
        <v>10</v>
      </c>
      <c r="B271" t="s">
        <v>11</v>
      </c>
      <c r="C271" s="15">
        <v>3</v>
      </c>
      <c r="D271" s="15" t="s">
        <v>8</v>
      </c>
      <c r="E271" s="15" t="s">
        <v>8</v>
      </c>
      <c r="F271" s="15">
        <v>13.473333333333301</v>
      </c>
      <c r="G271" s="15">
        <v>0.62660460685613595</v>
      </c>
      <c r="H271" s="15" t="s">
        <v>8</v>
      </c>
      <c r="I271" s="15" t="s">
        <v>8</v>
      </c>
      <c r="J271" s="15">
        <v>2.98</v>
      </c>
      <c r="K271" s="15">
        <v>4.5825756949558302E-2</v>
      </c>
      <c r="L271" s="15">
        <v>104.666666666667</v>
      </c>
      <c r="M271" s="15">
        <v>11.3724814061547</v>
      </c>
      <c r="N271" s="15">
        <v>114</v>
      </c>
      <c r="O271" s="15">
        <v>3.60555127546399</v>
      </c>
      <c r="P271" s="15">
        <v>1</v>
      </c>
      <c r="Q271" s="15">
        <v>1</v>
      </c>
      <c r="R271" s="15">
        <v>0</v>
      </c>
      <c r="S271" s="15">
        <v>0</v>
      </c>
    </row>
    <row r="272" spans="1:19" x14ac:dyDescent="0.25">
      <c r="A272" t="s">
        <v>10</v>
      </c>
      <c r="B272" t="s">
        <v>255</v>
      </c>
      <c r="C272" s="15">
        <v>1</v>
      </c>
      <c r="D272" s="15" t="s">
        <v>8</v>
      </c>
      <c r="E272" s="15" t="s">
        <v>8</v>
      </c>
      <c r="F272" s="15">
        <v>34.68</v>
      </c>
      <c r="G272" s="15" t="s">
        <v>8</v>
      </c>
      <c r="H272" s="15" t="s">
        <v>8</v>
      </c>
      <c r="I272" s="15" t="s">
        <v>8</v>
      </c>
      <c r="J272" s="15">
        <v>2.16</v>
      </c>
      <c r="K272" s="15" t="s">
        <v>8</v>
      </c>
      <c r="L272" s="15">
        <v>110</v>
      </c>
      <c r="M272" s="15" t="s">
        <v>8</v>
      </c>
      <c r="N272" s="15">
        <v>52</v>
      </c>
      <c r="O272" s="15" t="s">
        <v>8</v>
      </c>
      <c r="P272" s="15">
        <v>1</v>
      </c>
      <c r="Q272" s="15">
        <v>0</v>
      </c>
      <c r="R272" s="15">
        <v>1</v>
      </c>
      <c r="S272" s="15">
        <v>0</v>
      </c>
    </row>
    <row r="273" spans="1:19" x14ac:dyDescent="0.25">
      <c r="A273" t="s">
        <v>10</v>
      </c>
      <c r="B273" t="s">
        <v>29</v>
      </c>
      <c r="C273" s="15">
        <v>2</v>
      </c>
      <c r="D273" s="15" t="s">
        <v>8</v>
      </c>
      <c r="E273" s="15" t="s">
        <v>8</v>
      </c>
      <c r="F273" s="15">
        <v>15.994999999999999</v>
      </c>
      <c r="G273" s="15">
        <v>0.57275649276110296</v>
      </c>
      <c r="H273" s="15" t="s">
        <v>8</v>
      </c>
      <c r="I273" s="15" t="s">
        <v>8</v>
      </c>
      <c r="J273" s="15">
        <v>10.545</v>
      </c>
      <c r="K273" s="15">
        <v>11.6601908217662</v>
      </c>
      <c r="L273" s="15">
        <v>98</v>
      </c>
      <c r="M273" s="15">
        <v>11.3137084989848</v>
      </c>
      <c r="N273" s="15">
        <v>49.5</v>
      </c>
      <c r="O273" s="15">
        <v>0.70710678118654802</v>
      </c>
      <c r="P273" s="15">
        <v>1</v>
      </c>
      <c r="Q273" s="15">
        <v>0</v>
      </c>
      <c r="R273" s="15">
        <v>0</v>
      </c>
      <c r="S273" s="15">
        <v>0</v>
      </c>
    </row>
    <row r="274" spans="1:19" x14ac:dyDescent="0.25">
      <c r="A274" t="s">
        <v>10</v>
      </c>
      <c r="B274" t="s">
        <v>32</v>
      </c>
      <c r="C274" s="15">
        <v>1</v>
      </c>
      <c r="D274" s="15" t="s">
        <v>8</v>
      </c>
      <c r="E274" s="15" t="s">
        <v>8</v>
      </c>
      <c r="F274" s="15">
        <v>13.23</v>
      </c>
      <c r="G274" s="15" t="s">
        <v>8</v>
      </c>
      <c r="H274" s="15" t="s">
        <v>8</v>
      </c>
      <c r="I274" s="15" t="s">
        <v>8</v>
      </c>
      <c r="J274" s="15">
        <v>2.62</v>
      </c>
      <c r="K274" s="15" t="s">
        <v>8</v>
      </c>
      <c r="L274" s="15">
        <v>137</v>
      </c>
      <c r="M274" s="15" t="s">
        <v>8</v>
      </c>
      <c r="N274" s="15">
        <v>49</v>
      </c>
      <c r="O274" s="15" t="s">
        <v>8</v>
      </c>
      <c r="P274" s="15">
        <v>1</v>
      </c>
      <c r="Q274" s="15">
        <v>0</v>
      </c>
      <c r="R274" s="15">
        <v>0</v>
      </c>
      <c r="S274" s="15">
        <v>0</v>
      </c>
    </row>
    <row r="275" spans="1:19" x14ac:dyDescent="0.25">
      <c r="A275" t="s">
        <v>10</v>
      </c>
      <c r="B275" t="s">
        <v>259</v>
      </c>
      <c r="C275" s="15">
        <v>1</v>
      </c>
      <c r="D275" s="15" t="s">
        <v>8</v>
      </c>
      <c r="E275" s="15" t="s">
        <v>8</v>
      </c>
      <c r="F275" s="15">
        <v>13.79</v>
      </c>
      <c r="G275" s="15" t="s">
        <v>8</v>
      </c>
      <c r="H275" s="15" t="s">
        <v>8</v>
      </c>
      <c r="I275" s="15" t="s">
        <v>8</v>
      </c>
      <c r="J275" s="15">
        <v>3.23</v>
      </c>
      <c r="K275" s="15" t="s">
        <v>8</v>
      </c>
      <c r="L275" s="15">
        <v>43</v>
      </c>
      <c r="M275" s="15" t="s">
        <v>8</v>
      </c>
      <c r="N275" s="15">
        <v>30</v>
      </c>
      <c r="O275" s="15" t="s">
        <v>8</v>
      </c>
      <c r="P275" s="15">
        <v>1</v>
      </c>
      <c r="Q275" s="15">
        <v>0</v>
      </c>
      <c r="R275" s="15">
        <v>0</v>
      </c>
      <c r="S275" s="15">
        <v>0</v>
      </c>
    </row>
    <row r="276" spans="1:19" x14ac:dyDescent="0.25">
      <c r="A276" t="s">
        <v>10</v>
      </c>
      <c r="B276" t="s">
        <v>219</v>
      </c>
      <c r="C276" s="15">
        <v>1</v>
      </c>
      <c r="D276" s="15" t="s">
        <v>8</v>
      </c>
      <c r="E276" s="15" t="s">
        <v>8</v>
      </c>
      <c r="F276" s="15">
        <v>8.2799999999999994</v>
      </c>
      <c r="G276" s="15" t="s">
        <v>8</v>
      </c>
      <c r="H276" s="15" t="s">
        <v>8</v>
      </c>
      <c r="I276" s="15" t="s">
        <v>8</v>
      </c>
      <c r="J276" s="15">
        <v>1.66</v>
      </c>
      <c r="K276" s="15" t="s">
        <v>8</v>
      </c>
      <c r="L276" s="15">
        <v>170</v>
      </c>
      <c r="M276" s="15" t="s">
        <v>8</v>
      </c>
      <c r="N276" s="15">
        <v>38</v>
      </c>
      <c r="O276" s="15" t="s">
        <v>8</v>
      </c>
      <c r="P276" s="15">
        <v>0</v>
      </c>
      <c r="Q276" s="15">
        <v>0</v>
      </c>
      <c r="R276" s="15">
        <v>0</v>
      </c>
      <c r="S276" s="15">
        <v>1</v>
      </c>
    </row>
    <row r="277" spans="1:19" x14ac:dyDescent="0.25">
      <c r="A277" t="s">
        <v>10</v>
      </c>
      <c r="B277" t="s">
        <v>221</v>
      </c>
      <c r="C277" s="15">
        <v>3</v>
      </c>
      <c r="D277" s="15" t="s">
        <v>8</v>
      </c>
      <c r="E277" s="15" t="s">
        <v>8</v>
      </c>
      <c r="F277" s="15">
        <v>6.93333333333333</v>
      </c>
      <c r="G277" s="15">
        <v>1.2027607132482101</v>
      </c>
      <c r="H277" s="15" t="s">
        <v>8</v>
      </c>
      <c r="I277" s="15" t="s">
        <v>8</v>
      </c>
      <c r="J277" s="15">
        <v>1.79</v>
      </c>
      <c r="K277" s="15">
        <v>6.0827625302982302E-2</v>
      </c>
      <c r="L277" s="15">
        <v>139.333333333333</v>
      </c>
      <c r="M277" s="15">
        <v>9.2376043070340099</v>
      </c>
      <c r="N277" s="15">
        <v>32.6666666666667</v>
      </c>
      <c r="O277" s="15">
        <v>5.5075705472861003</v>
      </c>
      <c r="P277" s="15">
        <v>1</v>
      </c>
      <c r="Q277" s="15">
        <v>0</v>
      </c>
      <c r="R277" s="15">
        <v>0</v>
      </c>
      <c r="S277" s="15">
        <v>0</v>
      </c>
    </row>
    <row r="278" spans="1:19" x14ac:dyDescent="0.25">
      <c r="A278" t="s">
        <v>10</v>
      </c>
      <c r="B278" t="s">
        <v>266</v>
      </c>
      <c r="C278" s="15">
        <v>1</v>
      </c>
      <c r="D278" s="15" t="s">
        <v>8</v>
      </c>
      <c r="E278" s="15" t="s">
        <v>8</v>
      </c>
      <c r="F278" s="15">
        <v>10.55</v>
      </c>
      <c r="G278" s="15" t="s">
        <v>8</v>
      </c>
      <c r="H278" s="15" t="s">
        <v>8</v>
      </c>
      <c r="I278" s="15" t="s">
        <v>8</v>
      </c>
      <c r="J278" s="15">
        <v>2.83</v>
      </c>
      <c r="K278" s="15" t="s">
        <v>8</v>
      </c>
      <c r="L278" s="15">
        <v>86</v>
      </c>
      <c r="M278" s="15" t="s">
        <v>8</v>
      </c>
      <c r="N278" s="15">
        <v>82</v>
      </c>
      <c r="O278" s="15" t="s">
        <v>8</v>
      </c>
      <c r="P278" s="15">
        <v>1</v>
      </c>
      <c r="Q278" s="15">
        <v>1</v>
      </c>
      <c r="R278" s="15">
        <v>0</v>
      </c>
      <c r="S278" s="15">
        <v>0</v>
      </c>
    </row>
    <row r="279" spans="1:19" x14ac:dyDescent="0.25">
      <c r="A279" t="s">
        <v>10</v>
      </c>
      <c r="B279" t="s">
        <v>268</v>
      </c>
      <c r="C279" s="15">
        <v>1</v>
      </c>
      <c r="D279" s="15" t="s">
        <v>8</v>
      </c>
      <c r="E279" s="15" t="s">
        <v>8</v>
      </c>
      <c r="F279" s="15">
        <v>20.49</v>
      </c>
      <c r="G279" s="15" t="s">
        <v>8</v>
      </c>
      <c r="H279" s="15" t="s">
        <v>8</v>
      </c>
      <c r="I279" s="15" t="s">
        <v>8</v>
      </c>
      <c r="J279" s="15">
        <v>1.99</v>
      </c>
      <c r="K279" s="15" t="s">
        <v>8</v>
      </c>
      <c r="L279" s="15">
        <v>98</v>
      </c>
      <c r="M279" s="15" t="s">
        <v>8</v>
      </c>
      <c r="N279" s="15">
        <v>44</v>
      </c>
      <c r="O279" s="15" t="s">
        <v>8</v>
      </c>
      <c r="P279" s="15">
        <v>1</v>
      </c>
      <c r="Q279" s="15">
        <v>0</v>
      </c>
      <c r="R279" s="15">
        <v>0</v>
      </c>
      <c r="S279" s="15">
        <v>0</v>
      </c>
    </row>
    <row r="280" spans="1:19" x14ac:dyDescent="0.25">
      <c r="A280" t="s">
        <v>10</v>
      </c>
      <c r="B280" t="s">
        <v>75</v>
      </c>
      <c r="C280" s="15">
        <v>3</v>
      </c>
      <c r="D280" s="15" t="s">
        <v>8</v>
      </c>
      <c r="E280" s="15" t="s">
        <v>8</v>
      </c>
      <c r="F280" s="15">
        <v>14.43</v>
      </c>
      <c r="G280" s="15">
        <v>0.68036754772696195</v>
      </c>
      <c r="H280" s="15" t="s">
        <v>8</v>
      </c>
      <c r="I280" s="15" t="s">
        <v>8</v>
      </c>
      <c r="J280" s="15">
        <v>1.68333333333333</v>
      </c>
      <c r="K280" s="15">
        <v>6.0277137733417002E-2</v>
      </c>
      <c r="L280" s="15">
        <v>131</v>
      </c>
      <c r="M280" s="15">
        <v>23.6431808350738</v>
      </c>
      <c r="N280" s="15">
        <v>58.3333333333333</v>
      </c>
      <c r="O280" s="15">
        <v>3.5118845842842501</v>
      </c>
      <c r="P280" s="15">
        <v>1</v>
      </c>
      <c r="Q280" s="15">
        <v>0</v>
      </c>
      <c r="R280" s="15">
        <v>0</v>
      </c>
      <c r="S280" s="15">
        <v>0</v>
      </c>
    </row>
    <row r="281" spans="1:19" x14ac:dyDescent="0.25">
      <c r="A281" t="s">
        <v>10</v>
      </c>
      <c r="B281" t="s">
        <v>77</v>
      </c>
      <c r="C281" s="15">
        <v>1</v>
      </c>
      <c r="D281" s="15" t="s">
        <v>8</v>
      </c>
      <c r="E281" s="15" t="s">
        <v>8</v>
      </c>
      <c r="F281" s="15">
        <v>19.46</v>
      </c>
      <c r="G281" s="15" t="s">
        <v>8</v>
      </c>
      <c r="H281" s="15" t="s">
        <v>8</v>
      </c>
      <c r="I281" s="15" t="s">
        <v>8</v>
      </c>
      <c r="J281" s="15">
        <v>1.95</v>
      </c>
      <c r="K281" s="15" t="s">
        <v>8</v>
      </c>
      <c r="L281" s="15">
        <v>84</v>
      </c>
      <c r="M281" s="15" t="s">
        <v>8</v>
      </c>
      <c r="N281" s="15">
        <v>61</v>
      </c>
      <c r="O281" s="15" t="s">
        <v>8</v>
      </c>
      <c r="P281" s="15">
        <v>1</v>
      </c>
      <c r="Q281" s="15">
        <v>0</v>
      </c>
      <c r="R281" s="15">
        <v>0</v>
      </c>
      <c r="S281" s="15">
        <v>0</v>
      </c>
    </row>
    <row r="282" spans="1:19" x14ac:dyDescent="0.25">
      <c r="A282" t="s">
        <v>10</v>
      </c>
      <c r="B282" t="s">
        <v>106</v>
      </c>
      <c r="C282" s="15">
        <v>1</v>
      </c>
      <c r="D282" s="15" t="s">
        <v>8</v>
      </c>
      <c r="E282" s="15" t="s">
        <v>8</v>
      </c>
      <c r="F282" s="15">
        <v>15.48</v>
      </c>
      <c r="G282" s="15" t="s">
        <v>8</v>
      </c>
      <c r="H282" s="15" t="s">
        <v>8</v>
      </c>
      <c r="I282" s="15" t="s">
        <v>8</v>
      </c>
      <c r="J282" s="15">
        <v>2.0499999999999998</v>
      </c>
      <c r="K282" s="15" t="s">
        <v>8</v>
      </c>
      <c r="L282" s="15">
        <v>77</v>
      </c>
      <c r="M282" s="15" t="s">
        <v>8</v>
      </c>
      <c r="N282" s="15">
        <v>92</v>
      </c>
      <c r="O282" s="15" t="s">
        <v>8</v>
      </c>
      <c r="P282" s="15">
        <v>1</v>
      </c>
      <c r="Q282" s="15">
        <v>0</v>
      </c>
      <c r="R282" s="15">
        <v>0</v>
      </c>
      <c r="S282" s="15">
        <v>0</v>
      </c>
    </row>
    <row r="283" spans="1:19" x14ac:dyDescent="0.25">
      <c r="A283" t="s">
        <v>10</v>
      </c>
      <c r="B283" t="s">
        <v>119</v>
      </c>
      <c r="C283" s="15">
        <v>1</v>
      </c>
      <c r="D283" s="15" t="s">
        <v>8</v>
      </c>
      <c r="E283" s="15" t="s">
        <v>8</v>
      </c>
      <c r="F283" s="15">
        <v>21.15</v>
      </c>
      <c r="G283" s="15" t="s">
        <v>8</v>
      </c>
      <c r="H283" s="15" t="s">
        <v>8</v>
      </c>
      <c r="I283" s="15" t="s">
        <v>8</v>
      </c>
      <c r="J283" s="15">
        <v>1.84</v>
      </c>
      <c r="K283" s="15" t="s">
        <v>8</v>
      </c>
      <c r="L283" s="15">
        <v>112</v>
      </c>
      <c r="M283" s="15" t="s">
        <v>8</v>
      </c>
      <c r="N283" s="15">
        <v>138</v>
      </c>
      <c r="O283" s="15" t="s">
        <v>8</v>
      </c>
      <c r="P283" s="15">
        <v>1</v>
      </c>
      <c r="Q283" s="15">
        <v>0</v>
      </c>
      <c r="R283" s="15">
        <v>0</v>
      </c>
      <c r="S283" s="15">
        <v>0</v>
      </c>
    </row>
    <row r="284" spans="1:19" x14ac:dyDescent="0.25">
      <c r="A284" t="s">
        <v>10</v>
      </c>
      <c r="B284" t="s">
        <v>279</v>
      </c>
      <c r="C284" s="15">
        <v>1</v>
      </c>
      <c r="D284" s="15" t="s">
        <v>8</v>
      </c>
      <c r="E284" s="15" t="s">
        <v>8</v>
      </c>
      <c r="F284" s="15">
        <v>21.25</v>
      </c>
      <c r="G284" s="15" t="s">
        <v>8</v>
      </c>
      <c r="H284" s="15" t="s">
        <v>8</v>
      </c>
      <c r="I284" s="15" t="s">
        <v>8</v>
      </c>
      <c r="J284" s="15">
        <v>1.74</v>
      </c>
      <c r="K284" s="15" t="s">
        <v>8</v>
      </c>
      <c r="L284" s="15">
        <v>56</v>
      </c>
      <c r="M284" s="15" t="s">
        <v>8</v>
      </c>
      <c r="N284" s="15">
        <v>56</v>
      </c>
      <c r="O284" s="15" t="s">
        <v>8</v>
      </c>
      <c r="P284" s="15">
        <v>0</v>
      </c>
      <c r="Q284" s="15">
        <v>0</v>
      </c>
      <c r="R284" s="15">
        <v>0</v>
      </c>
      <c r="S284" s="15">
        <v>1</v>
      </c>
    </row>
    <row r="285" spans="1:19" x14ac:dyDescent="0.25">
      <c r="A285" t="s">
        <v>10</v>
      </c>
      <c r="B285" t="s">
        <v>148</v>
      </c>
      <c r="C285" s="15">
        <v>1</v>
      </c>
      <c r="D285" s="15" t="s">
        <v>8</v>
      </c>
      <c r="E285" s="15" t="s">
        <v>8</v>
      </c>
      <c r="F285" s="15">
        <v>13.18</v>
      </c>
      <c r="G285" s="15" t="s">
        <v>8</v>
      </c>
      <c r="H285" s="15" t="s">
        <v>8</v>
      </c>
      <c r="I285" s="15" t="s">
        <v>8</v>
      </c>
      <c r="J285" s="15">
        <v>2.0299999999999998</v>
      </c>
      <c r="K285" s="15" t="s">
        <v>8</v>
      </c>
      <c r="L285" s="15">
        <v>118</v>
      </c>
      <c r="M285" s="15" t="s">
        <v>8</v>
      </c>
      <c r="N285" s="15">
        <v>35</v>
      </c>
      <c r="O285" s="15" t="s">
        <v>8</v>
      </c>
      <c r="P285" s="15">
        <v>1</v>
      </c>
      <c r="Q285" s="15">
        <v>0</v>
      </c>
      <c r="R285" s="15">
        <v>1</v>
      </c>
      <c r="S285" s="15">
        <v>0</v>
      </c>
    </row>
    <row r="286" spans="1:19" x14ac:dyDescent="0.25">
      <c r="A286" t="s">
        <v>10</v>
      </c>
      <c r="B286" t="s">
        <v>218</v>
      </c>
      <c r="C286" s="15">
        <v>2</v>
      </c>
      <c r="D286" s="15" t="s">
        <v>8</v>
      </c>
      <c r="E286" s="15" t="s">
        <v>8</v>
      </c>
      <c r="F286" s="15">
        <v>11.21</v>
      </c>
      <c r="G286" s="15">
        <v>3.5638181771802002</v>
      </c>
      <c r="H286" s="15" t="s">
        <v>8</v>
      </c>
      <c r="I286" s="15" t="s">
        <v>8</v>
      </c>
      <c r="J286" s="15">
        <v>2.3650000000000002</v>
      </c>
      <c r="K286" s="15">
        <v>4.94974746830582E-2</v>
      </c>
      <c r="L286" s="15">
        <v>74</v>
      </c>
      <c r="M286" s="15">
        <v>16.9705627484771</v>
      </c>
      <c r="N286" s="15">
        <v>43</v>
      </c>
      <c r="O286" s="15">
        <v>4.2426406871192803</v>
      </c>
      <c r="P286" s="15">
        <v>1</v>
      </c>
      <c r="Q286" s="15">
        <v>1</v>
      </c>
      <c r="R286" s="15">
        <v>0</v>
      </c>
      <c r="S286" s="15">
        <v>0</v>
      </c>
    </row>
    <row r="287" spans="1:19" x14ac:dyDescent="0.25">
      <c r="A287" t="s">
        <v>10</v>
      </c>
      <c r="B287" t="s">
        <v>212</v>
      </c>
      <c r="C287" s="15">
        <v>2</v>
      </c>
      <c r="D287" s="15" t="s">
        <v>8</v>
      </c>
      <c r="E287" s="15" t="s">
        <v>8</v>
      </c>
      <c r="F287" s="15">
        <v>4.13</v>
      </c>
      <c r="G287" s="15">
        <v>0.53740115370177599</v>
      </c>
      <c r="H287" s="15" t="s">
        <v>8</v>
      </c>
      <c r="I287" s="15" t="s">
        <v>8</v>
      </c>
      <c r="J287" s="15">
        <v>1.72</v>
      </c>
      <c r="K287" s="15">
        <v>0.35355339059327401</v>
      </c>
      <c r="L287" s="15">
        <v>155</v>
      </c>
      <c r="M287" s="15">
        <v>12.7279220613579</v>
      </c>
      <c r="N287" s="15">
        <v>48.5</v>
      </c>
      <c r="O287" s="15">
        <v>0.70710678118654802</v>
      </c>
      <c r="P287" s="15" t="s">
        <v>8</v>
      </c>
      <c r="Q287" s="15" t="s">
        <v>8</v>
      </c>
      <c r="R287" s="15" t="s">
        <v>8</v>
      </c>
      <c r="S287" s="15" t="s">
        <v>8</v>
      </c>
    </row>
    <row r="288" spans="1:19" x14ac:dyDescent="0.25">
      <c r="A288" t="s">
        <v>10</v>
      </c>
      <c r="B288" t="s">
        <v>149</v>
      </c>
      <c r="C288" s="15">
        <v>1</v>
      </c>
      <c r="D288" s="15" t="s">
        <v>8</v>
      </c>
      <c r="E288" s="15" t="s">
        <v>8</v>
      </c>
      <c r="F288" s="15">
        <v>7.73</v>
      </c>
      <c r="G288" s="15" t="s">
        <v>8</v>
      </c>
      <c r="H288" s="15" t="s">
        <v>8</v>
      </c>
      <c r="I288" s="15" t="s">
        <v>8</v>
      </c>
      <c r="J288" s="15">
        <v>1.92</v>
      </c>
      <c r="K288" s="15" t="s">
        <v>8</v>
      </c>
      <c r="L288" s="15">
        <v>85</v>
      </c>
      <c r="M288" s="15" t="s">
        <v>8</v>
      </c>
      <c r="N288" s="15">
        <v>37</v>
      </c>
      <c r="O288" s="15" t="s">
        <v>8</v>
      </c>
      <c r="P288" s="15" t="s">
        <v>8</v>
      </c>
      <c r="Q288" s="15" t="s">
        <v>8</v>
      </c>
      <c r="R288" s="15" t="s">
        <v>8</v>
      </c>
      <c r="S288" s="15" t="s">
        <v>8</v>
      </c>
    </row>
    <row r="289" spans="1:19" x14ac:dyDescent="0.25">
      <c r="A289" t="s">
        <v>10</v>
      </c>
      <c r="B289" t="s">
        <v>290</v>
      </c>
      <c r="C289" s="15">
        <v>1</v>
      </c>
      <c r="D289" s="15" t="s">
        <v>8</v>
      </c>
      <c r="E289" s="15" t="s">
        <v>8</v>
      </c>
      <c r="F289" s="15">
        <v>10.220000000000001</v>
      </c>
      <c r="G289" s="15" t="s">
        <v>8</v>
      </c>
      <c r="H289" s="15" t="s">
        <v>8</v>
      </c>
      <c r="I289" s="15" t="s">
        <v>8</v>
      </c>
      <c r="J289" s="15">
        <v>1.86</v>
      </c>
      <c r="K289" s="15" t="s">
        <v>8</v>
      </c>
      <c r="L289" s="15">
        <v>66</v>
      </c>
      <c r="M289" s="15" t="s">
        <v>8</v>
      </c>
      <c r="N289" s="15">
        <v>31</v>
      </c>
      <c r="O289" s="15" t="s">
        <v>8</v>
      </c>
      <c r="P289" s="15">
        <v>0</v>
      </c>
      <c r="Q289" s="15">
        <v>0</v>
      </c>
      <c r="R289" s="15">
        <v>0</v>
      </c>
      <c r="S289" s="15">
        <v>1</v>
      </c>
    </row>
    <row r="290" spans="1:19" x14ac:dyDescent="0.25">
      <c r="A290" t="s">
        <v>10</v>
      </c>
      <c r="B290" t="s">
        <v>150</v>
      </c>
      <c r="C290" s="15">
        <v>2</v>
      </c>
      <c r="D290" s="15" t="s">
        <v>8</v>
      </c>
      <c r="E290" s="15" t="s">
        <v>8</v>
      </c>
      <c r="F290" s="15">
        <v>11.17</v>
      </c>
      <c r="G290" s="15">
        <v>0.11313708498984799</v>
      </c>
      <c r="H290" s="15" t="s">
        <v>8</v>
      </c>
      <c r="I290" s="15" t="s">
        <v>8</v>
      </c>
      <c r="J290" s="15">
        <v>2.0550000000000002</v>
      </c>
      <c r="K290" s="15">
        <v>2.1213203435596299E-2</v>
      </c>
      <c r="L290" s="15">
        <v>62</v>
      </c>
      <c r="M290" s="15">
        <v>5.6568542494923797</v>
      </c>
      <c r="N290" s="15">
        <v>36.5</v>
      </c>
      <c r="O290" s="15">
        <v>2.1213203435596402</v>
      </c>
      <c r="P290" s="15">
        <v>1</v>
      </c>
      <c r="Q290" s="15">
        <v>0</v>
      </c>
      <c r="R290" s="15">
        <v>1</v>
      </c>
      <c r="S290" s="15">
        <v>0</v>
      </c>
    </row>
    <row r="291" spans="1:19" x14ac:dyDescent="0.25">
      <c r="A291" t="s">
        <v>10</v>
      </c>
      <c r="B291" t="s">
        <v>152</v>
      </c>
      <c r="C291" s="15">
        <v>1</v>
      </c>
      <c r="D291" s="15" t="s">
        <v>8</v>
      </c>
      <c r="E291" s="15" t="s">
        <v>8</v>
      </c>
      <c r="F291" s="15">
        <v>10.64</v>
      </c>
      <c r="G291" s="15" t="s">
        <v>8</v>
      </c>
      <c r="H291" s="15" t="s">
        <v>8</v>
      </c>
      <c r="I291" s="15" t="s">
        <v>8</v>
      </c>
      <c r="J291" s="15">
        <v>2.48</v>
      </c>
      <c r="K291" s="15" t="s">
        <v>8</v>
      </c>
      <c r="L291" s="15">
        <v>60</v>
      </c>
      <c r="M291" s="15" t="s">
        <v>8</v>
      </c>
      <c r="N291" s="15">
        <v>35</v>
      </c>
      <c r="O291" s="15" t="s">
        <v>8</v>
      </c>
      <c r="P291" s="15">
        <v>0</v>
      </c>
      <c r="Q291" s="15">
        <v>1</v>
      </c>
      <c r="R291" s="15">
        <v>0</v>
      </c>
      <c r="S291" s="15">
        <v>0</v>
      </c>
    </row>
    <row r="292" spans="1:19" x14ac:dyDescent="0.25">
      <c r="A292" t="s">
        <v>10</v>
      </c>
      <c r="B292" t="s">
        <v>294</v>
      </c>
      <c r="C292" s="15">
        <v>1</v>
      </c>
      <c r="D292" s="15" t="s">
        <v>8</v>
      </c>
      <c r="E292" s="15" t="s">
        <v>8</v>
      </c>
      <c r="F292" s="15">
        <v>21.78</v>
      </c>
      <c r="G292" s="15" t="s">
        <v>8</v>
      </c>
      <c r="H292" s="15" t="s">
        <v>8</v>
      </c>
      <c r="I292" s="15" t="s">
        <v>8</v>
      </c>
      <c r="J292" s="15">
        <v>2.62</v>
      </c>
      <c r="K292" s="15" t="s">
        <v>8</v>
      </c>
      <c r="L292" s="15">
        <v>84</v>
      </c>
      <c r="M292" s="15" t="s">
        <v>8</v>
      </c>
      <c r="N292" s="15">
        <v>59</v>
      </c>
      <c r="O292" s="15" t="s">
        <v>8</v>
      </c>
      <c r="P292" s="15">
        <v>1</v>
      </c>
      <c r="Q292" s="15">
        <v>0</v>
      </c>
      <c r="R292" s="15">
        <v>0</v>
      </c>
      <c r="S292" s="15">
        <v>0</v>
      </c>
    </row>
    <row r="293" spans="1:19" x14ac:dyDescent="0.25">
      <c r="A293" t="s">
        <v>10</v>
      </c>
      <c r="B293" t="s">
        <v>295</v>
      </c>
      <c r="C293" s="15">
        <v>1</v>
      </c>
      <c r="D293" s="15" t="s">
        <v>8</v>
      </c>
      <c r="E293" s="15" t="s">
        <v>8</v>
      </c>
      <c r="F293" s="15">
        <v>19.010000000000002</v>
      </c>
      <c r="G293" s="15" t="s">
        <v>8</v>
      </c>
      <c r="H293" s="15" t="s">
        <v>8</v>
      </c>
      <c r="I293" s="15" t="s">
        <v>8</v>
      </c>
      <c r="J293" s="15">
        <v>2.25</v>
      </c>
      <c r="K293" s="15" t="s">
        <v>8</v>
      </c>
      <c r="L293" s="15">
        <v>94</v>
      </c>
      <c r="M293" s="15" t="s">
        <v>8</v>
      </c>
      <c r="N293" s="15">
        <v>58</v>
      </c>
      <c r="O293" s="15" t="s">
        <v>8</v>
      </c>
      <c r="P293" s="15">
        <v>1</v>
      </c>
      <c r="Q293" s="15">
        <v>0</v>
      </c>
      <c r="R293" s="15">
        <v>0</v>
      </c>
      <c r="S293" s="15">
        <v>0</v>
      </c>
    </row>
    <row r="294" spans="1:19" x14ac:dyDescent="0.25">
      <c r="A294" t="s">
        <v>10</v>
      </c>
      <c r="B294" t="s">
        <v>297</v>
      </c>
      <c r="C294" s="15">
        <v>1</v>
      </c>
      <c r="D294" s="15" t="s">
        <v>8</v>
      </c>
      <c r="E294" s="15" t="s">
        <v>8</v>
      </c>
      <c r="F294" s="15">
        <v>14.85</v>
      </c>
      <c r="G294" s="15" t="s">
        <v>8</v>
      </c>
      <c r="H294" s="15" t="s">
        <v>8</v>
      </c>
      <c r="I294" s="15" t="s">
        <v>8</v>
      </c>
      <c r="J294" s="15">
        <v>3.18</v>
      </c>
      <c r="K294" s="15" t="s">
        <v>8</v>
      </c>
      <c r="L294" s="15">
        <v>90</v>
      </c>
      <c r="M294" s="15" t="s">
        <v>8</v>
      </c>
      <c r="N294" s="15">
        <v>128</v>
      </c>
      <c r="O294" s="15" t="s">
        <v>8</v>
      </c>
      <c r="P294" s="15">
        <v>1</v>
      </c>
      <c r="Q294" s="15">
        <v>1</v>
      </c>
      <c r="R294" s="15">
        <v>0</v>
      </c>
      <c r="S294" s="15">
        <v>0</v>
      </c>
    </row>
    <row r="295" spans="1:19" x14ac:dyDescent="0.25">
      <c r="A295" t="s">
        <v>10</v>
      </c>
      <c r="B295" t="s">
        <v>168</v>
      </c>
      <c r="C295" s="15">
        <v>1</v>
      </c>
      <c r="D295" s="15" t="s">
        <v>8</v>
      </c>
      <c r="E295" s="15" t="s">
        <v>8</v>
      </c>
      <c r="F295" s="15">
        <v>12.63</v>
      </c>
      <c r="G295" s="15" t="s">
        <v>8</v>
      </c>
      <c r="H295" s="15" t="s">
        <v>8</v>
      </c>
      <c r="I295" s="15" t="s">
        <v>8</v>
      </c>
      <c r="J295" s="15">
        <v>2.77</v>
      </c>
      <c r="K295" s="15" t="s">
        <v>8</v>
      </c>
      <c r="L295" s="15">
        <v>49</v>
      </c>
      <c r="M295" s="15" t="s">
        <v>8</v>
      </c>
      <c r="N295" s="15">
        <v>20</v>
      </c>
      <c r="O295" s="15" t="s">
        <v>8</v>
      </c>
      <c r="P295" s="15">
        <v>1</v>
      </c>
      <c r="Q295" s="15">
        <v>0</v>
      </c>
      <c r="R295" s="15">
        <v>0</v>
      </c>
      <c r="S295" s="15">
        <v>0</v>
      </c>
    </row>
    <row r="296" spans="1:19" x14ac:dyDescent="0.25">
      <c r="A296" t="s">
        <v>10</v>
      </c>
      <c r="B296" t="s">
        <v>301</v>
      </c>
      <c r="C296" s="15">
        <v>1</v>
      </c>
      <c r="D296" s="15" t="s">
        <v>8</v>
      </c>
      <c r="E296" s="15" t="s">
        <v>8</v>
      </c>
      <c r="F296" s="15">
        <v>15.84</v>
      </c>
      <c r="G296" s="15" t="s">
        <v>8</v>
      </c>
      <c r="H296" s="15" t="s">
        <v>8</v>
      </c>
      <c r="I296" s="15" t="s">
        <v>8</v>
      </c>
      <c r="J296" s="15">
        <v>2.42</v>
      </c>
      <c r="K296" s="15" t="s">
        <v>8</v>
      </c>
      <c r="L296" s="15">
        <v>88</v>
      </c>
      <c r="M296" s="15" t="s">
        <v>8</v>
      </c>
      <c r="N296" s="15">
        <v>80</v>
      </c>
      <c r="O296" s="15" t="s">
        <v>8</v>
      </c>
      <c r="P296" s="15">
        <v>1</v>
      </c>
      <c r="Q296" s="15">
        <v>0</v>
      </c>
      <c r="R296" s="15">
        <v>0</v>
      </c>
      <c r="S296" s="15">
        <v>0</v>
      </c>
    </row>
    <row r="297" spans="1:19" x14ac:dyDescent="0.25">
      <c r="A297" t="s">
        <v>10</v>
      </c>
      <c r="B297" t="s">
        <v>217</v>
      </c>
      <c r="C297" s="15">
        <v>2</v>
      </c>
      <c r="D297" s="15" t="s">
        <v>8</v>
      </c>
      <c r="E297" s="15" t="s">
        <v>8</v>
      </c>
      <c r="F297" s="15">
        <v>11.89</v>
      </c>
      <c r="G297" s="15">
        <v>0.31112698372208097</v>
      </c>
      <c r="H297" s="15" t="s">
        <v>8</v>
      </c>
      <c r="I297" s="15" t="s">
        <v>8</v>
      </c>
      <c r="J297" s="15">
        <v>2.415</v>
      </c>
      <c r="K297" s="15">
        <v>2.12132034355966E-2</v>
      </c>
      <c r="L297" s="15">
        <v>58.5</v>
      </c>
      <c r="M297" s="15">
        <v>2.1213203435596402</v>
      </c>
      <c r="N297" s="15">
        <v>51.5</v>
      </c>
      <c r="O297" s="15">
        <v>6.3639610306789303</v>
      </c>
      <c r="P297" s="15">
        <v>0</v>
      </c>
      <c r="Q297" s="15">
        <v>1</v>
      </c>
      <c r="R297" s="15">
        <v>0</v>
      </c>
      <c r="S297" s="15">
        <v>0</v>
      </c>
    </row>
    <row r="298" spans="1:19" x14ac:dyDescent="0.25">
      <c r="A298" t="s">
        <v>10</v>
      </c>
      <c r="B298" t="s">
        <v>302</v>
      </c>
      <c r="C298" s="15">
        <v>2</v>
      </c>
      <c r="D298" s="15" t="s">
        <v>8</v>
      </c>
      <c r="E298" s="15" t="s">
        <v>8</v>
      </c>
      <c r="F298" s="15">
        <v>19.23</v>
      </c>
      <c r="G298" s="15">
        <v>0.31112698372207898</v>
      </c>
      <c r="H298" s="15" t="s">
        <v>8</v>
      </c>
      <c r="I298" s="15" t="s">
        <v>8</v>
      </c>
      <c r="J298" s="15">
        <v>1.595</v>
      </c>
      <c r="K298" s="15">
        <v>3.5355339059327397E-2</v>
      </c>
      <c r="L298" s="15">
        <v>42</v>
      </c>
      <c r="M298" s="15">
        <v>0</v>
      </c>
      <c r="N298" s="15">
        <v>43.5</v>
      </c>
      <c r="O298" s="15">
        <v>27.577164466275399</v>
      </c>
      <c r="P298" s="15">
        <v>0</v>
      </c>
      <c r="Q298" s="15">
        <v>0</v>
      </c>
      <c r="R298" s="15">
        <v>0</v>
      </c>
      <c r="S298" s="15">
        <v>1</v>
      </c>
    </row>
    <row r="299" spans="1:19" x14ac:dyDescent="0.25">
      <c r="A299" t="s">
        <v>10</v>
      </c>
      <c r="B299" t="s">
        <v>316</v>
      </c>
      <c r="C299" s="15">
        <v>1</v>
      </c>
      <c r="D299" s="15" t="s">
        <v>8</v>
      </c>
      <c r="E299" s="15" t="s">
        <v>8</v>
      </c>
      <c r="F299" s="15">
        <v>9.48</v>
      </c>
      <c r="G299" s="15" t="s">
        <v>8</v>
      </c>
      <c r="H299" s="15" t="s">
        <v>8</v>
      </c>
      <c r="I299" s="15" t="s">
        <v>8</v>
      </c>
      <c r="J299" s="15">
        <v>2.9</v>
      </c>
      <c r="K299" s="15" t="s">
        <v>8</v>
      </c>
      <c r="L299" s="15">
        <v>58</v>
      </c>
      <c r="M299" s="15" t="s">
        <v>8</v>
      </c>
      <c r="N299" s="15">
        <v>31</v>
      </c>
      <c r="O299" s="15" t="s">
        <v>8</v>
      </c>
      <c r="P299" s="15">
        <v>1</v>
      </c>
      <c r="Q299" s="15">
        <v>0</v>
      </c>
      <c r="R299" s="15">
        <v>0</v>
      </c>
      <c r="S299" s="15">
        <v>0</v>
      </c>
    </row>
    <row r="300" spans="1:19" x14ac:dyDescent="0.25">
      <c r="A300" t="s">
        <v>10</v>
      </c>
      <c r="B300" t="s">
        <v>175</v>
      </c>
      <c r="C300" s="15">
        <v>1</v>
      </c>
      <c r="D300" s="15" t="s">
        <v>8</v>
      </c>
      <c r="E300" s="15" t="s">
        <v>8</v>
      </c>
      <c r="F300" s="15">
        <v>12.92</v>
      </c>
      <c r="G300" s="15" t="s">
        <v>8</v>
      </c>
      <c r="H300" s="15" t="s">
        <v>8</v>
      </c>
      <c r="I300" s="15" t="s">
        <v>8</v>
      </c>
      <c r="J300" s="15">
        <v>2.86</v>
      </c>
      <c r="K300" s="15" t="s">
        <v>8</v>
      </c>
      <c r="L300" s="15">
        <v>107</v>
      </c>
      <c r="M300" s="15" t="s">
        <v>8</v>
      </c>
      <c r="N300" s="15">
        <v>102</v>
      </c>
      <c r="O300" s="15" t="s">
        <v>8</v>
      </c>
      <c r="P300" s="15">
        <v>1</v>
      </c>
      <c r="Q300" s="15">
        <v>1</v>
      </c>
      <c r="R300" s="15">
        <v>0</v>
      </c>
      <c r="S300" s="15">
        <v>0</v>
      </c>
    </row>
    <row r="301" spans="1:19" x14ac:dyDescent="0.25">
      <c r="A301" t="s">
        <v>10</v>
      </c>
      <c r="B301" t="s">
        <v>184</v>
      </c>
      <c r="C301" s="15">
        <v>2</v>
      </c>
      <c r="D301" s="15" t="s">
        <v>8</v>
      </c>
      <c r="E301" s="15" t="s">
        <v>8</v>
      </c>
      <c r="F301" s="15">
        <v>12.475</v>
      </c>
      <c r="G301" s="15">
        <v>1.3647160876900399</v>
      </c>
      <c r="H301" s="15" t="s">
        <v>8</v>
      </c>
      <c r="I301" s="15" t="s">
        <v>8</v>
      </c>
      <c r="J301" s="15">
        <v>2.69</v>
      </c>
      <c r="K301" s="15">
        <v>1.4142135623730999E-2</v>
      </c>
      <c r="L301" s="15">
        <v>49.5</v>
      </c>
      <c r="M301" s="15">
        <v>10.606601717798201</v>
      </c>
      <c r="N301" s="15">
        <v>35</v>
      </c>
      <c r="O301" s="15">
        <v>5.6568542494923797</v>
      </c>
      <c r="P301" s="15">
        <v>0</v>
      </c>
      <c r="Q301" s="15">
        <v>0</v>
      </c>
      <c r="R301" s="15">
        <v>0</v>
      </c>
      <c r="S301" s="15">
        <v>1</v>
      </c>
    </row>
    <row r="302" spans="1:19" x14ac:dyDescent="0.25">
      <c r="A302" t="s">
        <v>10</v>
      </c>
      <c r="B302" t="s">
        <v>305</v>
      </c>
      <c r="C302" s="15">
        <v>1</v>
      </c>
      <c r="D302" s="15" t="s">
        <v>8</v>
      </c>
      <c r="E302" s="15" t="s">
        <v>8</v>
      </c>
      <c r="F302" s="15">
        <v>12.65</v>
      </c>
      <c r="G302" s="15" t="s">
        <v>8</v>
      </c>
      <c r="H302" s="15" t="s">
        <v>8</v>
      </c>
      <c r="I302" s="15" t="s">
        <v>8</v>
      </c>
      <c r="J302" s="15">
        <v>2.2400000000000002</v>
      </c>
      <c r="K302" s="15" t="s">
        <v>8</v>
      </c>
      <c r="L302" s="15">
        <v>166</v>
      </c>
      <c r="M302" s="15" t="s">
        <v>8</v>
      </c>
      <c r="N302" s="15">
        <v>54</v>
      </c>
      <c r="O302" s="15" t="s">
        <v>8</v>
      </c>
      <c r="P302" s="15">
        <v>0</v>
      </c>
      <c r="Q302" s="15">
        <v>0</v>
      </c>
      <c r="R302" s="15">
        <v>1</v>
      </c>
      <c r="S302" s="15">
        <v>0</v>
      </c>
    </row>
    <row r="303" spans="1:19" x14ac:dyDescent="0.25">
      <c r="A303" t="s">
        <v>10</v>
      </c>
      <c r="B303" t="s">
        <v>209</v>
      </c>
      <c r="C303" s="15">
        <v>1</v>
      </c>
      <c r="D303" s="15" t="s">
        <v>8</v>
      </c>
      <c r="E303" s="15" t="s">
        <v>8</v>
      </c>
      <c r="F303" s="15">
        <v>16.45</v>
      </c>
      <c r="G303" s="15" t="s">
        <v>8</v>
      </c>
      <c r="H303" s="15" t="s">
        <v>8</v>
      </c>
      <c r="I303" s="15" t="s">
        <v>8</v>
      </c>
      <c r="J303" s="15">
        <v>1.5</v>
      </c>
      <c r="K303" s="15" t="s">
        <v>8</v>
      </c>
      <c r="L303" s="15">
        <v>192</v>
      </c>
      <c r="M303" s="15" t="s">
        <v>8</v>
      </c>
      <c r="N303" s="15">
        <v>77</v>
      </c>
      <c r="O303" s="15" t="s">
        <v>8</v>
      </c>
      <c r="P303" s="15">
        <v>0</v>
      </c>
      <c r="Q303" s="15">
        <v>0</v>
      </c>
      <c r="R303" s="15">
        <v>0</v>
      </c>
      <c r="S303" s="15">
        <v>1</v>
      </c>
    </row>
  </sheetData>
  <sortState xmlns:xlrd2="http://schemas.microsoft.com/office/spreadsheetml/2017/richdata2" ref="A2:S303">
    <sortCondition ref="D52:D3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Moths individuals</vt:lpstr>
      <vt:lpstr>Summarized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Ugo Diniz</dc:creator>
  <cp:keywords/>
  <dc:description/>
  <cp:lastModifiedBy>Ugo Mendes Diniz</cp:lastModifiedBy>
  <cp:revision/>
  <dcterms:created xsi:type="dcterms:W3CDTF">2024-04-05T12:13:51Z</dcterms:created>
  <dcterms:modified xsi:type="dcterms:W3CDTF">2025-09-29T07:53:28Z</dcterms:modified>
  <cp:category/>
  <cp:contentStatus/>
</cp:coreProperties>
</file>