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arlandim\Senckenberg Dropbox\Anna Rebello Landim\Postdoc BikF\Multifunctionality\Multifunctionality-Recovery-time\data\raw\SP3\"/>
    </mc:Choice>
  </mc:AlternateContent>
  <xr:revisionPtr revIDLastSave="0" documentId="13_ncr:1_{DF5BC2E8-B9E3-44D5-97EE-C038D41D3FCD}" xr6:coauthVersionLast="47" xr6:coauthVersionMax="47" xr10:uidLastSave="{00000000-0000-0000-0000-000000000000}"/>
  <bookViews>
    <workbookView xWindow="-110" yWindow="-110" windowWidth="19420" windowHeight="10420" xr2:uid="{60790B85-55DA-425B-9910-AA04BF43EA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99" i="1" l="1"/>
  <c r="F2598" i="1"/>
  <c r="F2597" i="1"/>
  <c r="F2596" i="1"/>
  <c r="F2595" i="1"/>
  <c r="F2586" i="1"/>
  <c r="F2592" i="1"/>
  <c r="F2583" i="1"/>
  <c r="F2578" i="1"/>
  <c r="F2582" i="1"/>
  <c r="F2584" i="1"/>
  <c r="F2579" i="1"/>
  <c r="F2587" i="1"/>
  <c r="F2585" i="1"/>
  <c r="F2581" i="1"/>
  <c r="F2580" i="1"/>
  <c r="F2577" i="1"/>
  <c r="F2576" i="1"/>
  <c r="F2594" i="1"/>
  <c r="F2593" i="1"/>
  <c r="F2530" i="1"/>
  <c r="F2529" i="1"/>
  <c r="F2528" i="1"/>
  <c r="F2791" i="1"/>
  <c r="F2823" i="1"/>
  <c r="F3485" i="1"/>
  <c r="F169" i="1"/>
  <c r="F3481" i="1"/>
  <c r="F2981" i="1"/>
  <c r="F2980" i="1"/>
  <c r="F3507" i="1"/>
  <c r="F3506" i="1"/>
  <c r="F3503" i="1"/>
  <c r="F176" i="1"/>
  <c r="F3489" i="1"/>
  <c r="F10" i="1"/>
  <c r="F9" i="1"/>
  <c r="F11" i="1"/>
  <c r="F2744" i="1"/>
  <c r="F2740" i="1"/>
  <c r="F191" i="1"/>
  <c r="F180" i="1"/>
  <c r="F3089" i="1"/>
  <c r="F2824" i="1"/>
  <c r="F2781" i="1"/>
  <c r="F2814" i="1"/>
  <c r="F2815" i="1"/>
  <c r="F2519" i="1"/>
  <c r="F2515" i="1"/>
  <c r="F3928" i="1"/>
  <c r="F2591" i="1"/>
  <c r="F2588" i="1"/>
  <c r="F2533" i="1"/>
  <c r="F2532" i="1"/>
  <c r="F2531" i="1"/>
  <c r="F2575" i="1"/>
  <c r="F2600" i="1"/>
  <c r="F2589" i="1"/>
  <c r="F2590" i="1"/>
  <c r="F3151" i="1"/>
  <c r="F2507" i="1"/>
  <c r="F70" i="1"/>
  <c r="F69" i="1"/>
  <c r="F3369" i="1"/>
  <c r="F49" i="1"/>
  <c r="F190" i="1"/>
  <c r="F184" i="1"/>
</calcChain>
</file>

<file path=xl/sharedStrings.xml><?xml version="1.0" encoding="utf-8"?>
<sst xmlns="http://schemas.openxmlformats.org/spreadsheetml/2006/main" count="15722" uniqueCount="1549">
  <si>
    <t>group</t>
  </si>
  <si>
    <t>species</t>
  </si>
  <si>
    <t>individual</t>
  </si>
  <si>
    <t>number</t>
  </si>
  <si>
    <t>trait</t>
  </si>
  <si>
    <t>measure</t>
  </si>
  <si>
    <t>Euglossini</t>
  </si>
  <si>
    <t>Aglae caerulea</t>
  </si>
  <si>
    <t>J-0975</t>
  </si>
  <si>
    <t>intertegularDistance</t>
  </si>
  <si>
    <t>proboscisLength</t>
  </si>
  <si>
    <t>wingLength</t>
  </si>
  <si>
    <t>wingWidth</t>
  </si>
  <si>
    <t>Apini</t>
  </si>
  <si>
    <t>Apis mellifera</t>
  </si>
  <si>
    <t>K-0080</t>
  </si>
  <si>
    <t>K-0081</t>
  </si>
  <si>
    <t>K-0082</t>
  </si>
  <si>
    <t>Halictidae</t>
  </si>
  <si>
    <t>Augochlora sp11</t>
  </si>
  <si>
    <t>K-0203</t>
  </si>
  <si>
    <t>K-0204</t>
  </si>
  <si>
    <t>K-0205</t>
  </si>
  <si>
    <t>K-0206</t>
  </si>
  <si>
    <t>K-0207</t>
  </si>
  <si>
    <t>K-0208</t>
  </si>
  <si>
    <t>K-0209</t>
  </si>
  <si>
    <t>K-0728</t>
  </si>
  <si>
    <t>Augochlora sp15</t>
  </si>
  <si>
    <t>K-0917</t>
  </si>
  <si>
    <t>K-0918</t>
  </si>
  <si>
    <t>Augochlora sp20</t>
  </si>
  <si>
    <t>B0403</t>
  </si>
  <si>
    <t>Augochlora sp4</t>
  </si>
  <si>
    <t>K-0211</t>
  </si>
  <si>
    <t>Augochlora sp8</t>
  </si>
  <si>
    <t>K-0919</t>
  </si>
  <si>
    <t>Augochlora sp9 / (Oxystoglossella)</t>
  </si>
  <si>
    <t>K-0076</t>
  </si>
  <si>
    <t>K-0077</t>
  </si>
  <si>
    <t>K-0210</t>
  </si>
  <si>
    <t>Augochlorella cf ephyra</t>
  </si>
  <si>
    <t>B9821</t>
  </si>
  <si>
    <t>B9822</t>
  </si>
  <si>
    <t>Augochlorella cf tredecim</t>
  </si>
  <si>
    <t>D-1887</t>
  </si>
  <si>
    <t>Augochlorella sp1</t>
  </si>
  <si>
    <t>K-0706</t>
  </si>
  <si>
    <t>K-0707</t>
  </si>
  <si>
    <t>K-0708</t>
  </si>
  <si>
    <t>Augochlorella sp2</t>
  </si>
  <si>
    <t>K-1384</t>
  </si>
  <si>
    <t>K-1385</t>
  </si>
  <si>
    <t>K-1386</t>
  </si>
  <si>
    <t>K-1387</t>
  </si>
  <si>
    <t>K-1388</t>
  </si>
  <si>
    <t>K-1389</t>
  </si>
  <si>
    <t>K-1390</t>
  </si>
  <si>
    <t>Augochloropsis sp2</t>
  </si>
  <si>
    <t>K-0200</t>
  </si>
  <si>
    <t>K-0312</t>
  </si>
  <si>
    <t>K-0676</t>
  </si>
  <si>
    <t>K-0677</t>
  </si>
  <si>
    <t>K-0678</t>
  </si>
  <si>
    <t>K-0679</t>
  </si>
  <si>
    <t>K-0680</t>
  </si>
  <si>
    <t>K-0683</t>
  </si>
  <si>
    <t>K-0684</t>
  </si>
  <si>
    <t>Augochloropsis sp3</t>
  </si>
  <si>
    <t>K-0717</t>
  </si>
  <si>
    <t>K-0812</t>
  </si>
  <si>
    <t>K-0920</t>
  </si>
  <si>
    <t>Augochloropsis sp5</t>
  </si>
  <si>
    <t>K-0714</t>
  </si>
  <si>
    <t>K-0720</t>
  </si>
  <si>
    <t>K-0721</t>
  </si>
  <si>
    <t>K-0722</t>
  </si>
  <si>
    <t>K-0723</t>
  </si>
  <si>
    <t>K-0724</t>
  </si>
  <si>
    <t>K-0813</t>
  </si>
  <si>
    <t>Augochlorospis cf sp15</t>
  </si>
  <si>
    <t>D-0063</t>
  </si>
  <si>
    <t>Centridini</t>
  </si>
  <si>
    <t>Centris dichrootricha</t>
  </si>
  <si>
    <t>D-1888</t>
  </si>
  <si>
    <t>Meliponini</t>
  </si>
  <si>
    <t>Cephalotrigona cf zexmeniae</t>
  </si>
  <si>
    <t>D-1698</t>
  </si>
  <si>
    <t>Ceratalictus sp</t>
  </si>
  <si>
    <t>K-0219</t>
  </si>
  <si>
    <t>Ceratinini</t>
  </si>
  <si>
    <t>Ceratina (Calloceratina) sp</t>
  </si>
  <si>
    <t>A-0565</t>
  </si>
  <si>
    <t>Ceratina (Crewella) sp1</t>
  </si>
  <si>
    <t>B0404</t>
  </si>
  <si>
    <t>Ceratina (Crewella) sp2</t>
  </si>
  <si>
    <t>B9820</t>
  </si>
  <si>
    <t>K-0718</t>
  </si>
  <si>
    <t>Corynura (Corynura) sp1</t>
  </si>
  <si>
    <t>K-2107</t>
  </si>
  <si>
    <t>K-2108</t>
  </si>
  <si>
    <t>K-2109</t>
  </si>
  <si>
    <t>Corynura (Corynura) sp2</t>
  </si>
  <si>
    <t>K-0220</t>
  </si>
  <si>
    <t>K-0221</t>
  </si>
  <si>
    <t>K-0330</t>
  </si>
  <si>
    <t>K-0725</t>
  </si>
  <si>
    <t>K-0730</t>
  </si>
  <si>
    <t>K-1417</t>
  </si>
  <si>
    <t>K-1418</t>
  </si>
  <si>
    <t>K-1705</t>
  </si>
  <si>
    <t>Dolichotrigona schulthessi</t>
  </si>
  <si>
    <t>A-0240</t>
  </si>
  <si>
    <t>A-0241</t>
  </si>
  <si>
    <t>A-0242</t>
  </si>
  <si>
    <t>A-0243</t>
  </si>
  <si>
    <t>A-0244</t>
  </si>
  <si>
    <t>A-0245</t>
  </si>
  <si>
    <t>A-1032</t>
  </si>
  <si>
    <t>A-1033</t>
  </si>
  <si>
    <t>K-0308</t>
  </si>
  <si>
    <t>K-0328</t>
  </si>
  <si>
    <t>A-0237</t>
  </si>
  <si>
    <t>A-0238</t>
  </si>
  <si>
    <t>A-0239</t>
  </si>
  <si>
    <t>Eufriesea chrysopyga</t>
  </si>
  <si>
    <t>B1098</t>
  </si>
  <si>
    <t>B1099</t>
  </si>
  <si>
    <t>M-0548</t>
  </si>
  <si>
    <t>M-1019</t>
  </si>
  <si>
    <t>M-1184</t>
  </si>
  <si>
    <t>M-1488</t>
  </si>
  <si>
    <t>M-1489</t>
  </si>
  <si>
    <t>M-1595</t>
  </si>
  <si>
    <t>M-1596</t>
  </si>
  <si>
    <t>M-1597</t>
  </si>
  <si>
    <t>M-1598</t>
  </si>
  <si>
    <t>M-1599</t>
  </si>
  <si>
    <t>M-1600</t>
  </si>
  <si>
    <t>M-1683</t>
  </si>
  <si>
    <t>M-1684</t>
  </si>
  <si>
    <t>M-1685</t>
  </si>
  <si>
    <t>M-1686</t>
  </si>
  <si>
    <t>M-1687</t>
  </si>
  <si>
    <t>M-1688</t>
  </si>
  <si>
    <t>M-1689</t>
  </si>
  <si>
    <t>M-1690</t>
  </si>
  <si>
    <t>M-1691</t>
  </si>
  <si>
    <t>M-1692</t>
  </si>
  <si>
    <t>M-1868</t>
  </si>
  <si>
    <t>M-1876</t>
  </si>
  <si>
    <t>M-1877</t>
  </si>
  <si>
    <t>Eufriesea flaviventris</t>
  </si>
  <si>
    <t>M-C-2458</t>
  </si>
  <si>
    <t>Eufriesea lucida</t>
  </si>
  <si>
    <t>J-0415</t>
  </si>
  <si>
    <t>M-1601</t>
  </si>
  <si>
    <t>M-1875</t>
  </si>
  <si>
    <t>Eufriesea lucifera</t>
  </si>
  <si>
    <t>M-1878</t>
  </si>
  <si>
    <t>Eufriesea pulchra</t>
  </si>
  <si>
    <t>J-1137</t>
  </si>
  <si>
    <t>M-0605</t>
  </si>
  <si>
    <t>Eufriesea purpurata</t>
  </si>
  <si>
    <t>B1386</t>
  </si>
  <si>
    <t>Eufriesea rufocaudata</t>
  </si>
  <si>
    <t>B1164</t>
  </si>
  <si>
    <t>Euglossa allosticta</t>
  </si>
  <si>
    <t>B1142</t>
  </si>
  <si>
    <t>B1143</t>
  </si>
  <si>
    <t>B1144</t>
  </si>
  <si>
    <t>B1316</t>
  </si>
  <si>
    <t>B1317</t>
  </si>
  <si>
    <t>B1318</t>
  </si>
  <si>
    <t>B1319</t>
  </si>
  <si>
    <t>B1320</t>
  </si>
  <si>
    <t>B1321</t>
  </si>
  <si>
    <t>J-0026</t>
  </si>
  <si>
    <t>J-0155</t>
  </si>
  <si>
    <t>J-0175</t>
  </si>
  <si>
    <t>J-0839</t>
  </si>
  <si>
    <t>J-0843</t>
  </si>
  <si>
    <t>J-0986</t>
  </si>
  <si>
    <t>J-1143</t>
  </si>
  <si>
    <t>J-1616</t>
  </si>
  <si>
    <t>M-0055</t>
  </si>
  <si>
    <t>M-0057</t>
  </si>
  <si>
    <t>M-0139</t>
  </si>
  <si>
    <t>M-0516</t>
  </si>
  <si>
    <t>M-0517</t>
  </si>
  <si>
    <t>M-0892</t>
  </si>
  <si>
    <t>M-1139</t>
  </si>
  <si>
    <t>M-1145</t>
  </si>
  <si>
    <t>M-1166</t>
  </si>
  <si>
    <t>M-1167</t>
  </si>
  <si>
    <t>M-1287</t>
  </si>
  <si>
    <t>M-1392</t>
  </si>
  <si>
    <t>M-1474</t>
  </si>
  <si>
    <t>M-1490</t>
  </si>
  <si>
    <t>M-1491</t>
  </si>
  <si>
    <t>M-1492</t>
  </si>
  <si>
    <t>M-1493</t>
  </si>
  <si>
    <t>M-1494</t>
  </si>
  <si>
    <t>M-1654</t>
  </si>
  <si>
    <t>M-1655</t>
  </si>
  <si>
    <t>M-1656</t>
  </si>
  <si>
    <t>M-1743</t>
  </si>
  <si>
    <t>M-1744</t>
  </si>
  <si>
    <t>M-1745</t>
  </si>
  <si>
    <t>M-1746</t>
  </si>
  <si>
    <t>M-C-1932</t>
  </si>
  <si>
    <t>J-0989</t>
  </si>
  <si>
    <t>J-0987</t>
  </si>
  <si>
    <t>J-0240</t>
  </si>
  <si>
    <t>J-0977</t>
  </si>
  <si>
    <t>J-0988</t>
  </si>
  <si>
    <t>J-1163</t>
  </si>
  <si>
    <t>J-1364</t>
  </si>
  <si>
    <t>J-1365</t>
  </si>
  <si>
    <t>J-1381</t>
  </si>
  <si>
    <t>Euglossa asarophora</t>
  </si>
  <si>
    <t>B1100</t>
  </si>
  <si>
    <t>B1101</t>
  </si>
  <si>
    <t>B1102</t>
  </si>
  <si>
    <t>B1113</t>
  </si>
  <si>
    <t>J-0836</t>
  </si>
  <si>
    <t>M-0019</t>
  </si>
  <si>
    <t>M-0020</t>
  </si>
  <si>
    <t>M-0041</t>
  </si>
  <si>
    <t>M-0042</t>
  </si>
  <si>
    <t>M-0043</t>
  </si>
  <si>
    <t>M-0044</t>
  </si>
  <si>
    <t>M-0045</t>
  </si>
  <si>
    <t>M-0690</t>
  </si>
  <si>
    <t>M-0904</t>
  </si>
  <si>
    <t>M-1344</t>
  </si>
  <si>
    <t>M-C-1922</t>
  </si>
  <si>
    <t>M-C-1923</t>
  </si>
  <si>
    <t>M-C-2048</t>
  </si>
  <si>
    <t>J-0587</t>
  </si>
  <si>
    <t>J-0588</t>
  </si>
  <si>
    <t>J-0589</t>
  </si>
  <si>
    <t>J-0590</t>
  </si>
  <si>
    <t>J-0591</t>
  </si>
  <si>
    <t>J-0592</t>
  </si>
  <si>
    <t>J-0593</t>
  </si>
  <si>
    <t>J-0594</t>
  </si>
  <si>
    <t>J-0649</t>
  </si>
  <si>
    <t>J-1671</t>
  </si>
  <si>
    <t>Euglossa bursigera</t>
  </si>
  <si>
    <t>J-0257</t>
  </si>
  <si>
    <t>J-0901</t>
  </si>
  <si>
    <t>M-C-2148</t>
  </si>
  <si>
    <t>Euglossa championi</t>
  </si>
  <si>
    <t>B1116</t>
  </si>
  <si>
    <t>J-0417</t>
  </si>
  <si>
    <t>J-0418</t>
  </si>
  <si>
    <t>J-1198</t>
  </si>
  <si>
    <t>M-0408</t>
  </si>
  <si>
    <t>M-0409</t>
  </si>
  <si>
    <t>M-0916</t>
  </si>
  <si>
    <t>M-0951</t>
  </si>
  <si>
    <t>M-1341</t>
  </si>
  <si>
    <t>M-1342</t>
  </si>
  <si>
    <t>M-1343</t>
  </si>
  <si>
    <t>M-1582</t>
  </si>
  <si>
    <t>M-1866</t>
  </si>
  <si>
    <t>M-1867</t>
  </si>
  <si>
    <t>J-0991</t>
  </si>
  <si>
    <t>J-1032</t>
  </si>
  <si>
    <t>Euglossa chlorina</t>
  </si>
  <si>
    <t>J-0339</t>
  </si>
  <si>
    <t>J-0729</t>
  </si>
  <si>
    <t>J-0780</t>
  </si>
  <si>
    <t>J-1125</t>
  </si>
  <si>
    <t>J-1629</t>
  </si>
  <si>
    <t>M-1495</t>
  </si>
  <si>
    <t>M-1496</t>
  </si>
  <si>
    <t>Euglossa cognata</t>
  </si>
  <si>
    <t>B1103</t>
  </si>
  <si>
    <t>J-0355</t>
  </si>
  <si>
    <t>M-0259</t>
  </si>
  <si>
    <t>M-0493</t>
  </si>
  <si>
    <t>M-0554</t>
  </si>
  <si>
    <t>M-0590</t>
  </si>
  <si>
    <t>M-0591</t>
  </si>
  <si>
    <t>M-0621</t>
  </si>
  <si>
    <t>M-0714</t>
  </si>
  <si>
    <t>M-0923</t>
  </si>
  <si>
    <t>M-0949</t>
  </si>
  <si>
    <t>M-0977</t>
  </si>
  <si>
    <t>M-0978</t>
  </si>
  <si>
    <t>Euglossa cordata</t>
  </si>
  <si>
    <t>J-0362</t>
  </si>
  <si>
    <t>J-0530</t>
  </si>
  <si>
    <t>M-0075</t>
  </si>
  <si>
    <t>M-0091</t>
  </si>
  <si>
    <t>M-C-2362</t>
  </si>
  <si>
    <t>Euglossa cybelia</t>
  </si>
  <si>
    <t>J-0137</t>
  </si>
  <si>
    <t>M-1252</t>
  </si>
  <si>
    <t>Euglossa deceptrix group</t>
  </si>
  <si>
    <t>B1123</t>
  </si>
  <si>
    <t>B1129</t>
  </si>
  <si>
    <t>B1130</t>
  </si>
  <si>
    <t>B1163</t>
  </si>
  <si>
    <t>B1314</t>
  </si>
  <si>
    <t>B1315</t>
  </si>
  <si>
    <t>B1324</t>
  </si>
  <si>
    <t>B1328</t>
  </si>
  <si>
    <t>B1329</t>
  </si>
  <si>
    <t>J-0001</t>
  </si>
  <si>
    <t>J-0024</t>
  </si>
  <si>
    <t>J-0068</t>
  </si>
  <si>
    <t>J-0069</t>
  </si>
  <si>
    <t>J-0073</t>
  </si>
  <si>
    <t>J-0250</t>
  </si>
  <si>
    <t>M-0056</t>
  </si>
  <si>
    <t>M-0060</t>
  </si>
  <si>
    <t>M-0116</t>
  </si>
  <si>
    <t>M-0117</t>
  </si>
  <si>
    <t>M-0118</t>
  </si>
  <si>
    <t>M-0119</t>
  </si>
  <si>
    <t>M-0120</t>
  </si>
  <si>
    <t>M-0170</t>
  </si>
  <si>
    <t>M-0306</t>
  </si>
  <si>
    <t>M-0395</t>
  </si>
  <si>
    <t>M-0407</t>
  </si>
  <si>
    <t>M-0414</t>
  </si>
  <si>
    <t>M-0445</t>
  </si>
  <si>
    <t>M-0531</t>
  </si>
  <si>
    <t>M-1039</t>
  </si>
  <si>
    <t>M-1471</t>
  </si>
  <si>
    <t>M-1644</t>
  </si>
  <si>
    <t>M-1726</t>
  </si>
  <si>
    <t>M-1742</t>
  </si>
  <si>
    <t>M-2117</t>
  </si>
  <si>
    <t>M-C-1926</t>
  </si>
  <si>
    <t>M-C-2291</t>
  </si>
  <si>
    <t>M-C-2390</t>
  </si>
  <si>
    <t>J-0027</t>
  </si>
  <si>
    <t>J-0048</t>
  </si>
  <si>
    <t>J-0049</t>
  </si>
  <si>
    <t>J-0066</t>
  </si>
  <si>
    <t>J-0140</t>
  </si>
  <si>
    <t>J-0730</t>
  </si>
  <si>
    <t>J-1183</t>
  </si>
  <si>
    <t>J-1186</t>
  </si>
  <si>
    <t>J-1383</t>
  </si>
  <si>
    <t>J-1880</t>
  </si>
  <si>
    <t>Euglossa dodsoni</t>
  </si>
  <si>
    <t>B1119</t>
  </si>
  <si>
    <t>B1120</t>
  </si>
  <si>
    <t>B1121</t>
  </si>
  <si>
    <t>B1122</t>
  </si>
  <si>
    <t>B1378</t>
  </si>
  <si>
    <t>M-0111</t>
  </si>
  <si>
    <t>M-0143</t>
  </si>
  <si>
    <t>M-0144</t>
  </si>
  <si>
    <t>M-1260</t>
  </si>
  <si>
    <t>M-1265</t>
  </si>
  <si>
    <t>M-1267</t>
  </si>
  <si>
    <t>M-1335</t>
  </si>
  <si>
    <t>M-1504</t>
  </si>
  <si>
    <t>M-1574</t>
  </si>
  <si>
    <t>J-0093</t>
  </si>
  <si>
    <t>J-0094</t>
  </si>
  <si>
    <t>J-0095</t>
  </si>
  <si>
    <t>J-0096</t>
  </si>
  <si>
    <t>J-0102</t>
  </si>
  <si>
    <t>J-0103</t>
  </si>
  <si>
    <t>J-0110</t>
  </si>
  <si>
    <t>J-0117</t>
  </si>
  <si>
    <t>J-0118</t>
  </si>
  <si>
    <t>J-1167</t>
  </si>
  <si>
    <t>J-1168</t>
  </si>
  <si>
    <t>J-1169</t>
  </si>
  <si>
    <t>J-1170</t>
  </si>
  <si>
    <t>J-1171</t>
  </si>
  <si>
    <t>J-1712</t>
  </si>
  <si>
    <t>Euglossa dressleri</t>
  </si>
  <si>
    <t>J-0711</t>
  </si>
  <si>
    <t>Euglossa flammea-chalybeata gr</t>
  </si>
  <si>
    <t>B1114</t>
  </si>
  <si>
    <t>B1159</t>
  </si>
  <si>
    <t>B1160</t>
  </si>
  <si>
    <t>B1169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</si>
  <si>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</si>
  <si>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</si>
  <si>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</si>
  <si>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</si>
  <si>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</si>
  <si>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</si>
  <si>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</si>
  <si>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</si>
  <si>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</si>
  <si>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J-0158</t>
  </si>
  <si>
    <t>J-0159</t>
  </si>
  <si>
    <t>J-0167</t>
  </si>
  <si>
    <t>J-0404</t>
  </si>
  <si>
    <t>J-1165</t>
  </si>
  <si>
    <t>J-1873</t>
  </si>
  <si>
    <t>M-0022</t>
  </si>
  <si>
    <t>M-0025</t>
  </si>
  <si>
    <t>M-0026</t>
  </si>
  <si>
    <t>M-0027</t>
  </si>
  <si>
    <t>M-0028</t>
  </si>
  <si>
    <t>M-0029</t>
  </si>
  <si>
    <t>M-0030</t>
  </si>
  <si>
    <t>M-0102</t>
  </si>
  <si>
    <t>M-0103</t>
  </si>
  <si>
    <t>M-0104</t>
  </si>
  <si>
    <t>M-0105</t>
  </si>
  <si>
    <t>M-0106</t>
  </si>
  <si>
    <t>M-0107</t>
  </si>
  <si>
    <t>M-0121</t>
  </si>
  <si>
    <t>M-0125</t>
  </si>
  <si>
    <t>M-0726</t>
  </si>
  <si>
    <t>M-0727</t>
  </si>
  <si>
    <t>M-0728</t>
  </si>
  <si>
    <t>M-0729</t>
  </si>
  <si>
    <t>M-0730</t>
  </si>
  <si>
    <t>M-0731</t>
  </si>
  <si>
    <t>M-0732</t>
  </si>
  <si>
    <t>M-1584</t>
  </si>
  <si>
    <t>M-C-2059</t>
  </si>
  <si>
    <t>J-0407</t>
  </si>
  <si>
    <t>J-0405</t>
  </si>
  <si>
    <t>J-0105</t>
  </si>
  <si>
    <t>J-0406</t>
  </si>
  <si>
    <t>J-1179</t>
  </si>
  <si>
    <t>J-1237</t>
  </si>
  <si>
    <t>J-1238</t>
  </si>
  <si>
    <t>J-1239</t>
  </si>
  <si>
    <t>Euglossa gibossa</t>
  </si>
  <si>
    <t>J-0291</t>
  </si>
  <si>
    <t>M-0015</t>
  </si>
  <si>
    <t>M-0180</t>
  </si>
  <si>
    <t>M-1114</t>
  </si>
  <si>
    <t>M-1115</t>
  </si>
  <si>
    <t>M-1116</t>
  </si>
  <si>
    <t>M-1159</t>
  </si>
  <si>
    <t>M-1244</t>
  </si>
  <si>
    <t>M-1708</t>
  </si>
  <si>
    <t>Euglossa gorgonensis</t>
  </si>
  <si>
    <t>B1045</t>
  </si>
  <si>
    <t>J-0008</t>
  </si>
  <si>
    <t>J-0023</t>
  </si>
  <si>
    <t>J-0106</t>
  </si>
  <si>
    <t>J-0239</t>
  </si>
  <si>
    <t>J-0521</t>
  </si>
  <si>
    <t>J-0737</t>
  </si>
  <si>
    <t>J-0738</t>
  </si>
  <si>
    <t>J-0739</t>
  </si>
  <si>
    <t>J-1145</t>
  </si>
  <si>
    <t>J-1148</t>
  </si>
  <si>
    <t>J-1149</t>
  </si>
  <si>
    <t>J-1185</t>
  </si>
  <si>
    <t>J-1194</t>
  </si>
  <si>
    <t>J-1246</t>
  </si>
  <si>
    <t>J-1269</t>
  </si>
  <si>
    <t>J-1615</t>
  </si>
  <si>
    <t>M-1334</t>
  </si>
  <si>
    <t>J-0731</t>
  </si>
  <si>
    <t>Euglossa hansoni</t>
  </si>
  <si>
    <t>B1118</t>
  </si>
  <si>
    <t>B1383</t>
  </si>
  <si>
    <t>J-0109</t>
  </si>
  <si>
    <t>J-0214</t>
  </si>
  <si>
    <t>J-0955</t>
  </si>
  <si>
    <t>J-1575</t>
  </si>
  <si>
    <t>M-0110</t>
  </si>
  <si>
    <t>M-0127</t>
  </si>
  <si>
    <t>M-0171</t>
  </si>
  <si>
    <t>M-0214</t>
  </si>
  <si>
    <t>M-0225</t>
  </si>
  <si>
    <t>M-0242</t>
  </si>
  <si>
    <t>M-0550</t>
  </si>
  <si>
    <t>M-0593</t>
  </si>
  <si>
    <t>M-0594</t>
  </si>
  <si>
    <t>M-1001</t>
  </si>
  <si>
    <t>M-1012</t>
  </si>
  <si>
    <t>M-1013</t>
  </si>
  <si>
    <t>M-1014</t>
  </si>
  <si>
    <t>M-1016</t>
  </si>
  <si>
    <t>M-1240</t>
  </si>
  <si>
    <t>M-1248</t>
  </si>
  <si>
    <t>M-1696</t>
  </si>
  <si>
    <t>M-1704</t>
  </si>
  <si>
    <t>M-1705</t>
  </si>
  <si>
    <t>M-1716</t>
  </si>
  <si>
    <t>M-1717</t>
  </si>
  <si>
    <t>M-1718</t>
  </si>
  <si>
    <t>M-1719</t>
  </si>
  <si>
    <t>M-C-2229</t>
  </si>
  <si>
    <t>Euglossa heterosticta</t>
  </si>
  <si>
    <t>B1325</t>
  </si>
  <si>
    <t>B1326</t>
  </si>
  <si>
    <t>J-0350a</t>
  </si>
  <si>
    <t>J-0388</t>
  </si>
  <si>
    <t>J-0529</t>
  </si>
  <si>
    <t>J-0786</t>
  </si>
  <si>
    <t>J-1044</t>
  </si>
  <si>
    <t>J-1098</t>
  </si>
  <si>
    <t>J-1515</t>
  </si>
  <si>
    <t>M-0089</t>
  </si>
  <si>
    <t>M-0275</t>
  </si>
  <si>
    <t>M-0547</t>
  </si>
  <si>
    <t>M-0569</t>
  </si>
  <si>
    <t>M-0957</t>
  </si>
  <si>
    <t>M-0958</t>
  </si>
  <si>
    <t>M-1124</t>
  </si>
  <si>
    <t>M-1144</t>
  </si>
  <si>
    <t>M-1589</t>
  </si>
  <si>
    <t>M-C-1893</t>
  </si>
  <si>
    <t>M-C-1942</t>
  </si>
  <si>
    <t>M-C-2052</t>
  </si>
  <si>
    <t>M-C-2053</t>
  </si>
  <si>
    <t>M-C-2054</t>
  </si>
  <si>
    <t>J-0072</t>
  </si>
  <si>
    <t>Euglossa ignita</t>
  </si>
  <si>
    <t>B1357</t>
  </si>
  <si>
    <t>B1358</t>
  </si>
  <si>
    <t>B1359</t>
  </si>
  <si>
    <t>B1360</t>
  </si>
  <si>
    <t>B1361</t>
  </si>
  <si>
    <t>B1362</t>
  </si>
  <si>
    <t>J-1048</t>
  </si>
  <si>
    <t>M-0282</t>
  </si>
  <si>
    <t>J-1178</t>
  </si>
  <si>
    <t>Euglossa igniventris-dissimula gr</t>
  </si>
  <si>
    <t>B1124</t>
  </si>
  <si>
    <t>J-0141</t>
  </si>
  <si>
    <t>J-0142</t>
  </si>
  <si>
    <t>J-0143</t>
  </si>
  <si>
    <t>J-0437</t>
  </si>
  <si>
    <t>J-0852</t>
  </si>
  <si>
    <t>J-0853</t>
  </si>
  <si>
    <t>J-1270</t>
  </si>
  <si>
    <t>J-1429</t>
  </si>
  <si>
    <t>J-1862</t>
  </si>
  <si>
    <t>J-1901</t>
  </si>
  <si>
    <t>J-1902</t>
  </si>
  <si>
    <t>M-0092</t>
  </si>
  <si>
    <t>M-0093</t>
  </si>
  <si>
    <t>M-0094</t>
  </si>
  <si>
    <t>M-0128</t>
  </si>
  <si>
    <t>M-0129</t>
  </si>
  <si>
    <t>M-0130</t>
  </si>
  <si>
    <t>M-0152</t>
  </si>
  <si>
    <t>M-0211</t>
  </si>
  <si>
    <t>M-0213</t>
  </si>
  <si>
    <t>M-0250</t>
  </si>
  <si>
    <t>M-0251</t>
  </si>
  <si>
    <t>M-0253</t>
  </si>
  <si>
    <t>M-0307</t>
  </si>
  <si>
    <t>M-0634</t>
  </si>
  <si>
    <t>M-0882</t>
  </si>
  <si>
    <t>M-0914</t>
  </si>
  <si>
    <t>M-0915</t>
  </si>
  <si>
    <t>M-1245</t>
  </si>
  <si>
    <t>M-C-2134</t>
  </si>
  <si>
    <t>M-C-2242</t>
  </si>
  <si>
    <t>M-C-2356</t>
  </si>
  <si>
    <t>J-0242</t>
  </si>
  <si>
    <t>Euglossa imperialis</t>
  </si>
  <si>
    <t>B1115</t>
  </si>
  <si>
    <t>B1165</t>
  </si>
  <si>
    <t>B1166</t>
  </si>
  <si>
    <t>B1167</t>
  </si>
  <si>
    <t>B1168</t>
  </si>
  <si>
    <t>B1170</t>
  </si>
  <si>
    <t>B1171</t>
  </si>
  <si>
    <t>M-0016</t>
  </si>
  <si>
    <t>M-0017</t>
  </si>
  <si>
    <t>M-0018</t>
  </si>
  <si>
    <t>M-0080</t>
  </si>
  <si>
    <t>M-0549</t>
  </si>
  <si>
    <t>M-1095</t>
  </si>
  <si>
    <t>M-1583</t>
  </si>
  <si>
    <t>M-1585</t>
  </si>
  <si>
    <t>M-1586</t>
  </si>
  <si>
    <t>M-1587</t>
  </si>
  <si>
    <t>M-1660</t>
  </si>
  <si>
    <t>M-1747</t>
  </si>
  <si>
    <t>M-1881</t>
  </si>
  <si>
    <t>J-0122</t>
  </si>
  <si>
    <t>J-0123</t>
  </si>
  <si>
    <t>J-1336</t>
  </si>
  <si>
    <t>J-1337</t>
  </si>
  <si>
    <t>J-1338</t>
  </si>
  <si>
    <t>J-1339</t>
  </si>
  <si>
    <t>J-1340</t>
  </si>
  <si>
    <t>J-1341</t>
  </si>
  <si>
    <t>J-1342</t>
  </si>
  <si>
    <t>J-1864</t>
  </si>
  <si>
    <t>Euglossa laevicincta</t>
  </si>
  <si>
    <t>B1162</t>
  </si>
  <si>
    <t>B1353</t>
  </si>
  <si>
    <t>B1354</t>
  </si>
  <si>
    <t>B1355</t>
  </si>
  <si>
    <t>B1356</t>
  </si>
  <si>
    <t>J-0097</t>
  </si>
  <si>
    <t>J-0100</t>
  </si>
  <si>
    <t>J-0101</t>
  </si>
  <si>
    <t>J-0104</t>
  </si>
  <si>
    <t>J-0124</t>
  </si>
  <si>
    <t>J-0125</t>
  </si>
  <si>
    <t>J-0126</t>
  </si>
  <si>
    <t>J-0229</t>
  </si>
  <si>
    <t>J-0232</t>
  </si>
  <si>
    <t>J-0233</t>
  </si>
  <si>
    <t>J-0234</t>
  </si>
  <si>
    <t>J-1029</t>
  </si>
  <si>
    <t>J-1166</t>
  </si>
  <si>
    <t>J-1382a</t>
  </si>
  <si>
    <t>J-1673</t>
  </si>
  <si>
    <t>J-1711</t>
  </si>
  <si>
    <t>J-1811</t>
  </si>
  <si>
    <t>M-0021</t>
  </si>
  <si>
    <t>M-0023</t>
  </si>
  <si>
    <t>M-0024</t>
  </si>
  <si>
    <t>M-0101</t>
  </si>
  <si>
    <t>M-1027</t>
  </si>
  <si>
    <t>M-C-2250</t>
  </si>
  <si>
    <t>J-0235</t>
  </si>
  <si>
    <t>J-0236</t>
  </si>
  <si>
    <t>Euglossa mixta</t>
  </si>
  <si>
    <t>B1105</t>
  </si>
  <si>
    <t>B1106</t>
  </si>
  <si>
    <t>B1107</t>
  </si>
  <si>
    <t>B1108</t>
  </si>
  <si>
    <t>B1110</t>
  </si>
  <si>
    <t>B1111</t>
  </si>
  <si>
    <t>B1112</t>
  </si>
  <si>
    <t>B1258</t>
  </si>
  <si>
    <t>B1259</t>
  </si>
  <si>
    <t>B1260</t>
  </si>
  <si>
    <t>B1261</t>
  </si>
  <si>
    <t>J-0144</t>
  </si>
  <si>
    <t>J-0516a</t>
  </si>
  <si>
    <t>M-0040</t>
  </si>
  <si>
    <t>M-0076</t>
  </si>
  <si>
    <t>M-0403</t>
  </si>
  <si>
    <t>M-0446</t>
  </si>
  <si>
    <t>M-0754</t>
  </si>
  <si>
    <t>J-0128</t>
  </si>
  <si>
    <t>J-0129</t>
  </si>
  <si>
    <t>J-0130</t>
  </si>
  <si>
    <t>J-0145</t>
  </si>
  <si>
    <t>J-0146</t>
  </si>
  <si>
    <t>J-0251</t>
  </si>
  <si>
    <t>J-0259</t>
  </si>
  <si>
    <t>J-0260</t>
  </si>
  <si>
    <t>Euglossa nigropilosa</t>
  </si>
  <si>
    <t>M-0756</t>
  </si>
  <si>
    <t>Euglossa nr asarophora</t>
  </si>
  <si>
    <t>J-0419b</t>
  </si>
  <si>
    <t>M-0739</t>
  </si>
  <si>
    <t>Euglossa nr crassipunctata</t>
  </si>
  <si>
    <t>M-2094</t>
  </si>
  <si>
    <t>Euglossa nr gibossa</t>
  </si>
  <si>
    <t>M-1270</t>
  </si>
  <si>
    <t>M-C-2212</t>
  </si>
  <si>
    <t>Euglossa retroviridis</t>
  </si>
  <si>
    <t>B1109</t>
  </si>
  <si>
    <t>M-C-2037</t>
  </si>
  <si>
    <t>Euglossa stilbonata</t>
  </si>
  <si>
    <t>M-0966</t>
  </si>
  <si>
    <t>Euglossa townsendi</t>
  </si>
  <si>
    <t>B1117</t>
  </si>
  <si>
    <t>J-0116</t>
  </si>
  <si>
    <t>J-0201</t>
  </si>
  <si>
    <t>J-0224</t>
  </si>
  <si>
    <t>J-0340</t>
  </si>
  <si>
    <t>J-0345</t>
  </si>
  <si>
    <t>J-0516b</t>
  </si>
  <si>
    <t>J-0805</t>
  </si>
  <si>
    <t>J-0832</t>
  </si>
  <si>
    <t>J-0857</t>
  </si>
  <si>
    <t>J-0945</t>
  </si>
  <si>
    <t>J-1095</t>
  </si>
  <si>
    <t>J-1133</t>
  </si>
  <si>
    <t>J-1172</t>
  </si>
  <si>
    <t>J-1900</t>
  </si>
  <si>
    <t>M-0421</t>
  </si>
  <si>
    <t>M-0956</t>
  </si>
  <si>
    <t>M-1246</t>
  </si>
  <si>
    <t>Euglossa tridentata</t>
  </si>
  <si>
    <t>B1128</t>
  </si>
  <si>
    <t>B1131</t>
  </si>
  <si>
    <t>B1132</t>
  </si>
  <si>
    <t>B1133</t>
  </si>
  <si>
    <t>B1134</t>
  </si>
  <si>
    <t>B1161</t>
  </si>
  <si>
    <t>J-0598</t>
  </si>
  <si>
    <t>M-0046</t>
  </si>
  <si>
    <t>M-0047</t>
  </si>
  <si>
    <t>M-0048</t>
  </si>
  <si>
    <t>M-0086</t>
  </si>
  <si>
    <t>M-0087</t>
  </si>
  <si>
    <t>M-0088</t>
  </si>
  <si>
    <t>M-0090</t>
  </si>
  <si>
    <t>M-0100</t>
  </si>
  <si>
    <t>M-0109</t>
  </si>
  <si>
    <t>M-0133</t>
  </si>
  <si>
    <t>M-0134</t>
  </si>
  <si>
    <t>M-0138</t>
  </si>
  <si>
    <t>M-0252</t>
  </si>
  <si>
    <t>M-0281</t>
  </si>
  <si>
    <t>M-0283</t>
  </si>
  <si>
    <t>M-0284</t>
  </si>
  <si>
    <t>M-0285</t>
  </si>
  <si>
    <t>M-0301</t>
  </si>
  <si>
    <t>M-0309</t>
  </si>
  <si>
    <t>M-0371</t>
  </si>
  <si>
    <t>M-1037</t>
  </si>
  <si>
    <t>J-0356</t>
  </si>
  <si>
    <t>J-0357</t>
  </si>
  <si>
    <t>J-0400</t>
  </si>
  <si>
    <t>J-0401</t>
  </si>
  <si>
    <t>J-0402</t>
  </si>
  <si>
    <t>J-0586</t>
  </si>
  <si>
    <t>J-0831</t>
  </si>
  <si>
    <t>J-0882</t>
  </si>
  <si>
    <t>J-1291</t>
  </si>
  <si>
    <t>J-1674</t>
  </si>
  <si>
    <t>Euglossa trinotata</t>
  </si>
  <si>
    <t>B1301</t>
  </si>
  <si>
    <t>J-0605</t>
  </si>
  <si>
    <t>J-1196</t>
  </si>
  <si>
    <t>J-1204</t>
  </si>
  <si>
    <t>J-1205</t>
  </si>
  <si>
    <t>J-1206</t>
  </si>
  <si>
    <t>J-1207</t>
  </si>
  <si>
    <t>J-1220</t>
  </si>
  <si>
    <t>J-1221</t>
  </si>
  <si>
    <t>J-1227</t>
  </si>
  <si>
    <t>J-1228</t>
  </si>
  <si>
    <t>J-1229</t>
  </si>
  <si>
    <t>J-1230</t>
  </si>
  <si>
    <t>J-1247</t>
  </si>
  <si>
    <t>J-1248</t>
  </si>
  <si>
    <t>M-0967</t>
  </si>
  <si>
    <t>M-0968</t>
  </si>
  <si>
    <t>Euglossa turbinifex</t>
  </si>
  <si>
    <t>B1125</t>
  </si>
  <si>
    <t>B1126</t>
  </si>
  <si>
    <t>B1127</t>
  </si>
  <si>
    <t>B1327</t>
  </si>
  <si>
    <t>J-0283</t>
  </si>
  <si>
    <t>J-0315</t>
  </si>
  <si>
    <t>J-0367</t>
  </si>
  <si>
    <t>J-0468</t>
  </si>
  <si>
    <t>J-0532</t>
  </si>
  <si>
    <t>J-0846</t>
  </si>
  <si>
    <t>J-0923</t>
  </si>
  <si>
    <t>J-1184</t>
  </si>
  <si>
    <t>J-1240</t>
  </si>
  <si>
    <t>J-1382b</t>
  </si>
  <si>
    <t>J-1614</t>
  </si>
  <si>
    <t>M-0205</t>
  </si>
  <si>
    <t>M-0319</t>
  </si>
  <si>
    <t>M-0320</t>
  </si>
  <si>
    <t>M-0518</t>
  </si>
  <si>
    <t>M-1042</t>
  </si>
  <si>
    <t>M-1575</t>
  </si>
  <si>
    <t>M-C-2049</t>
  </si>
  <si>
    <t>J-0241</t>
  </si>
  <si>
    <t>J-0243</t>
  </si>
  <si>
    <t>Euglossa variabilis</t>
  </si>
  <si>
    <t>J-0022</t>
  </si>
  <si>
    <t>J-0047</t>
  </si>
  <si>
    <t>J-0067</t>
  </si>
  <si>
    <t>J-0074</t>
  </si>
  <si>
    <t>J-0179</t>
  </si>
  <si>
    <t>J-0230</t>
  </si>
  <si>
    <t>J-0231</t>
  </si>
  <si>
    <t>J-0888</t>
  </si>
  <si>
    <t>J-0889</t>
  </si>
  <si>
    <t>J-1164</t>
  </si>
  <si>
    <t>J-1189</t>
  </si>
  <si>
    <t>J-1514</t>
  </si>
  <si>
    <t>J-1617</t>
  </si>
  <si>
    <t>M-0074</t>
  </si>
  <si>
    <t>M-0112</t>
  </si>
  <si>
    <t>M-0113</t>
  </si>
  <si>
    <t>M-1272</t>
  </si>
  <si>
    <t>Euglossa villosiventris</t>
  </si>
  <si>
    <t>J-0420</t>
  </si>
  <si>
    <t>M-0626</t>
  </si>
  <si>
    <t>M-0948</t>
  </si>
  <si>
    <t>M-2404</t>
  </si>
  <si>
    <t>M-2405</t>
  </si>
  <si>
    <t>M-C-2254</t>
  </si>
  <si>
    <t>Eulaema bombiformis</t>
  </si>
  <si>
    <t>B1153</t>
  </si>
  <si>
    <t>B1154</t>
  </si>
  <si>
    <t>B1155</t>
  </si>
  <si>
    <t>B1156</t>
  </si>
  <si>
    <t>J-0252</t>
  </si>
  <si>
    <t>J-0435</t>
  </si>
  <si>
    <t>J-1154</t>
  </si>
  <si>
    <t>J-1626</t>
  </si>
  <si>
    <t>M-0001</t>
  </si>
  <si>
    <t>M-0002</t>
  </si>
  <si>
    <t>M-0082</t>
  </si>
  <si>
    <t>M-0498</t>
  </si>
  <si>
    <t>M-0644</t>
  </si>
  <si>
    <t>M-0645</t>
  </si>
  <si>
    <t>M-0986</t>
  </si>
  <si>
    <t>M-0987</t>
  </si>
  <si>
    <t>M-0988</t>
  </si>
  <si>
    <t>M-0989</t>
  </si>
  <si>
    <t>Eulaema chocoana</t>
  </si>
  <si>
    <t>M-0327</t>
  </si>
  <si>
    <t>M-0328</t>
  </si>
  <si>
    <t>M-0578</t>
  </si>
  <si>
    <t>M-0579</t>
  </si>
  <si>
    <t>M-0580</t>
  </si>
  <si>
    <t>M-0581</t>
  </si>
  <si>
    <t>M-0661</t>
  </si>
  <si>
    <t>M-0984</t>
  </si>
  <si>
    <t>M-1329</t>
  </si>
  <si>
    <t>M-1330</t>
  </si>
  <si>
    <t>Eulaema cingulata</t>
  </si>
  <si>
    <t>B1092</t>
  </si>
  <si>
    <t>B1093</t>
  </si>
  <si>
    <t>B1094</t>
  </si>
  <si>
    <t>B1157</t>
  </si>
  <si>
    <t>B1158</t>
  </si>
  <si>
    <t>J-0136</t>
  </si>
  <si>
    <t>M-0039</t>
  </si>
  <si>
    <t>M-0061</t>
  </si>
  <si>
    <t>M-0108</t>
  </si>
  <si>
    <t>M-0150</t>
  </si>
  <si>
    <t>M-0172</t>
  </si>
  <si>
    <t>M-0173</t>
  </si>
  <si>
    <t>M-0466</t>
  </si>
  <si>
    <t>M-0491</t>
  </si>
  <si>
    <t>M-0492</t>
  </si>
  <si>
    <t>M-0814</t>
  </si>
  <si>
    <t>J-1427</t>
  </si>
  <si>
    <t>J-1428</t>
  </si>
  <si>
    <t>J-1909</t>
  </si>
  <si>
    <t>J-1910</t>
  </si>
  <si>
    <t>J-1911</t>
  </si>
  <si>
    <t>J-1912</t>
  </si>
  <si>
    <t>J-1913</t>
  </si>
  <si>
    <t>J-1914</t>
  </si>
  <si>
    <t>J-1915</t>
  </si>
  <si>
    <t>Eulaema flavescens</t>
  </si>
  <si>
    <t>M-0796</t>
  </si>
  <si>
    <t>M-1152</t>
  </si>
  <si>
    <t>M-1693</t>
  </si>
  <si>
    <t>Eulaema leucopyga</t>
  </si>
  <si>
    <t>M-0797</t>
  </si>
  <si>
    <t>M-1454</t>
  </si>
  <si>
    <t>Eulaema meriana</t>
  </si>
  <si>
    <t>B1095</t>
  </si>
  <si>
    <t>B1096</t>
  </si>
  <si>
    <t>B1097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</si>
  <si>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</si>
  <si>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</si>
  <si>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</si>
  <si>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</si>
  <si>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</si>
  <si>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</si>
  <si>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</si>
  <si>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</si>
  <si>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M-0003</t>
  </si>
  <si>
    <t>M-0004</t>
  </si>
  <si>
    <t>M-0005</t>
  </si>
  <si>
    <t>M-0006</t>
  </si>
  <si>
    <t>M-0007</t>
  </si>
  <si>
    <t>M-0008</t>
  </si>
  <si>
    <t>M-0009</t>
  </si>
  <si>
    <t>M-0010</t>
  </si>
  <si>
    <t>M-0011</t>
  </si>
  <si>
    <t>M-0012</t>
  </si>
  <si>
    <t>M-0013</t>
  </si>
  <si>
    <t>M-0014</t>
  </si>
  <si>
    <t>M-0083</t>
  </si>
  <si>
    <t>M-0126</t>
  </si>
  <si>
    <t>M-0149</t>
  </si>
  <si>
    <t>M-0449</t>
  </si>
  <si>
    <t>M-0574</t>
  </si>
  <si>
    <t>M-0575</t>
  </si>
  <si>
    <t>M-0576</t>
  </si>
  <si>
    <t>M-0713</t>
  </si>
  <si>
    <t>M-1432</t>
  </si>
  <si>
    <t>M-1433</t>
  </si>
  <si>
    <t>M-1434</t>
  </si>
  <si>
    <t>M-1445</t>
  </si>
  <si>
    <t>M-2079</t>
  </si>
  <si>
    <t>J-0135</t>
  </si>
  <si>
    <t>J-0139</t>
  </si>
  <si>
    <t>J-0208</t>
  </si>
  <si>
    <t>J-0331</t>
  </si>
  <si>
    <t>J-0332</t>
  </si>
  <si>
    <t>J-0333</t>
  </si>
  <si>
    <t>J-1028</t>
  </si>
  <si>
    <t>J-1307</t>
  </si>
  <si>
    <t>J-1308</t>
  </si>
  <si>
    <t>J-1309</t>
  </si>
  <si>
    <t>Eulaema sororia</t>
  </si>
  <si>
    <t>J-0416</t>
  </si>
  <si>
    <t>Exaerete smaragdina</t>
  </si>
  <si>
    <t>M-0038</t>
  </si>
  <si>
    <t>M-0081</t>
  </si>
  <si>
    <t>M-0189</t>
  </si>
  <si>
    <t>M-0206</t>
  </si>
  <si>
    <t>M-0234</t>
  </si>
  <si>
    <t>M-0235</t>
  </si>
  <si>
    <t>M-0236</t>
  </si>
  <si>
    <t>M-0237</t>
  </si>
  <si>
    <t>M-0238</t>
  </si>
  <si>
    <t>M-0239</t>
  </si>
  <si>
    <t>M-0240</t>
  </si>
  <si>
    <t>M-0241</t>
  </si>
  <si>
    <t>M-0358</t>
  </si>
  <si>
    <t>M-0434</t>
  </si>
  <si>
    <t>M-0450</t>
  </si>
  <si>
    <t>M-0451</t>
  </si>
  <si>
    <t>M-0499</t>
  </si>
  <si>
    <t>M-0500</t>
  </si>
  <si>
    <t>M-0501</t>
  </si>
  <si>
    <t>M-0646</t>
  </si>
  <si>
    <t>M-0647</t>
  </si>
  <si>
    <t>M-0684</t>
  </si>
  <si>
    <t>M-0685</t>
  </si>
  <si>
    <t>M-0686</t>
  </si>
  <si>
    <t>M-0981</t>
  </si>
  <si>
    <t>M-1155</t>
  </si>
  <si>
    <t>M-1295</t>
  </si>
  <si>
    <t>M-1297</t>
  </si>
  <si>
    <t>M-1426</t>
  </si>
  <si>
    <t>M-1427</t>
  </si>
  <si>
    <t>M-1428</t>
  </si>
  <si>
    <t>M-1429</t>
  </si>
  <si>
    <t>M-1430</t>
  </si>
  <si>
    <t>M-1431</t>
  </si>
  <si>
    <t>M-1461</t>
  </si>
  <si>
    <t>M-1879</t>
  </si>
  <si>
    <t>J-0132</t>
  </si>
  <si>
    <t>J-0133</t>
  </si>
  <si>
    <t>J-0134</t>
  </si>
  <si>
    <t>J-0255</t>
  </si>
  <si>
    <t>J-0256</t>
  </si>
  <si>
    <t>J-1424</t>
  </si>
  <si>
    <t>J-1888</t>
  </si>
  <si>
    <t>J-1889</t>
  </si>
  <si>
    <t>J-1890</t>
  </si>
  <si>
    <t>J-1891</t>
  </si>
  <si>
    <t>Hylaeus sp</t>
  </si>
  <si>
    <t>K-0925</t>
  </si>
  <si>
    <t>Megachilidae</t>
  </si>
  <si>
    <t>Hypanthidioides sp</t>
  </si>
  <si>
    <t>B1403</t>
  </si>
  <si>
    <t>Megachile cf amparo</t>
  </si>
  <si>
    <t>B9736</t>
  </si>
  <si>
    <t>Megachile sp1</t>
  </si>
  <si>
    <t>K-0631</t>
  </si>
  <si>
    <t>Megachile sp2</t>
  </si>
  <si>
    <t>K-1697</t>
  </si>
  <si>
    <t>Halictidae (Megalopta)</t>
  </si>
  <si>
    <t>Megalopta amoena</t>
  </si>
  <si>
    <t>B0036</t>
  </si>
  <si>
    <t>B0037</t>
  </si>
  <si>
    <t>B0038</t>
  </si>
  <si>
    <t>B0542</t>
  </si>
  <si>
    <t>B0543</t>
  </si>
  <si>
    <t>B9914</t>
  </si>
  <si>
    <t>Megalopta genalis gr</t>
  </si>
  <si>
    <t>A-0573</t>
  </si>
  <si>
    <t>B0001</t>
  </si>
  <si>
    <t>B0138</t>
  </si>
  <si>
    <t>B0145</t>
  </si>
  <si>
    <t>B0164</t>
  </si>
  <si>
    <t>B0170</t>
  </si>
  <si>
    <t>B0171</t>
  </si>
  <si>
    <t>B0245</t>
  </si>
  <si>
    <t>B0248</t>
  </si>
  <si>
    <t>B0279</t>
  </si>
  <si>
    <t>B0472</t>
  </si>
  <si>
    <t>B0629</t>
  </si>
  <si>
    <t>B0640</t>
  </si>
  <si>
    <t>B0743</t>
  </si>
  <si>
    <t>B0926</t>
  </si>
  <si>
    <t>B0927</t>
  </si>
  <si>
    <t>B0928</t>
  </si>
  <si>
    <t>B0929</t>
  </si>
  <si>
    <t>B0932</t>
  </si>
  <si>
    <t>B0964</t>
  </si>
  <si>
    <t>B0965</t>
  </si>
  <si>
    <t>B10015</t>
  </si>
  <si>
    <t>B10016</t>
  </si>
  <si>
    <t>B10017</t>
  </si>
  <si>
    <t>B10018</t>
  </si>
  <si>
    <t>B10019</t>
  </si>
  <si>
    <t>B9901</t>
  </si>
  <si>
    <t>B9902</t>
  </si>
  <si>
    <t>B9903</t>
  </si>
  <si>
    <t>Melipona (Melikeirra) sp</t>
  </si>
  <si>
    <t>K-0434</t>
  </si>
  <si>
    <t>Melipona (Michmelia) solani</t>
  </si>
  <si>
    <t>K-0046</t>
  </si>
  <si>
    <t>K-0047</t>
  </si>
  <si>
    <t>K-0059</t>
  </si>
  <si>
    <t>K-1504</t>
  </si>
  <si>
    <t>K-1505</t>
  </si>
  <si>
    <t>K-2065</t>
  </si>
  <si>
    <t>K-0006</t>
  </si>
  <si>
    <t>K-0007</t>
  </si>
  <si>
    <t>K-0031</t>
  </si>
  <si>
    <t>K-0032</t>
  </si>
  <si>
    <t>K-0033</t>
  </si>
  <si>
    <t>Nannotrigona mellaria</t>
  </si>
  <si>
    <t>K-0178</t>
  </si>
  <si>
    <t>K-0865</t>
  </si>
  <si>
    <t>K-0870</t>
  </si>
  <si>
    <t>K-2009</t>
  </si>
  <si>
    <t>A-0248</t>
  </si>
  <si>
    <t>K-0176</t>
  </si>
  <si>
    <t>K-0177</t>
  </si>
  <si>
    <t>Nannotrigona tristella</t>
  </si>
  <si>
    <t>K-0313</t>
  </si>
  <si>
    <t>K-0314</t>
  </si>
  <si>
    <t>K-0315</t>
  </si>
  <si>
    <t>K-0316</t>
  </si>
  <si>
    <t>K-0317</t>
  </si>
  <si>
    <t>K-0318</t>
  </si>
  <si>
    <t>K-0319</t>
  </si>
  <si>
    <t>K-0320</t>
  </si>
  <si>
    <t>K-0321</t>
  </si>
  <si>
    <t>K-0322</t>
  </si>
  <si>
    <t>K-2007</t>
  </si>
  <si>
    <t>A-0722</t>
  </si>
  <si>
    <t>K-0175</t>
  </si>
  <si>
    <t>K-0862</t>
  </si>
  <si>
    <t>Neocorynura sp1</t>
  </si>
  <si>
    <t>K-1659</t>
  </si>
  <si>
    <t>Neocorynura sp2</t>
  </si>
  <si>
    <t>D-2419</t>
  </si>
  <si>
    <t>Neocorynura sp3</t>
  </si>
  <si>
    <t>D-2420</t>
  </si>
  <si>
    <t>Nogueirapis mirandula</t>
  </si>
  <si>
    <t>K-0358</t>
  </si>
  <si>
    <t>K-0359</t>
  </si>
  <si>
    <t>K-0360</t>
  </si>
  <si>
    <t>K-0361</t>
  </si>
  <si>
    <t>K-0362</t>
  </si>
  <si>
    <t>K-0363</t>
  </si>
  <si>
    <t>K-0364</t>
  </si>
  <si>
    <t>K-0365</t>
  </si>
  <si>
    <t>K-0366</t>
  </si>
  <si>
    <t>K-0367</t>
  </si>
  <si>
    <t>A-0344</t>
  </si>
  <si>
    <t>A-0345</t>
  </si>
  <si>
    <t>A-0346</t>
  </si>
  <si>
    <t>Osirini</t>
  </si>
  <si>
    <t>Osiris panamensis</t>
  </si>
  <si>
    <t>K-2204</t>
  </si>
  <si>
    <t>Oxytrigona isthmina</t>
  </si>
  <si>
    <t>D-0181</t>
  </si>
  <si>
    <t>D-0182</t>
  </si>
  <si>
    <t>K-0972</t>
  </si>
  <si>
    <t>K-0973</t>
  </si>
  <si>
    <t>K-1330</t>
  </si>
  <si>
    <t>K-1724</t>
  </si>
  <si>
    <t>K-1770</t>
  </si>
  <si>
    <t>K-0971</t>
  </si>
  <si>
    <t>K-0978</t>
  </si>
  <si>
    <t>K-0979</t>
  </si>
  <si>
    <t>Oxytrigona obscura</t>
  </si>
  <si>
    <t>K-2011</t>
  </si>
  <si>
    <t>Tapinotaspidini</t>
  </si>
  <si>
    <t>Paratetrapedia chocoensis</t>
  </si>
  <si>
    <t>K-0293</t>
  </si>
  <si>
    <t>K-0309</t>
  </si>
  <si>
    <t>Paratetrapedia sp</t>
  </si>
  <si>
    <t>D-1733</t>
  </si>
  <si>
    <t>K-1636</t>
  </si>
  <si>
    <t>K-1976</t>
  </si>
  <si>
    <t>Paratrigona lophocoryphe</t>
  </si>
  <si>
    <t>K-0772</t>
  </si>
  <si>
    <t>K-0921</t>
  </si>
  <si>
    <t>K-0922</t>
  </si>
  <si>
    <t>K-1789</t>
  </si>
  <si>
    <t>K-0259</t>
  </si>
  <si>
    <t>K-0260</t>
  </si>
  <si>
    <t>K-0427</t>
  </si>
  <si>
    <t>Paratrigona opaca</t>
  </si>
  <si>
    <t>K-0464</t>
  </si>
  <si>
    <t>K-1503</t>
  </si>
  <si>
    <t>K-1580</t>
  </si>
  <si>
    <t>K-2098</t>
  </si>
  <si>
    <t>K-0182</t>
  </si>
  <si>
    <t>K-0255</t>
  </si>
  <si>
    <t>K-0256</t>
  </si>
  <si>
    <t>Partamona aequatoriana</t>
  </si>
  <si>
    <t>A-0425</t>
  </si>
  <si>
    <t>K-0642</t>
  </si>
  <si>
    <t>K-0643</t>
  </si>
  <si>
    <t>K-0644</t>
  </si>
  <si>
    <t>K-0645</t>
  </si>
  <si>
    <t>K-0646</t>
  </si>
  <si>
    <t>K-0647</t>
  </si>
  <si>
    <t>K-0648</t>
  </si>
  <si>
    <t>K-0649</t>
  </si>
  <si>
    <t>K-0650</t>
  </si>
  <si>
    <t>A-0352</t>
  </si>
  <si>
    <t>A-0420</t>
  </si>
  <si>
    <t>A-0421</t>
  </si>
  <si>
    <t>K-0008</t>
  </si>
  <si>
    <t>K-0009</t>
  </si>
  <si>
    <t>K-0011</t>
  </si>
  <si>
    <t>K-0035</t>
  </si>
  <si>
    <t>K-0052</t>
  </si>
  <si>
    <t>K-0292</t>
  </si>
  <si>
    <t>K-0419</t>
  </si>
  <si>
    <t>Partamona nr peckolti</t>
  </si>
  <si>
    <t>A-0027</t>
  </si>
  <si>
    <t>A-0029</t>
  </si>
  <si>
    <t>A-0032</t>
  </si>
  <si>
    <t>A-0033</t>
  </si>
  <si>
    <t>A-0436</t>
  </si>
  <si>
    <t>A-0437</t>
  </si>
  <si>
    <t>A-0438</t>
  </si>
  <si>
    <t>A-0439</t>
  </si>
  <si>
    <t>A-0462</t>
  </si>
  <si>
    <t>A-0723</t>
  </si>
  <si>
    <t>A-0020</t>
  </si>
  <si>
    <t>A-0023</t>
  </si>
  <si>
    <t>A-0024</t>
  </si>
  <si>
    <t>A-0067</t>
  </si>
  <si>
    <t>A-0483</t>
  </si>
  <si>
    <t>A-1422</t>
  </si>
  <si>
    <t>A-1439</t>
  </si>
  <si>
    <t>K-0044</t>
  </si>
  <si>
    <t>K-0069</t>
  </si>
  <si>
    <t>K-0168</t>
  </si>
  <si>
    <t>Partamona sp</t>
  </si>
  <si>
    <t>K-0274</t>
  </si>
  <si>
    <t>K-0275</t>
  </si>
  <si>
    <t>K-0277</t>
  </si>
  <si>
    <t>K-0278</t>
  </si>
  <si>
    <t>K-0279</t>
  </si>
  <si>
    <t>K-0280</t>
  </si>
  <si>
    <t>K-0281</t>
  </si>
  <si>
    <t>K-0388</t>
  </si>
  <si>
    <t>K-0430</t>
  </si>
  <si>
    <t>K-0431</t>
  </si>
  <si>
    <t>K-0271</t>
  </si>
  <si>
    <t>K-0272</t>
  </si>
  <si>
    <t>K-0273</t>
  </si>
  <si>
    <t>K-2227</t>
  </si>
  <si>
    <t>Plebeia (Nanoplebeia) cf asthenes</t>
  </si>
  <si>
    <t>B0005</t>
  </si>
  <si>
    <t>B0006</t>
  </si>
  <si>
    <t>B0016</t>
  </si>
  <si>
    <t>B0231</t>
  </si>
  <si>
    <t>B0971</t>
  </si>
  <si>
    <t>Plebeia (Nanoplebeia) minima</t>
  </si>
  <si>
    <t>K-1430</t>
  </si>
  <si>
    <t>K-1755</t>
  </si>
  <si>
    <t>K-0180</t>
  </si>
  <si>
    <t>K-1366</t>
  </si>
  <si>
    <t>Plebeia (Nanoplebeia) sp</t>
  </si>
  <si>
    <t>K-0856</t>
  </si>
  <si>
    <t>K-0855</t>
  </si>
  <si>
    <t>Plebeia frontalis</t>
  </si>
  <si>
    <t>K-0241</t>
  </si>
  <si>
    <t>K-0243</t>
  </si>
  <si>
    <t>K-0378</t>
  </si>
  <si>
    <t>K-0379</t>
  </si>
  <si>
    <t>K-0380</t>
  </si>
  <si>
    <t>K-0381</t>
  </si>
  <si>
    <t>K-0382</t>
  </si>
  <si>
    <t>K-0383</t>
  </si>
  <si>
    <t>K-0384</t>
  </si>
  <si>
    <t>K-0385</t>
  </si>
  <si>
    <t>K-0029</t>
  </si>
  <si>
    <t>K-0042</t>
  </si>
  <si>
    <t>K-0867</t>
  </si>
  <si>
    <t>Plebeia sp</t>
  </si>
  <si>
    <t>A-0771</t>
  </si>
  <si>
    <t>A-0772</t>
  </si>
  <si>
    <t>A-0773</t>
  </si>
  <si>
    <t>A-0774</t>
  </si>
  <si>
    <t>A-0775</t>
  </si>
  <si>
    <t>A-0776</t>
  </si>
  <si>
    <t>A-0777</t>
  </si>
  <si>
    <t>A-0778</t>
  </si>
  <si>
    <t>A-0779</t>
  </si>
  <si>
    <t>A-0780</t>
  </si>
  <si>
    <t>K-0810</t>
  </si>
  <si>
    <t>K-0857</t>
  </si>
  <si>
    <t>K-0858</t>
  </si>
  <si>
    <t>K-0914</t>
  </si>
  <si>
    <t>K-0915</t>
  </si>
  <si>
    <t>K-0924</t>
  </si>
  <si>
    <t>K-0982</t>
  </si>
  <si>
    <t>K-1035</t>
  </si>
  <si>
    <t>K-1502</t>
  </si>
  <si>
    <t>K-1786</t>
  </si>
  <si>
    <t>K-1803</t>
  </si>
  <si>
    <t>K-2106</t>
  </si>
  <si>
    <t>K-2302</t>
  </si>
  <si>
    <t>K-2303</t>
  </si>
  <si>
    <t>K-2304</t>
  </si>
  <si>
    <t>K-2305</t>
  </si>
  <si>
    <t>K-2306</t>
  </si>
  <si>
    <t>K-2307</t>
  </si>
  <si>
    <t>K-2308</t>
  </si>
  <si>
    <t>K-2309</t>
  </si>
  <si>
    <t>K-2310</t>
  </si>
  <si>
    <t>K-0065</t>
  </si>
  <si>
    <t>K-0215</t>
  </si>
  <si>
    <t>K-0216</t>
  </si>
  <si>
    <t>K-0377</t>
  </si>
  <si>
    <t>K-0710</t>
  </si>
  <si>
    <t>K-0811</t>
  </si>
  <si>
    <t>Colletidae</t>
  </si>
  <si>
    <t>Ptiloglossa costaricana</t>
  </si>
  <si>
    <t>B0258</t>
  </si>
  <si>
    <t>B9801</t>
  </si>
  <si>
    <t>Ptiloglossa trichrootricha</t>
  </si>
  <si>
    <t>B0474</t>
  </si>
  <si>
    <t>B0475</t>
  </si>
  <si>
    <t>B0974</t>
  </si>
  <si>
    <t>Ptilotrigona occidentalis</t>
  </si>
  <si>
    <t>K-2030</t>
  </si>
  <si>
    <t>K-2082</t>
  </si>
  <si>
    <t>K-2248</t>
  </si>
  <si>
    <t>K-0073</t>
  </si>
  <si>
    <t>K-0436</t>
  </si>
  <si>
    <t>K-0452</t>
  </si>
  <si>
    <t>Scaptotrigona (Gymnotrigona) sp</t>
  </si>
  <si>
    <t>A-1479</t>
  </si>
  <si>
    <t>K-0296</t>
  </si>
  <si>
    <t>K-0749</t>
  </si>
  <si>
    <t>K-0750</t>
  </si>
  <si>
    <t>K-1069</t>
  </si>
  <si>
    <t>K-1070</t>
  </si>
  <si>
    <t>K-1071</t>
  </si>
  <si>
    <t>K-1072</t>
  </si>
  <si>
    <t>K-1073</t>
  </si>
  <si>
    <t>K-1074</t>
  </si>
  <si>
    <t>Scaptotrigona (Scaptotrigona) sp</t>
  </si>
  <si>
    <t>K-1517</t>
  </si>
  <si>
    <t>K-1518</t>
  </si>
  <si>
    <t>K-1519</t>
  </si>
  <si>
    <t>K-1520</t>
  </si>
  <si>
    <t>K-1521</t>
  </si>
  <si>
    <t>K-1522</t>
  </si>
  <si>
    <t>K-1523</t>
  </si>
  <si>
    <t>K-1524</t>
  </si>
  <si>
    <t>K-1525</t>
  </si>
  <si>
    <t>K-1526</t>
  </si>
  <si>
    <t>K-1421</t>
  </si>
  <si>
    <t>Scaptotrigona luteipennis</t>
  </si>
  <si>
    <t>K-0428</t>
  </si>
  <si>
    <t>K-0429</t>
  </si>
  <si>
    <t>K-0469</t>
  </si>
  <si>
    <t>K-0470</t>
  </si>
  <si>
    <t>K-1624</t>
  </si>
  <si>
    <t>K-1625</t>
  </si>
  <si>
    <t>K-1626</t>
  </si>
  <si>
    <t>K-1627</t>
  </si>
  <si>
    <t>K-1628</t>
  </si>
  <si>
    <t>K-1629</t>
  </si>
  <si>
    <t>Scaptotrigona postica 'group b'</t>
  </si>
  <si>
    <t>K-0866</t>
  </si>
  <si>
    <t>K-1038</t>
  </si>
  <si>
    <t>K-1039</t>
  </si>
  <si>
    <t>K-1313</t>
  </si>
  <si>
    <t>K-1558</t>
  </si>
  <si>
    <t>K-1559</t>
  </si>
  <si>
    <t>K-1560</t>
  </si>
  <si>
    <t>K-1561</t>
  </si>
  <si>
    <t>K-1562</t>
  </si>
  <si>
    <t>K-1563</t>
  </si>
  <si>
    <t>K-1564</t>
  </si>
  <si>
    <t>K-1565</t>
  </si>
  <si>
    <t>K-1649</t>
  </si>
  <si>
    <t>K-1650</t>
  </si>
  <si>
    <t>K-1651</t>
  </si>
  <si>
    <t>K-1652</t>
  </si>
  <si>
    <t>K-1653</t>
  </si>
  <si>
    <t>K-1654</t>
  </si>
  <si>
    <t>K-1655</t>
  </si>
  <si>
    <t>A-0340</t>
  </si>
  <si>
    <t>K-0173</t>
  </si>
  <si>
    <t>K-0174</t>
  </si>
  <si>
    <t>K-0337</t>
  </si>
  <si>
    <t>K-0625</t>
  </si>
  <si>
    <t>K-0843</t>
  </si>
  <si>
    <t>Scaura argyrea</t>
  </si>
  <si>
    <t>A-1487</t>
  </si>
  <si>
    <t>A-1488</t>
  </si>
  <si>
    <t>A-1489</t>
  </si>
  <si>
    <t>A-1490</t>
  </si>
  <si>
    <t>A-1491</t>
  </si>
  <si>
    <t>A-1492</t>
  </si>
  <si>
    <t>A-1493</t>
  </si>
  <si>
    <t>A-1494</t>
  </si>
  <si>
    <t>A-1495</t>
  </si>
  <si>
    <t>A-1496</t>
  </si>
  <si>
    <t>A-1482</t>
  </si>
  <si>
    <t>A-1484</t>
  </si>
  <si>
    <t>Scaura longula</t>
  </si>
  <si>
    <t>K-0110</t>
  </si>
  <si>
    <t>K-0111</t>
  </si>
  <si>
    <t>K-0107</t>
  </si>
  <si>
    <t>K-0109</t>
  </si>
  <si>
    <t>Temnosoma sp1</t>
  </si>
  <si>
    <t>B0857</t>
  </si>
  <si>
    <t>Tetragona perangulata</t>
  </si>
  <si>
    <t>K-0134</t>
  </si>
  <si>
    <t>K-0135</t>
  </si>
  <si>
    <t>K-0136</t>
  </si>
  <si>
    <t>K-0137</t>
  </si>
  <si>
    <t>K-0685</t>
  </si>
  <si>
    <t>K-0686</t>
  </si>
  <si>
    <t>K-0687</t>
  </si>
  <si>
    <t>K-0688</t>
  </si>
  <si>
    <t>K-0689</t>
  </si>
  <si>
    <t>K-0690</t>
  </si>
  <si>
    <t>K-0018</t>
  </si>
  <si>
    <t>K-0075</t>
  </si>
  <si>
    <t>K-0118</t>
  </si>
  <si>
    <t>Tetragona ziegleri</t>
  </si>
  <si>
    <t>K-0693</t>
  </si>
  <si>
    <t>K-0694</t>
  </si>
  <si>
    <t>K-0695</t>
  </si>
  <si>
    <t>K-0696</t>
  </si>
  <si>
    <t>K-0697</t>
  </si>
  <si>
    <t>K-0698</t>
  </si>
  <si>
    <t>K-0757</t>
  </si>
  <si>
    <t>K-0758</t>
  </si>
  <si>
    <t>K-0759</t>
  </si>
  <si>
    <t>K-0760</t>
  </si>
  <si>
    <t>K-0028</t>
  </si>
  <si>
    <t>K-0087</t>
  </si>
  <si>
    <t>K-0768</t>
  </si>
  <si>
    <t>Tetragonisca angustula</t>
  </si>
  <si>
    <t>K-0115</t>
  </si>
  <si>
    <t>K-0116</t>
  </si>
  <si>
    <t>K-0117</t>
  </si>
  <si>
    <t>K-0305</t>
  </si>
  <si>
    <t>K-0654</t>
  </si>
  <si>
    <t>K-0655</t>
  </si>
  <si>
    <t>K-0656</t>
  </si>
  <si>
    <t>K-0657</t>
  </si>
  <si>
    <t>K-1688</t>
  </si>
  <si>
    <t>K-1720</t>
  </si>
  <si>
    <t>K-1721</t>
  </si>
  <si>
    <t>K-0112</t>
  </si>
  <si>
    <t>K-0114</t>
  </si>
  <si>
    <t>K-0653</t>
  </si>
  <si>
    <t>Tetragonisca buchwaldi</t>
  </si>
  <si>
    <t>K-1979</t>
  </si>
  <si>
    <t>A-0564</t>
  </si>
  <si>
    <t>K-0626</t>
  </si>
  <si>
    <t>K-0975</t>
  </si>
  <si>
    <t>Eucerini</t>
  </si>
  <si>
    <t>Thygater cf analis</t>
  </si>
  <si>
    <t>D-1834</t>
  </si>
  <si>
    <t>Trigona (Necrotrigona) hypogea</t>
  </si>
  <si>
    <t>D-0039</t>
  </si>
  <si>
    <t>Trigona (Trigona) sp</t>
  </si>
  <si>
    <t>K-1756</t>
  </si>
  <si>
    <t>Trigona cilipes</t>
  </si>
  <si>
    <t>K-0836</t>
  </si>
  <si>
    <t>D-1014</t>
  </si>
  <si>
    <t>K-0202</t>
  </si>
  <si>
    <t>Trigona corvina</t>
  </si>
  <si>
    <t>K-1738</t>
  </si>
  <si>
    <t>K-1739</t>
  </si>
  <si>
    <t>K-1740</t>
  </si>
  <si>
    <t>K-1741</t>
  </si>
  <si>
    <t>K-1742</t>
  </si>
  <si>
    <t>K-0021</t>
  </si>
  <si>
    <t>K-1743</t>
  </si>
  <si>
    <t>K-1744</t>
  </si>
  <si>
    <t>Trigona ferricauda</t>
  </si>
  <si>
    <t>K-0159</t>
  </si>
  <si>
    <t>K-0160</t>
  </si>
  <si>
    <t>K-0161</t>
  </si>
  <si>
    <t>K-0162</t>
  </si>
  <si>
    <t>K-0245</t>
  </si>
  <si>
    <t>K-0246</t>
  </si>
  <si>
    <t>K-0247</t>
  </si>
  <si>
    <t>K-0248</t>
  </si>
  <si>
    <t>K-0751</t>
  </si>
  <si>
    <t>K-0752</t>
  </si>
  <si>
    <t>A-0291</t>
  </si>
  <si>
    <t>K-0014</t>
  </si>
  <si>
    <t>K-0336</t>
  </si>
  <si>
    <t>Trigona fulviventris</t>
  </si>
  <si>
    <t>K-1334</t>
  </si>
  <si>
    <t>K-2049</t>
  </si>
  <si>
    <t>K-2050</t>
  </si>
  <si>
    <t>K-2051</t>
  </si>
  <si>
    <t>K-2246</t>
  </si>
  <si>
    <t>K-2247</t>
  </si>
  <si>
    <t>K-2298</t>
  </si>
  <si>
    <t>K-2299</t>
  </si>
  <si>
    <t>K-2367</t>
  </si>
  <si>
    <t>K-0020</t>
  </si>
  <si>
    <t>Trigona fuscipennis</t>
  </si>
  <si>
    <t>K-0250</t>
  </si>
  <si>
    <t>K-0880</t>
  </si>
  <si>
    <t>K-0881</t>
  </si>
  <si>
    <t>K-1695</t>
  </si>
  <si>
    <t>K-2061</t>
  </si>
  <si>
    <t>K-2062</t>
  </si>
  <si>
    <t>K-2063</t>
  </si>
  <si>
    <t>K-2104</t>
  </si>
  <si>
    <t>K-2225</t>
  </si>
  <si>
    <t>K-2250</t>
  </si>
  <si>
    <t>K-0945</t>
  </si>
  <si>
    <t>K-0946</t>
  </si>
  <si>
    <t>Trigona guianae</t>
  </si>
  <si>
    <t>K-0147</t>
  </si>
  <si>
    <t>K-0148</t>
  </si>
  <si>
    <t>K-0257</t>
  </si>
  <si>
    <t>K-0389</t>
  </si>
  <si>
    <t>K-0745</t>
  </si>
  <si>
    <t>K-0746</t>
  </si>
  <si>
    <t>K-0747</t>
  </si>
  <si>
    <t>K-0748</t>
  </si>
  <si>
    <t>K-0942</t>
  </si>
  <si>
    <t>K-0943</t>
  </si>
  <si>
    <t>K-0944</t>
  </si>
  <si>
    <t>A-0021</t>
  </si>
  <si>
    <t>D-1071</t>
  </si>
  <si>
    <t>K-0022</t>
  </si>
  <si>
    <t>Trigona muzoensis</t>
  </si>
  <si>
    <t>K-0013</t>
  </si>
  <si>
    <t>K-0040</t>
  </si>
  <si>
    <t>K-0043</t>
  </si>
  <si>
    <t>K-0066</t>
  </si>
  <si>
    <t>Trigona nigerrima</t>
  </si>
  <si>
    <t>A-0426</t>
  </si>
  <si>
    <t>A-0427</t>
  </si>
  <si>
    <t>A-0428</t>
  </si>
  <si>
    <t>A-0429</t>
  </si>
  <si>
    <t>A-0430</t>
  </si>
  <si>
    <t>A-0431</t>
  </si>
  <si>
    <t>A-0432</t>
  </si>
  <si>
    <t>K-0070</t>
  </si>
  <si>
    <t>K-0071</t>
  </si>
  <si>
    <t>K-0466</t>
  </si>
  <si>
    <t>K-2325</t>
  </si>
  <si>
    <t>K-2326</t>
  </si>
  <si>
    <t>K-2327</t>
  </si>
  <si>
    <t>K-2328</t>
  </si>
  <si>
    <t>K-2329</t>
  </si>
  <si>
    <t>K-2330</t>
  </si>
  <si>
    <t>A-0343</t>
  </si>
  <si>
    <t>Trigona recursa</t>
  </si>
  <si>
    <t>K-0832</t>
  </si>
  <si>
    <t>K-0833</t>
  </si>
  <si>
    <t>K-0834</t>
  </si>
  <si>
    <t>K-0882</t>
  </si>
  <si>
    <t>K-0884</t>
  </si>
  <si>
    <t>K-0885</t>
  </si>
  <si>
    <t>K-0886</t>
  </si>
  <si>
    <t>K-0887</t>
  </si>
  <si>
    <t>K-0888</t>
  </si>
  <si>
    <t>K-0889</t>
  </si>
  <si>
    <t>K-0890</t>
  </si>
  <si>
    <t>K-0891</t>
  </si>
  <si>
    <t>K-0892</t>
  </si>
  <si>
    <t>D-1852</t>
  </si>
  <si>
    <t>D-1853</t>
  </si>
  <si>
    <t>D-1855</t>
  </si>
  <si>
    <t>Trigona silvestriana</t>
  </si>
  <si>
    <t>K-0400</t>
  </si>
  <si>
    <t>K-0401</t>
  </si>
  <si>
    <t>K-0402</t>
  </si>
  <si>
    <t>K-0403</t>
  </si>
  <si>
    <t>K-0821</t>
  </si>
  <si>
    <t>K-0822</t>
  </si>
  <si>
    <t>K-0937</t>
  </si>
  <si>
    <t>K-0938</t>
  </si>
  <si>
    <t>K-0939</t>
  </si>
  <si>
    <t>K-0940</t>
  </si>
  <si>
    <t>K-0002</t>
  </si>
  <si>
    <t>K-0004</t>
  </si>
  <si>
    <t>K-0005</t>
  </si>
  <si>
    <t>Trigonisca atomaria</t>
  </si>
  <si>
    <t>A-0544</t>
  </si>
  <si>
    <t>A-0545</t>
  </si>
  <si>
    <t>A-0546</t>
  </si>
  <si>
    <t>A-0547</t>
  </si>
  <si>
    <t>A-0548</t>
  </si>
  <si>
    <t>A-0549</t>
  </si>
  <si>
    <t>A-0550</t>
  </si>
  <si>
    <t>A-0551</t>
  </si>
  <si>
    <t>A-0630</t>
  </si>
  <si>
    <t>A-0631</t>
  </si>
  <si>
    <t>K-1774</t>
  </si>
  <si>
    <t>K-1775</t>
  </si>
  <si>
    <t>K-1776</t>
  </si>
  <si>
    <t>K-2048</t>
  </si>
  <si>
    <t>K-2095</t>
  </si>
  <si>
    <t>K-2097</t>
  </si>
  <si>
    <t>A-0154</t>
  </si>
  <si>
    <t>A-0155</t>
  </si>
  <si>
    <t>A-0156</t>
  </si>
  <si>
    <t>A-1127</t>
  </si>
  <si>
    <t>A-1128</t>
  </si>
  <si>
    <t>A-1129</t>
  </si>
  <si>
    <t>Trigonisca cf buyssoni</t>
  </si>
  <si>
    <t>K-0150</t>
  </si>
  <si>
    <t>K-0151</t>
  </si>
  <si>
    <t>K-0152</t>
  </si>
  <si>
    <t>K-0153</t>
  </si>
  <si>
    <t>K-0154</t>
  </si>
  <si>
    <t>K-0155</t>
  </si>
  <si>
    <t>K-0156</t>
  </si>
  <si>
    <t>K-0788</t>
  </si>
  <si>
    <t>K-0789</t>
  </si>
  <si>
    <t>K-0790</t>
  </si>
  <si>
    <t>K-0023</t>
  </si>
  <si>
    <t>K-0024</t>
  </si>
  <si>
    <t>K-0026</t>
  </si>
  <si>
    <t>Trigonisca cf pediculana</t>
  </si>
  <si>
    <t>A-1212</t>
  </si>
  <si>
    <t>A-1213</t>
  </si>
  <si>
    <t>A-1214</t>
  </si>
  <si>
    <t>A-1215</t>
  </si>
  <si>
    <t>A-1216</t>
  </si>
  <si>
    <t>A-1217</t>
  </si>
  <si>
    <t>A-1218</t>
  </si>
  <si>
    <t>A-1538</t>
  </si>
  <si>
    <t>A-1539</t>
  </si>
  <si>
    <t>A-1540</t>
  </si>
  <si>
    <t>A-0250</t>
  </si>
  <si>
    <t>A-0452</t>
  </si>
  <si>
    <t>A-0628</t>
  </si>
  <si>
    <t>Xylocopini</t>
  </si>
  <si>
    <t>Xylocopa (Neoxylocopa) sp</t>
  </si>
  <si>
    <t>K-0095</t>
  </si>
  <si>
    <t>Xylocopa frontalis</t>
  </si>
  <si>
    <t>D-1968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</si>
</sst>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000"/>
  </numFmts>
  <fonts count="6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 vertical="center" readingOrder="1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1739-E0D2-4E0E-A551-33E675E77CAF}">
  <dimension ref="A1:F3930"/>
  <sheetViews>
    <sheetView tabSelected="1" topLeftCell="A3857" workbookViewId="0">
      <selection activeCell="A3923" sqref="A3923:A3930"/>
    </sheetView>
  </sheetViews>
  <sheetFormatPr defaultColWidth="9.140625" defaultRowHeight="14.1"/>
  <cols>
    <col min="1" max="1" width="20.28515625" customWidth="1"/>
    <col min="2" max="2" width="31.140625" customWidth="1"/>
    <col min="3" max="3" width="8.85546875" style="1"/>
    <col min="5" max="5" width="21.28515625" customWidth="1"/>
    <col min="6" max="6" width="8.85546875" style="9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9" t="s">
        <v>5</v>
      </c>
    </row>
    <row r="2" spans="1:6">
      <c r="A2" t="s">
        <v>6</v>
      </c>
      <c r="B2" t="s">
        <v>7</v>
      </c>
      <c r="C2" s="1" t="s">
        <v>8</v>
      </c>
      <c r="D2" s="7">
        <v>5984</v>
      </c>
      <c r="E2" t="s">
        <v>9</v>
      </c>
      <c r="F2" s="9">
        <v>4.29</v>
      </c>
    </row>
    <row r="3" spans="1:6">
      <c r="A3" t="s">
        <v>6</v>
      </c>
      <c r="B3" t="s">
        <v>7</v>
      </c>
      <c r="C3" s="1" t="s">
        <v>8</v>
      </c>
      <c r="D3" s="7">
        <v>5987</v>
      </c>
      <c r="E3" t="s">
        <v>10</v>
      </c>
      <c r="F3" s="9">
        <v>16.02</v>
      </c>
    </row>
    <row r="4" spans="1:6">
      <c r="A4" t="s">
        <v>6</v>
      </c>
      <c r="B4" t="s">
        <v>7</v>
      </c>
      <c r="C4" s="1" t="s">
        <v>8</v>
      </c>
      <c r="D4" s="7">
        <v>5985</v>
      </c>
      <c r="E4" t="s">
        <v>11</v>
      </c>
      <c r="F4" s="9">
        <v>19.57</v>
      </c>
    </row>
    <row r="5" spans="1:6">
      <c r="A5" t="s">
        <v>6</v>
      </c>
      <c r="B5" t="s">
        <v>7</v>
      </c>
      <c r="C5" s="1" t="s">
        <v>8</v>
      </c>
      <c r="D5" s="7">
        <v>5986</v>
      </c>
      <c r="E5" t="s">
        <v>12</v>
      </c>
      <c r="F5" s="9">
        <v>6.25</v>
      </c>
    </row>
    <row r="6" spans="1:6">
      <c r="A6" t="s">
        <v>13</v>
      </c>
      <c r="B6" s="13" t="s">
        <v>14</v>
      </c>
      <c r="C6" s="3" t="s">
        <v>15</v>
      </c>
      <c r="D6" s="7">
        <v>4790</v>
      </c>
      <c r="E6" t="s">
        <v>9</v>
      </c>
      <c r="F6" s="10">
        <v>2.94</v>
      </c>
    </row>
    <row r="7" spans="1:6">
      <c r="A7" t="s">
        <v>13</v>
      </c>
      <c r="B7" s="2" t="s">
        <v>14</v>
      </c>
      <c r="C7" s="3" t="s">
        <v>16</v>
      </c>
      <c r="D7" s="7">
        <v>4795</v>
      </c>
      <c r="E7" t="s">
        <v>9</v>
      </c>
      <c r="F7" s="10">
        <v>2.81</v>
      </c>
    </row>
    <row r="8" spans="1:6">
      <c r="A8" t="s">
        <v>13</v>
      </c>
      <c r="B8" s="2" t="s">
        <v>14</v>
      </c>
      <c r="C8" s="3" t="s">
        <v>17</v>
      </c>
      <c r="D8" s="7">
        <v>4785</v>
      </c>
      <c r="E8" t="s">
        <v>9</v>
      </c>
      <c r="F8" s="10">
        <v>2.52</v>
      </c>
    </row>
    <row r="9" spans="1:6">
      <c r="A9" t="s">
        <v>13</v>
      </c>
      <c r="B9" s="2" t="s">
        <v>14</v>
      </c>
      <c r="C9" s="3" t="s">
        <v>15</v>
      </c>
      <c r="D9" s="7">
        <v>4791</v>
      </c>
      <c r="E9" t="s">
        <v>10</v>
      </c>
      <c r="F9" s="10">
        <f>2.62+2.22</f>
        <v>4.84</v>
      </c>
    </row>
    <row r="10" spans="1:6">
      <c r="A10" t="s">
        <v>13</v>
      </c>
      <c r="B10" s="2" t="s">
        <v>14</v>
      </c>
      <c r="C10" s="3" t="s">
        <v>16</v>
      </c>
      <c r="D10" s="7">
        <v>4796</v>
      </c>
      <c r="E10" t="s">
        <v>10</v>
      </c>
      <c r="F10" s="10">
        <f>2.06+3.47</f>
        <v>5.53</v>
      </c>
    </row>
    <row r="11" spans="1:6">
      <c r="A11" t="s">
        <v>13</v>
      </c>
      <c r="B11" s="2" t="s">
        <v>14</v>
      </c>
      <c r="C11" s="3" t="s">
        <v>17</v>
      </c>
      <c r="D11" s="7">
        <v>4786</v>
      </c>
      <c r="E11" t="s">
        <v>10</v>
      </c>
      <c r="F11" s="10">
        <f>1.45+3.2</f>
        <v>4.6500000000000004</v>
      </c>
    </row>
    <row r="12" spans="1:6">
      <c r="A12" t="s">
        <v>13</v>
      </c>
      <c r="B12" s="2" t="s">
        <v>14</v>
      </c>
      <c r="C12" s="3" t="s">
        <v>15</v>
      </c>
      <c r="D12" s="7">
        <v>4788</v>
      </c>
      <c r="E12" t="s">
        <v>11</v>
      </c>
      <c r="F12" s="10">
        <v>8.2799999999999994</v>
      </c>
    </row>
    <row r="13" spans="1:6">
      <c r="A13" t="s">
        <v>13</v>
      </c>
      <c r="B13" s="2" t="s">
        <v>14</v>
      </c>
      <c r="C13" s="3" t="s">
        <v>16</v>
      </c>
      <c r="D13" s="7">
        <v>4793</v>
      </c>
      <c r="E13" t="s">
        <v>11</v>
      </c>
      <c r="F13" s="10">
        <v>8.6300000000000008</v>
      </c>
    </row>
    <row r="14" spans="1:6">
      <c r="A14" t="s">
        <v>13</v>
      </c>
      <c r="B14" s="2" t="s">
        <v>14</v>
      </c>
      <c r="C14" s="3" t="s">
        <v>17</v>
      </c>
      <c r="D14" s="7">
        <v>4783</v>
      </c>
      <c r="E14" t="s">
        <v>11</v>
      </c>
      <c r="F14" s="10">
        <v>8.02</v>
      </c>
    </row>
    <row r="15" spans="1:6">
      <c r="A15" t="s">
        <v>13</v>
      </c>
      <c r="B15" s="2" t="s">
        <v>14</v>
      </c>
      <c r="C15" s="3" t="s">
        <v>15</v>
      </c>
      <c r="D15" s="7">
        <v>4789</v>
      </c>
      <c r="E15" t="s">
        <v>12</v>
      </c>
      <c r="F15" s="10">
        <v>2.89</v>
      </c>
    </row>
    <row r="16" spans="1:6">
      <c r="A16" t="s">
        <v>13</v>
      </c>
      <c r="B16" s="2" t="s">
        <v>14</v>
      </c>
      <c r="C16" s="3" t="s">
        <v>16</v>
      </c>
      <c r="D16" s="7">
        <v>4794</v>
      </c>
      <c r="E16" t="s">
        <v>12</v>
      </c>
      <c r="F16" s="10">
        <v>2.74</v>
      </c>
    </row>
    <row r="17" spans="1:6">
      <c r="A17" t="s">
        <v>13</v>
      </c>
      <c r="B17" s="2" t="s">
        <v>14</v>
      </c>
      <c r="C17" s="3" t="s">
        <v>17</v>
      </c>
      <c r="D17" s="7">
        <v>4784</v>
      </c>
      <c r="E17" t="s">
        <v>12</v>
      </c>
      <c r="F17" s="10">
        <v>2.62</v>
      </c>
    </row>
    <row r="18" spans="1:6">
      <c r="A18" t="s">
        <v>18</v>
      </c>
      <c r="B18" s="13" t="s">
        <v>19</v>
      </c>
      <c r="C18" s="1" t="s">
        <v>20</v>
      </c>
      <c r="D18" s="7">
        <v>1944</v>
      </c>
      <c r="E18" t="s">
        <v>9</v>
      </c>
      <c r="F18" s="9">
        <v>0.77800000000000002</v>
      </c>
    </row>
    <row r="19" spans="1:6">
      <c r="A19" t="s">
        <v>18</v>
      </c>
      <c r="B19" s="13" t="s">
        <v>19</v>
      </c>
      <c r="C19" s="1" t="s">
        <v>21</v>
      </c>
      <c r="D19" s="7">
        <v>1950</v>
      </c>
      <c r="E19" t="s">
        <v>9</v>
      </c>
      <c r="F19" s="9">
        <v>0.85299999999999998</v>
      </c>
    </row>
    <row r="20" spans="1:6">
      <c r="A20" t="s">
        <v>18</v>
      </c>
      <c r="B20" s="13" t="s">
        <v>19</v>
      </c>
      <c r="C20" s="1" t="s">
        <v>22</v>
      </c>
      <c r="D20" s="7">
        <v>1956</v>
      </c>
      <c r="E20" t="s">
        <v>9</v>
      </c>
      <c r="F20" s="9">
        <v>0.81299999999999994</v>
      </c>
    </row>
    <row r="21" spans="1:6">
      <c r="A21" t="s">
        <v>18</v>
      </c>
      <c r="B21" s="13" t="s">
        <v>19</v>
      </c>
      <c r="C21" s="1" t="s">
        <v>23</v>
      </c>
      <c r="D21" s="7">
        <v>1962</v>
      </c>
      <c r="E21" t="s">
        <v>9</v>
      </c>
      <c r="F21" s="9">
        <v>0.86099999999999999</v>
      </c>
    </row>
    <row r="22" spans="1:6">
      <c r="A22" t="s">
        <v>18</v>
      </c>
      <c r="B22" s="13" t="s">
        <v>19</v>
      </c>
      <c r="C22" s="1" t="s">
        <v>24</v>
      </c>
      <c r="D22" s="7">
        <v>1968</v>
      </c>
      <c r="E22" t="s">
        <v>9</v>
      </c>
      <c r="F22" s="9">
        <v>0.84</v>
      </c>
    </row>
    <row r="23" spans="1:6">
      <c r="A23" t="s">
        <v>18</v>
      </c>
      <c r="B23" s="13" t="s">
        <v>19</v>
      </c>
      <c r="C23" s="1" t="s">
        <v>25</v>
      </c>
      <c r="D23" s="7">
        <v>1974</v>
      </c>
      <c r="E23" t="s">
        <v>9</v>
      </c>
      <c r="F23" s="9">
        <v>0.85299999999999998</v>
      </c>
    </row>
    <row r="24" spans="1:6">
      <c r="A24" t="s">
        <v>18</v>
      </c>
      <c r="B24" s="13" t="s">
        <v>19</v>
      </c>
      <c r="C24" s="1" t="s">
        <v>26</v>
      </c>
      <c r="D24" s="7">
        <v>1980</v>
      </c>
      <c r="E24" t="s">
        <v>9</v>
      </c>
      <c r="F24" s="9">
        <v>0.88600000000000001</v>
      </c>
    </row>
    <row r="25" spans="1:6">
      <c r="A25" t="s">
        <v>18</v>
      </c>
      <c r="B25" s="13" t="s">
        <v>19</v>
      </c>
      <c r="C25" s="1" t="s">
        <v>27</v>
      </c>
      <c r="D25" s="7">
        <v>1986</v>
      </c>
      <c r="E25" t="s">
        <v>9</v>
      </c>
      <c r="F25" s="9">
        <v>0.874</v>
      </c>
    </row>
    <row r="26" spans="1:6">
      <c r="A26" t="s">
        <v>18</v>
      </c>
      <c r="B26" s="13" t="s">
        <v>19</v>
      </c>
      <c r="C26" s="1" t="s">
        <v>20</v>
      </c>
      <c r="D26" s="7">
        <v>1945</v>
      </c>
      <c r="E26" t="s">
        <v>10</v>
      </c>
      <c r="F26" s="9">
        <v>1.34</v>
      </c>
    </row>
    <row r="27" spans="1:6">
      <c r="A27" t="s">
        <v>18</v>
      </c>
      <c r="B27" s="13" t="s">
        <v>19</v>
      </c>
      <c r="C27" s="1" t="s">
        <v>21</v>
      </c>
      <c r="D27" s="7">
        <v>1951</v>
      </c>
      <c r="E27" t="s">
        <v>10</v>
      </c>
      <c r="F27" s="1">
        <v>1.3779999999999999</v>
      </c>
    </row>
    <row r="28" spans="1:6">
      <c r="A28" t="s">
        <v>18</v>
      </c>
      <c r="B28" s="13" t="s">
        <v>19</v>
      </c>
      <c r="C28" s="1" t="s">
        <v>22</v>
      </c>
      <c r="D28" s="7">
        <v>1957</v>
      </c>
      <c r="E28" t="s">
        <v>10</v>
      </c>
      <c r="F28" s="1">
        <v>1.333</v>
      </c>
    </row>
    <row r="29" spans="1:6">
      <c r="A29" t="s">
        <v>18</v>
      </c>
      <c r="B29" s="13" t="s">
        <v>19</v>
      </c>
      <c r="C29" s="1" t="s">
        <v>23</v>
      </c>
      <c r="D29" s="7">
        <v>1963</v>
      </c>
      <c r="E29" t="s">
        <v>10</v>
      </c>
      <c r="F29" s="1">
        <v>1.2490000000000001</v>
      </c>
    </row>
    <row r="30" spans="1:6">
      <c r="A30" t="s">
        <v>18</v>
      </c>
      <c r="B30" s="13" t="s">
        <v>19</v>
      </c>
      <c r="C30" s="1" t="s">
        <v>24</v>
      </c>
      <c r="D30" s="7">
        <v>1969</v>
      </c>
      <c r="E30" t="s">
        <v>10</v>
      </c>
      <c r="F30" s="1">
        <v>1.337</v>
      </c>
    </row>
    <row r="31" spans="1:6">
      <c r="A31" t="s">
        <v>18</v>
      </c>
      <c r="B31" s="13" t="s">
        <v>19</v>
      </c>
      <c r="C31" s="1" t="s">
        <v>25</v>
      </c>
      <c r="D31" s="7">
        <v>1975</v>
      </c>
      <c r="E31" t="s">
        <v>10</v>
      </c>
      <c r="F31" s="9">
        <v>1.41</v>
      </c>
    </row>
    <row r="32" spans="1:6">
      <c r="A32" t="s">
        <v>18</v>
      </c>
      <c r="B32" s="13" t="s">
        <v>19</v>
      </c>
      <c r="C32" s="1" t="s">
        <v>26</v>
      </c>
      <c r="D32" s="7">
        <v>1981</v>
      </c>
      <c r="E32" t="s">
        <v>10</v>
      </c>
      <c r="F32" s="1">
        <v>1.3859999999999999</v>
      </c>
    </row>
    <row r="33" spans="1:6">
      <c r="A33" t="s">
        <v>18</v>
      </c>
      <c r="B33" s="13" t="s">
        <v>19</v>
      </c>
      <c r="C33" s="1" t="s">
        <v>27</v>
      </c>
      <c r="D33" s="7">
        <v>1987</v>
      </c>
      <c r="E33" t="s">
        <v>10</v>
      </c>
      <c r="F33" s="9">
        <v>1.33</v>
      </c>
    </row>
    <row r="34" spans="1:6">
      <c r="A34" t="s">
        <v>18</v>
      </c>
      <c r="B34" s="13" t="s">
        <v>19</v>
      </c>
      <c r="C34" s="1" t="s">
        <v>20</v>
      </c>
      <c r="D34" s="7">
        <v>1943</v>
      </c>
      <c r="E34" t="s">
        <v>11</v>
      </c>
      <c r="F34" s="1">
        <v>3.3519999999999999</v>
      </c>
    </row>
    <row r="35" spans="1:6">
      <c r="A35" t="s">
        <v>18</v>
      </c>
      <c r="B35" s="13" t="s">
        <v>19</v>
      </c>
      <c r="C35" s="1" t="s">
        <v>21</v>
      </c>
      <c r="D35" s="7">
        <v>1949</v>
      </c>
      <c r="E35" t="s">
        <v>11</v>
      </c>
      <c r="F35" s="1">
        <v>3.371</v>
      </c>
    </row>
    <row r="36" spans="1:6">
      <c r="A36" t="s">
        <v>18</v>
      </c>
      <c r="B36" s="13" t="s">
        <v>19</v>
      </c>
      <c r="C36" s="1" t="s">
        <v>22</v>
      </c>
      <c r="D36" s="7">
        <v>1955</v>
      </c>
      <c r="E36" t="s">
        <v>11</v>
      </c>
      <c r="F36" s="1">
        <v>3.452</v>
      </c>
    </row>
    <row r="37" spans="1:6">
      <c r="A37" t="s">
        <v>18</v>
      </c>
      <c r="B37" s="13" t="s">
        <v>19</v>
      </c>
      <c r="C37" s="1" t="s">
        <v>23</v>
      </c>
      <c r="D37" s="7">
        <v>1961</v>
      </c>
      <c r="E37" t="s">
        <v>11</v>
      </c>
      <c r="F37" s="9">
        <v>3.41</v>
      </c>
    </row>
    <row r="38" spans="1:6">
      <c r="A38" t="s">
        <v>18</v>
      </c>
      <c r="B38" s="13" t="s">
        <v>19</v>
      </c>
      <c r="C38" s="1" t="s">
        <v>24</v>
      </c>
      <c r="D38" s="7">
        <v>1967</v>
      </c>
      <c r="E38" t="s">
        <v>11</v>
      </c>
      <c r="F38" s="1">
        <v>3.4750000000000001</v>
      </c>
    </row>
    <row r="39" spans="1:6">
      <c r="A39" t="s">
        <v>18</v>
      </c>
      <c r="B39" s="13" t="s">
        <v>19</v>
      </c>
      <c r="C39" s="1" t="s">
        <v>25</v>
      </c>
      <c r="D39" s="7">
        <v>1973</v>
      </c>
      <c r="E39" t="s">
        <v>11</v>
      </c>
      <c r="F39" s="1">
        <v>3.4220000000000002</v>
      </c>
    </row>
    <row r="40" spans="1:6">
      <c r="A40" t="s">
        <v>18</v>
      </c>
      <c r="B40" s="13" t="s">
        <v>19</v>
      </c>
      <c r="C40" s="1" t="s">
        <v>26</v>
      </c>
      <c r="D40" s="7">
        <v>1979</v>
      </c>
      <c r="E40" t="s">
        <v>11</v>
      </c>
      <c r="F40" s="1">
        <v>3.3450000000000002</v>
      </c>
    </row>
    <row r="41" spans="1:6">
      <c r="A41" t="s">
        <v>18</v>
      </c>
      <c r="B41" s="13" t="s">
        <v>19</v>
      </c>
      <c r="C41" s="1" t="s">
        <v>27</v>
      </c>
      <c r="D41" s="7">
        <v>1985</v>
      </c>
      <c r="E41" t="s">
        <v>11</v>
      </c>
      <c r="F41" s="1">
        <v>3.3570000000000002</v>
      </c>
    </row>
    <row r="42" spans="1:6">
      <c r="A42" t="s">
        <v>18</v>
      </c>
      <c r="B42" s="13" t="s">
        <v>28</v>
      </c>
      <c r="C42" s="1" t="s">
        <v>29</v>
      </c>
      <c r="D42" s="7">
        <v>1992</v>
      </c>
      <c r="E42" t="s">
        <v>9</v>
      </c>
      <c r="F42" s="1">
        <v>1.2969999999999999</v>
      </c>
    </row>
    <row r="43" spans="1:6">
      <c r="A43" t="s">
        <v>18</v>
      </c>
      <c r="B43" s="13" t="s">
        <v>28</v>
      </c>
      <c r="C43" s="1" t="s">
        <v>30</v>
      </c>
      <c r="D43" s="7">
        <v>1998</v>
      </c>
      <c r="E43" t="s">
        <v>9</v>
      </c>
      <c r="F43" s="1">
        <v>1.2649999999999999</v>
      </c>
    </row>
    <row r="44" spans="1:6">
      <c r="A44" t="s">
        <v>18</v>
      </c>
      <c r="B44" s="13" t="s">
        <v>28</v>
      </c>
      <c r="C44" s="1" t="s">
        <v>29</v>
      </c>
      <c r="D44" s="7">
        <v>1993</v>
      </c>
      <c r="E44" t="s">
        <v>10</v>
      </c>
      <c r="F44" s="1">
        <v>1.9039999999999999</v>
      </c>
    </row>
    <row r="45" spans="1:6">
      <c r="A45" t="s">
        <v>18</v>
      </c>
      <c r="B45" s="13" t="s">
        <v>28</v>
      </c>
      <c r="C45" s="1" t="s">
        <v>30</v>
      </c>
      <c r="D45" s="7">
        <v>1999</v>
      </c>
      <c r="E45" t="s">
        <v>10</v>
      </c>
      <c r="F45" s="1">
        <v>2.1640000000000001</v>
      </c>
    </row>
    <row r="46" spans="1:6">
      <c r="A46" t="s">
        <v>18</v>
      </c>
      <c r="B46" s="13" t="s">
        <v>28</v>
      </c>
      <c r="C46" s="1" t="s">
        <v>29</v>
      </c>
      <c r="D46" s="7">
        <v>1991</v>
      </c>
      <c r="E46" t="s">
        <v>11</v>
      </c>
      <c r="F46" s="1">
        <v>5.048</v>
      </c>
    </row>
    <row r="47" spans="1:6">
      <c r="A47" t="s">
        <v>18</v>
      </c>
      <c r="B47" s="13" t="s">
        <v>28</v>
      </c>
      <c r="C47" s="1" t="s">
        <v>30</v>
      </c>
      <c r="D47" s="7">
        <v>1997</v>
      </c>
      <c r="E47" t="s">
        <v>11</v>
      </c>
      <c r="F47" s="1">
        <v>4.6669999999999998</v>
      </c>
    </row>
    <row r="48" spans="1:6">
      <c r="A48" t="s">
        <v>18</v>
      </c>
      <c r="B48" s="14" t="s">
        <v>31</v>
      </c>
      <c r="C48" s="3" t="s">
        <v>32</v>
      </c>
      <c r="D48" s="7">
        <v>4610</v>
      </c>
      <c r="E48" t="s">
        <v>9</v>
      </c>
      <c r="F48" s="10">
        <v>1.68</v>
      </c>
    </row>
    <row r="49" spans="1:6">
      <c r="A49" t="s">
        <v>18</v>
      </c>
      <c r="B49" s="14" t="s">
        <v>31</v>
      </c>
      <c r="C49" s="3" t="s">
        <v>32</v>
      </c>
      <c r="D49" s="7">
        <v>4611</v>
      </c>
      <c r="E49" t="s">
        <v>10</v>
      </c>
      <c r="F49" s="10">
        <f>3.04+1.9</f>
        <v>4.9399999999999995</v>
      </c>
    </row>
    <row r="50" spans="1:6">
      <c r="A50" t="s">
        <v>18</v>
      </c>
      <c r="B50" s="14" t="s">
        <v>31</v>
      </c>
      <c r="C50" s="3" t="s">
        <v>32</v>
      </c>
      <c r="D50" s="7">
        <v>4608</v>
      </c>
      <c r="E50" t="s">
        <v>11</v>
      </c>
      <c r="F50" s="10">
        <v>5.55</v>
      </c>
    </row>
    <row r="51" spans="1:6">
      <c r="A51" t="s">
        <v>18</v>
      </c>
      <c r="B51" s="14" t="s">
        <v>31</v>
      </c>
      <c r="C51" s="3" t="s">
        <v>32</v>
      </c>
      <c r="D51" s="7">
        <v>4609</v>
      </c>
      <c r="E51" t="s">
        <v>12</v>
      </c>
      <c r="F51" s="10">
        <v>1.87</v>
      </c>
    </row>
    <row r="52" spans="1:6">
      <c r="A52" t="s">
        <v>18</v>
      </c>
      <c r="B52" s="13" t="s">
        <v>33</v>
      </c>
      <c r="C52" s="1" t="s">
        <v>34</v>
      </c>
      <c r="D52" s="7">
        <v>1926</v>
      </c>
      <c r="E52" t="s">
        <v>9</v>
      </c>
      <c r="F52" s="1">
        <v>1.0860000000000001</v>
      </c>
    </row>
    <row r="53" spans="1:6">
      <c r="A53" t="s">
        <v>18</v>
      </c>
      <c r="B53" s="13" t="s">
        <v>33</v>
      </c>
      <c r="C53" s="1" t="s">
        <v>34</v>
      </c>
      <c r="D53" s="7">
        <v>1927</v>
      </c>
      <c r="E53" t="s">
        <v>10</v>
      </c>
      <c r="F53" s="1">
        <v>1.823</v>
      </c>
    </row>
    <row r="54" spans="1:6">
      <c r="A54" t="s">
        <v>18</v>
      </c>
      <c r="B54" s="13" t="s">
        <v>33</v>
      </c>
      <c r="C54" s="1" t="s">
        <v>34</v>
      </c>
      <c r="D54" s="7">
        <v>1925</v>
      </c>
      <c r="E54" t="s">
        <v>11</v>
      </c>
      <c r="F54" s="1">
        <v>3.9119999999999999</v>
      </c>
    </row>
    <row r="55" spans="1:6">
      <c r="A55" t="s">
        <v>18</v>
      </c>
      <c r="B55" s="13" t="s">
        <v>35</v>
      </c>
      <c r="C55" s="1" t="s">
        <v>36</v>
      </c>
      <c r="D55" s="7">
        <v>1932</v>
      </c>
      <c r="E55" t="s">
        <v>9</v>
      </c>
      <c r="F55" s="1">
        <v>1.171</v>
      </c>
    </row>
    <row r="56" spans="1:6">
      <c r="A56" t="s">
        <v>18</v>
      </c>
      <c r="B56" s="13" t="s">
        <v>35</v>
      </c>
      <c r="C56" s="1" t="s">
        <v>36</v>
      </c>
      <c r="D56" s="7">
        <v>1933</v>
      </c>
      <c r="E56" t="s">
        <v>10</v>
      </c>
      <c r="F56" s="1">
        <v>1.5089999999999999</v>
      </c>
    </row>
    <row r="57" spans="1:6">
      <c r="A57" t="s">
        <v>18</v>
      </c>
      <c r="B57" s="13" t="s">
        <v>35</v>
      </c>
      <c r="C57" s="1" t="s">
        <v>36</v>
      </c>
      <c r="D57" s="7">
        <v>1931</v>
      </c>
      <c r="E57" t="s">
        <v>11</v>
      </c>
      <c r="F57" s="1">
        <v>4.5469999999999997</v>
      </c>
    </row>
    <row r="58" spans="1:6">
      <c r="A58" t="s">
        <v>18</v>
      </c>
      <c r="B58" s="13" t="s">
        <v>37</v>
      </c>
      <c r="C58" s="1" t="s">
        <v>38</v>
      </c>
      <c r="D58" s="7">
        <v>1884</v>
      </c>
      <c r="E58" t="s">
        <v>9</v>
      </c>
      <c r="F58" s="1">
        <v>1.2270000000000001</v>
      </c>
    </row>
    <row r="59" spans="1:6">
      <c r="A59" t="s">
        <v>18</v>
      </c>
      <c r="B59" s="13" t="s">
        <v>37</v>
      </c>
      <c r="C59" s="1" t="s">
        <v>39</v>
      </c>
      <c r="D59" s="7">
        <v>1938</v>
      </c>
      <c r="E59" t="s">
        <v>9</v>
      </c>
      <c r="F59" s="1">
        <v>1.266</v>
      </c>
    </row>
    <row r="60" spans="1:6">
      <c r="A60" t="s">
        <v>18</v>
      </c>
      <c r="B60" s="13" t="s">
        <v>37</v>
      </c>
      <c r="C60" s="1" t="s">
        <v>40</v>
      </c>
      <c r="D60" s="7">
        <v>1890</v>
      </c>
      <c r="E60" t="s">
        <v>9</v>
      </c>
      <c r="F60" s="1">
        <v>1.3520000000000001</v>
      </c>
    </row>
    <row r="61" spans="1:6">
      <c r="A61" t="s">
        <v>18</v>
      </c>
      <c r="B61" s="13" t="s">
        <v>37</v>
      </c>
      <c r="C61" s="1" t="s">
        <v>38</v>
      </c>
      <c r="D61" s="7">
        <v>1885</v>
      </c>
      <c r="E61" t="s">
        <v>10</v>
      </c>
      <c r="F61" s="1">
        <v>2.7189999999999999</v>
      </c>
    </row>
    <row r="62" spans="1:6">
      <c r="A62" t="s">
        <v>18</v>
      </c>
      <c r="B62" s="13" t="s">
        <v>37</v>
      </c>
      <c r="C62" s="1" t="s">
        <v>39</v>
      </c>
      <c r="D62" s="7">
        <v>1939</v>
      </c>
      <c r="E62" t="s">
        <v>10</v>
      </c>
      <c r="F62" s="1">
        <v>2.3039999999999998</v>
      </c>
    </row>
    <row r="63" spans="1:6">
      <c r="A63" t="s">
        <v>18</v>
      </c>
      <c r="B63" s="13" t="s">
        <v>37</v>
      </c>
      <c r="C63" s="1" t="s">
        <v>40</v>
      </c>
      <c r="D63" s="7">
        <v>1891</v>
      </c>
      <c r="E63" t="s">
        <v>10</v>
      </c>
      <c r="F63" s="1">
        <v>2.8279999999999998</v>
      </c>
    </row>
    <row r="64" spans="1:6">
      <c r="A64" t="s">
        <v>18</v>
      </c>
      <c r="B64" s="13" t="s">
        <v>37</v>
      </c>
      <c r="C64" s="1" t="s">
        <v>38</v>
      </c>
      <c r="D64" s="7">
        <v>1883</v>
      </c>
      <c r="E64" t="s">
        <v>11</v>
      </c>
      <c r="F64" s="1">
        <v>4.6390000000000002</v>
      </c>
    </row>
    <row r="65" spans="1:6">
      <c r="A65" t="s">
        <v>18</v>
      </c>
      <c r="B65" s="13" t="s">
        <v>37</v>
      </c>
      <c r="C65" s="1" t="s">
        <v>39</v>
      </c>
      <c r="D65" s="7">
        <v>1937</v>
      </c>
      <c r="E65" t="s">
        <v>11</v>
      </c>
      <c r="F65" s="1">
        <v>4.5229999999999997</v>
      </c>
    </row>
    <row r="66" spans="1:6">
      <c r="A66" t="s">
        <v>18</v>
      </c>
      <c r="B66" s="13" t="s">
        <v>37</v>
      </c>
      <c r="C66" s="1" t="s">
        <v>40</v>
      </c>
      <c r="D66" s="7">
        <v>1889</v>
      </c>
      <c r="E66" t="s">
        <v>11</v>
      </c>
      <c r="F66" s="1">
        <v>4.7190000000000003</v>
      </c>
    </row>
    <row r="67" spans="1:6">
      <c r="A67" t="s">
        <v>18</v>
      </c>
      <c r="B67" s="14" t="s">
        <v>41</v>
      </c>
      <c r="C67" s="3" t="s">
        <v>42</v>
      </c>
      <c r="D67" s="7">
        <v>4620</v>
      </c>
      <c r="E67" t="s">
        <v>9</v>
      </c>
      <c r="F67" s="10">
        <v>1.38</v>
      </c>
    </row>
    <row r="68" spans="1:6">
      <c r="A68" t="s">
        <v>18</v>
      </c>
      <c r="B68" s="14" t="s">
        <v>41</v>
      </c>
      <c r="C68" s="3" t="s">
        <v>43</v>
      </c>
      <c r="D68" s="7">
        <v>4625</v>
      </c>
      <c r="E68" t="s">
        <v>9</v>
      </c>
      <c r="F68" s="10">
        <v>1.31</v>
      </c>
    </row>
    <row r="69" spans="1:6">
      <c r="A69" t="s">
        <v>18</v>
      </c>
      <c r="B69" s="14" t="s">
        <v>41</v>
      </c>
      <c r="C69" s="3" t="s">
        <v>42</v>
      </c>
      <c r="D69" s="7">
        <v>4621</v>
      </c>
      <c r="E69" t="s">
        <v>10</v>
      </c>
      <c r="F69" s="10">
        <f>2.5+1.35</f>
        <v>3.85</v>
      </c>
    </row>
    <row r="70" spans="1:6">
      <c r="A70" t="s">
        <v>18</v>
      </c>
      <c r="B70" s="14" t="s">
        <v>41</v>
      </c>
      <c r="C70" s="3" t="s">
        <v>43</v>
      </c>
      <c r="D70" s="7">
        <v>4626</v>
      </c>
      <c r="E70" t="s">
        <v>10</v>
      </c>
      <c r="F70" s="10">
        <f>2.33+1.09</f>
        <v>3.42</v>
      </c>
    </row>
    <row r="71" spans="1:6">
      <c r="A71" t="s">
        <v>18</v>
      </c>
      <c r="B71" s="14" t="s">
        <v>41</v>
      </c>
      <c r="C71" s="3" t="s">
        <v>42</v>
      </c>
      <c r="D71" s="7">
        <v>4618</v>
      </c>
      <c r="E71" t="s">
        <v>11</v>
      </c>
      <c r="F71" s="10">
        <v>5.29</v>
      </c>
    </row>
    <row r="72" spans="1:6">
      <c r="A72" t="s">
        <v>18</v>
      </c>
      <c r="B72" s="14" t="s">
        <v>41</v>
      </c>
      <c r="C72" s="3" t="s">
        <v>43</v>
      </c>
      <c r="D72" s="7">
        <v>4623</v>
      </c>
      <c r="E72" t="s">
        <v>11</v>
      </c>
      <c r="F72" s="10">
        <v>4.46</v>
      </c>
    </row>
    <row r="73" spans="1:6">
      <c r="A73" t="s">
        <v>18</v>
      </c>
      <c r="B73" s="14" t="s">
        <v>41</v>
      </c>
      <c r="C73" s="3" t="s">
        <v>42</v>
      </c>
      <c r="D73" s="7">
        <v>4619</v>
      </c>
      <c r="E73" t="s">
        <v>12</v>
      </c>
      <c r="F73" s="10">
        <v>1.59</v>
      </c>
    </row>
    <row r="74" spans="1:6">
      <c r="A74" t="s">
        <v>18</v>
      </c>
      <c r="B74" s="14" t="s">
        <v>41</v>
      </c>
      <c r="C74" s="3" t="s">
        <v>43</v>
      </c>
      <c r="D74" s="7">
        <v>4624</v>
      </c>
      <c r="E74" t="s">
        <v>12</v>
      </c>
      <c r="F74" s="10">
        <v>1.59</v>
      </c>
    </row>
    <row r="75" spans="1:6">
      <c r="A75" t="s">
        <v>18</v>
      </c>
      <c r="B75" s="13" t="s">
        <v>44</v>
      </c>
      <c r="C75" s="3" t="s">
        <v>45</v>
      </c>
      <c r="D75" s="7">
        <v>4954</v>
      </c>
      <c r="E75" t="s">
        <v>9</v>
      </c>
      <c r="F75" s="10">
        <v>1.02</v>
      </c>
    </row>
    <row r="76" spans="1:6">
      <c r="A76" t="s">
        <v>18</v>
      </c>
      <c r="B76" s="13" t="s">
        <v>44</v>
      </c>
      <c r="C76" s="3" t="s">
        <v>45</v>
      </c>
      <c r="D76" s="7">
        <v>4956</v>
      </c>
      <c r="E76" t="s">
        <v>11</v>
      </c>
      <c r="F76" s="10">
        <v>3.66</v>
      </c>
    </row>
    <row r="77" spans="1:6">
      <c r="A77" t="s">
        <v>18</v>
      </c>
      <c r="B77" s="13" t="s">
        <v>44</v>
      </c>
      <c r="C77" s="3" t="s">
        <v>45</v>
      </c>
      <c r="D77" s="7">
        <v>4957</v>
      </c>
      <c r="E77" t="s">
        <v>12</v>
      </c>
      <c r="F77" s="10">
        <v>1.07</v>
      </c>
    </row>
    <row r="78" spans="1:6">
      <c r="A78" t="s">
        <v>18</v>
      </c>
      <c r="B78" s="13" t="s">
        <v>46</v>
      </c>
      <c r="C78" s="1" t="s">
        <v>47</v>
      </c>
      <c r="D78" s="7">
        <v>2004</v>
      </c>
      <c r="E78" t="s">
        <v>9</v>
      </c>
      <c r="F78" s="9">
        <v>0.93400000000000005</v>
      </c>
    </row>
    <row r="79" spans="1:6">
      <c r="A79" t="s">
        <v>18</v>
      </c>
      <c r="B79" s="13" t="s">
        <v>46</v>
      </c>
      <c r="C79" s="1" t="s">
        <v>48</v>
      </c>
      <c r="D79" s="7">
        <v>2010</v>
      </c>
      <c r="E79" t="s">
        <v>9</v>
      </c>
      <c r="F79" s="9">
        <v>0.872</v>
      </c>
    </row>
    <row r="80" spans="1:6">
      <c r="A80" t="s">
        <v>18</v>
      </c>
      <c r="B80" s="13" t="s">
        <v>46</v>
      </c>
      <c r="C80" s="1" t="s">
        <v>49</v>
      </c>
      <c r="D80" s="7">
        <v>2016</v>
      </c>
      <c r="E80" t="s">
        <v>9</v>
      </c>
      <c r="F80" s="9">
        <v>0.97799999999999998</v>
      </c>
    </row>
    <row r="81" spans="1:6">
      <c r="A81" t="s">
        <v>18</v>
      </c>
      <c r="B81" s="13" t="s">
        <v>46</v>
      </c>
      <c r="C81" s="1" t="s">
        <v>47</v>
      </c>
      <c r="D81" s="7">
        <v>2005</v>
      </c>
      <c r="E81" t="s">
        <v>10</v>
      </c>
      <c r="F81" s="1">
        <v>1.423</v>
      </c>
    </row>
    <row r="82" spans="1:6">
      <c r="A82" t="s">
        <v>18</v>
      </c>
      <c r="B82" s="13" t="s">
        <v>46</v>
      </c>
      <c r="C82" s="1" t="s">
        <v>48</v>
      </c>
      <c r="D82" s="7">
        <v>2011</v>
      </c>
      <c r="E82" t="s">
        <v>10</v>
      </c>
      <c r="F82" s="1">
        <v>1.4470000000000001</v>
      </c>
    </row>
    <row r="83" spans="1:6">
      <c r="A83" t="s">
        <v>18</v>
      </c>
      <c r="B83" s="13" t="s">
        <v>46</v>
      </c>
      <c r="C83" s="1" t="s">
        <v>49</v>
      </c>
      <c r="D83" s="7">
        <v>2017</v>
      </c>
      <c r="E83" t="s">
        <v>10</v>
      </c>
      <c r="F83" s="1">
        <v>1.425</v>
      </c>
    </row>
    <row r="84" spans="1:6">
      <c r="A84" t="s">
        <v>18</v>
      </c>
      <c r="B84" s="13" t="s">
        <v>46</v>
      </c>
      <c r="C84" s="1" t="s">
        <v>47</v>
      </c>
      <c r="D84" s="7">
        <v>2003</v>
      </c>
      <c r="E84" t="s">
        <v>11</v>
      </c>
      <c r="F84" s="1">
        <v>3.5179999999999998</v>
      </c>
    </row>
    <row r="85" spans="1:6">
      <c r="A85" t="s">
        <v>18</v>
      </c>
      <c r="B85" s="13" t="s">
        <v>46</v>
      </c>
      <c r="C85" s="1" t="s">
        <v>48</v>
      </c>
      <c r="D85" s="7">
        <v>2009</v>
      </c>
      <c r="E85" t="s">
        <v>11</v>
      </c>
      <c r="F85" s="1">
        <v>3.569</v>
      </c>
    </row>
    <row r="86" spans="1:6">
      <c r="A86" t="s">
        <v>18</v>
      </c>
      <c r="B86" s="13" t="s">
        <v>46</v>
      </c>
      <c r="C86" s="1" t="s">
        <v>49</v>
      </c>
      <c r="D86" s="7">
        <v>2015</v>
      </c>
      <c r="E86" t="s">
        <v>11</v>
      </c>
      <c r="F86" s="9">
        <v>3.49</v>
      </c>
    </row>
    <row r="87" spans="1:6">
      <c r="A87" t="s">
        <v>18</v>
      </c>
      <c r="B87" s="15" t="s">
        <v>50</v>
      </c>
      <c r="C87" s="1" t="s">
        <v>51</v>
      </c>
      <c r="D87" s="7">
        <v>2808</v>
      </c>
      <c r="E87" t="s">
        <v>9</v>
      </c>
      <c r="F87" s="9">
        <v>0.84599999999999997</v>
      </c>
    </row>
    <row r="88" spans="1:6">
      <c r="A88" t="s">
        <v>18</v>
      </c>
      <c r="B88" s="15" t="s">
        <v>50</v>
      </c>
      <c r="C88" s="1" t="s">
        <v>52</v>
      </c>
      <c r="D88" s="7">
        <v>2814</v>
      </c>
      <c r="E88" t="s">
        <v>9</v>
      </c>
      <c r="F88" s="9">
        <v>0.93500000000000005</v>
      </c>
    </row>
    <row r="89" spans="1:6">
      <c r="A89" t="s">
        <v>18</v>
      </c>
      <c r="B89" s="15" t="s">
        <v>50</v>
      </c>
      <c r="C89" s="1" t="s">
        <v>53</v>
      </c>
      <c r="D89" s="7">
        <v>2820</v>
      </c>
      <c r="E89" t="s">
        <v>9</v>
      </c>
      <c r="F89" s="9">
        <v>0.748</v>
      </c>
    </row>
    <row r="90" spans="1:6">
      <c r="A90" t="s">
        <v>18</v>
      </c>
      <c r="B90" s="15" t="s">
        <v>50</v>
      </c>
      <c r="C90" s="1" t="s">
        <v>54</v>
      </c>
      <c r="D90" s="7">
        <v>2826</v>
      </c>
      <c r="E90" t="s">
        <v>9</v>
      </c>
      <c r="F90" s="9">
        <v>0.96399999999999997</v>
      </c>
    </row>
    <row r="91" spans="1:6">
      <c r="A91" t="s">
        <v>18</v>
      </c>
      <c r="B91" s="15" t="s">
        <v>50</v>
      </c>
      <c r="C91" s="1" t="s">
        <v>55</v>
      </c>
      <c r="D91" s="7">
        <v>2832</v>
      </c>
      <c r="E91" t="s">
        <v>9</v>
      </c>
      <c r="F91" s="9">
        <v>0.77</v>
      </c>
    </row>
    <row r="92" spans="1:6">
      <c r="A92" t="s">
        <v>18</v>
      </c>
      <c r="B92" s="15" t="s">
        <v>50</v>
      </c>
      <c r="C92" s="1" t="s">
        <v>56</v>
      </c>
      <c r="D92" s="7">
        <v>2838</v>
      </c>
      <c r="E92" t="s">
        <v>9</v>
      </c>
      <c r="F92" s="9">
        <v>0.94299999999999995</v>
      </c>
    </row>
    <row r="93" spans="1:6">
      <c r="A93" t="s">
        <v>18</v>
      </c>
      <c r="B93" s="15" t="s">
        <v>50</v>
      </c>
      <c r="C93" s="1" t="s">
        <v>57</v>
      </c>
      <c r="D93" s="7">
        <v>2844</v>
      </c>
      <c r="E93" t="s">
        <v>9</v>
      </c>
      <c r="F93" s="9">
        <v>0.79400000000000004</v>
      </c>
    </row>
    <row r="94" spans="1:6">
      <c r="A94" t="s">
        <v>18</v>
      </c>
      <c r="B94" s="15" t="s">
        <v>50</v>
      </c>
      <c r="C94" s="1" t="s">
        <v>51</v>
      </c>
      <c r="D94" s="7">
        <v>2809</v>
      </c>
      <c r="E94" t="s">
        <v>10</v>
      </c>
      <c r="F94" s="1">
        <v>1.3140000000000001</v>
      </c>
    </row>
    <row r="95" spans="1:6">
      <c r="A95" t="s">
        <v>18</v>
      </c>
      <c r="B95" s="15" t="s">
        <v>50</v>
      </c>
      <c r="C95" s="1" t="s">
        <v>52</v>
      </c>
      <c r="D95" s="7">
        <v>2815</v>
      </c>
      <c r="E95" t="s">
        <v>10</v>
      </c>
      <c r="F95" s="1">
        <v>1.548</v>
      </c>
    </row>
    <row r="96" spans="1:6">
      <c r="A96" t="s">
        <v>18</v>
      </c>
      <c r="B96" s="15" t="s">
        <v>50</v>
      </c>
      <c r="C96" s="1" t="s">
        <v>53</v>
      </c>
      <c r="D96" s="7">
        <v>2821</v>
      </c>
      <c r="E96" t="s">
        <v>10</v>
      </c>
      <c r="F96" s="1">
        <v>1.3580000000000001</v>
      </c>
    </row>
    <row r="97" spans="1:6">
      <c r="A97" t="s">
        <v>18</v>
      </c>
      <c r="B97" s="15" t="s">
        <v>50</v>
      </c>
      <c r="C97" s="1" t="s">
        <v>54</v>
      </c>
      <c r="D97" s="7">
        <v>2827</v>
      </c>
      <c r="E97" t="s">
        <v>10</v>
      </c>
      <c r="F97" s="1">
        <v>1.756</v>
      </c>
    </row>
    <row r="98" spans="1:6">
      <c r="A98" t="s">
        <v>18</v>
      </c>
      <c r="B98" s="15" t="s">
        <v>50</v>
      </c>
      <c r="C98" s="1" t="s">
        <v>55</v>
      </c>
      <c r="D98" s="7">
        <v>2833</v>
      </c>
      <c r="E98" t="s">
        <v>10</v>
      </c>
      <c r="F98" s="1">
        <v>1.524</v>
      </c>
    </row>
    <row r="99" spans="1:6">
      <c r="A99" t="s">
        <v>18</v>
      </c>
      <c r="B99" s="15" t="s">
        <v>50</v>
      </c>
      <c r="C99" s="1" t="s">
        <v>56</v>
      </c>
      <c r="D99" s="7">
        <v>2839</v>
      </c>
      <c r="E99" t="s">
        <v>10</v>
      </c>
      <c r="F99" s="1">
        <v>1.728</v>
      </c>
    </row>
    <row r="100" spans="1:6">
      <c r="A100" t="s">
        <v>18</v>
      </c>
      <c r="B100" s="15" t="s">
        <v>50</v>
      </c>
      <c r="C100" s="1" t="s">
        <v>57</v>
      </c>
      <c r="D100" s="7">
        <v>2845</v>
      </c>
      <c r="E100" t="s">
        <v>10</v>
      </c>
      <c r="F100" s="1">
        <v>1.369</v>
      </c>
    </row>
    <row r="101" spans="1:6">
      <c r="A101" t="s">
        <v>18</v>
      </c>
      <c r="B101" s="15" t="s">
        <v>50</v>
      </c>
      <c r="C101" s="1" t="s">
        <v>51</v>
      </c>
      <c r="D101" s="7">
        <v>2807</v>
      </c>
      <c r="E101" t="s">
        <v>11</v>
      </c>
      <c r="F101" s="1">
        <v>2.9390000000000001</v>
      </c>
    </row>
    <row r="102" spans="1:6">
      <c r="A102" t="s">
        <v>18</v>
      </c>
      <c r="B102" s="15" t="s">
        <v>50</v>
      </c>
      <c r="C102" s="1" t="s">
        <v>52</v>
      </c>
      <c r="D102" s="7">
        <v>2813</v>
      </c>
      <c r="E102" t="s">
        <v>11</v>
      </c>
      <c r="F102" s="1">
        <v>3.5640000000000001</v>
      </c>
    </row>
    <row r="103" spans="1:6">
      <c r="A103" t="s">
        <v>18</v>
      </c>
      <c r="B103" s="15" t="s">
        <v>50</v>
      </c>
      <c r="C103" s="1" t="s">
        <v>53</v>
      </c>
      <c r="D103" s="7">
        <v>2819</v>
      </c>
      <c r="E103" t="s">
        <v>11</v>
      </c>
      <c r="F103" s="1">
        <v>3.2650000000000001</v>
      </c>
    </row>
    <row r="104" spans="1:6">
      <c r="A104" t="s">
        <v>18</v>
      </c>
      <c r="B104" s="15" t="s">
        <v>50</v>
      </c>
      <c r="C104" s="1" t="s">
        <v>54</v>
      </c>
      <c r="D104" s="7">
        <v>2825</v>
      </c>
      <c r="E104" t="s">
        <v>11</v>
      </c>
      <c r="F104" s="1">
        <v>3.3889999999999998</v>
      </c>
    </row>
    <row r="105" spans="1:6">
      <c r="A105" t="s">
        <v>18</v>
      </c>
      <c r="B105" s="15" t="s">
        <v>50</v>
      </c>
      <c r="C105" s="1" t="s">
        <v>55</v>
      </c>
      <c r="D105" s="7">
        <v>2831</v>
      </c>
      <c r="E105" t="s">
        <v>11</v>
      </c>
      <c r="F105" s="1">
        <v>3.008</v>
      </c>
    </row>
    <row r="106" spans="1:6">
      <c r="A106" t="s">
        <v>18</v>
      </c>
      <c r="B106" s="15" t="s">
        <v>50</v>
      </c>
      <c r="C106" s="1" t="s">
        <v>56</v>
      </c>
      <c r="D106" s="7">
        <v>2837</v>
      </c>
      <c r="E106" t="s">
        <v>11</v>
      </c>
      <c r="F106" s="1">
        <v>3.6920000000000002</v>
      </c>
    </row>
    <row r="107" spans="1:6">
      <c r="A107" t="s">
        <v>18</v>
      </c>
      <c r="B107" s="15" t="s">
        <v>50</v>
      </c>
      <c r="C107" s="1" t="s">
        <v>57</v>
      </c>
      <c r="D107" s="7">
        <v>2843</v>
      </c>
      <c r="E107" t="s">
        <v>11</v>
      </c>
      <c r="F107" s="9">
        <v>3.01</v>
      </c>
    </row>
    <row r="108" spans="1:6">
      <c r="A108" t="s">
        <v>18</v>
      </c>
      <c r="B108" s="13" t="s">
        <v>58</v>
      </c>
      <c r="C108" s="1" t="s">
        <v>59</v>
      </c>
      <c r="D108" s="7">
        <v>2022</v>
      </c>
      <c r="E108" t="s">
        <v>9</v>
      </c>
      <c r="F108" s="1">
        <v>1.405</v>
      </c>
    </row>
    <row r="109" spans="1:6">
      <c r="A109" t="s">
        <v>18</v>
      </c>
      <c r="B109" s="13" t="s">
        <v>58</v>
      </c>
      <c r="C109" s="1" t="s">
        <v>60</v>
      </c>
      <c r="D109" s="7">
        <v>2040</v>
      </c>
      <c r="E109" t="s">
        <v>9</v>
      </c>
      <c r="F109" s="1">
        <v>1.4990000000000001</v>
      </c>
    </row>
    <row r="110" spans="1:6">
      <c r="A110" t="s">
        <v>18</v>
      </c>
      <c r="B110" s="13" t="s">
        <v>58</v>
      </c>
      <c r="C110" s="1" t="s">
        <v>61</v>
      </c>
      <c r="D110" s="7">
        <v>2046</v>
      </c>
      <c r="E110" t="s">
        <v>9</v>
      </c>
      <c r="F110" s="1">
        <v>1.7490000000000001</v>
      </c>
    </row>
    <row r="111" spans="1:6">
      <c r="A111" t="s">
        <v>18</v>
      </c>
      <c r="B111" s="13" t="s">
        <v>58</v>
      </c>
      <c r="C111" s="1" t="s">
        <v>62</v>
      </c>
      <c r="D111" s="7">
        <v>2052</v>
      </c>
      <c r="E111" t="s">
        <v>9</v>
      </c>
      <c r="F111" s="1">
        <v>1.607</v>
      </c>
    </row>
    <row r="112" spans="1:6">
      <c r="A112" t="s">
        <v>18</v>
      </c>
      <c r="B112" s="13" t="s">
        <v>58</v>
      </c>
      <c r="C112" s="1" t="s">
        <v>63</v>
      </c>
      <c r="D112" s="7">
        <v>2058</v>
      </c>
      <c r="E112" t="s">
        <v>9</v>
      </c>
      <c r="F112" s="1">
        <v>1.474</v>
      </c>
    </row>
    <row r="113" spans="1:6">
      <c r="A113" t="s">
        <v>18</v>
      </c>
      <c r="B113" s="13" t="s">
        <v>58</v>
      </c>
      <c r="C113" s="1" t="s">
        <v>64</v>
      </c>
      <c r="D113" s="7">
        <v>2064</v>
      </c>
      <c r="E113" t="s">
        <v>9</v>
      </c>
      <c r="F113" s="1">
        <v>1.4850000000000001</v>
      </c>
    </row>
    <row r="114" spans="1:6">
      <c r="A114" t="s">
        <v>18</v>
      </c>
      <c r="B114" s="13" t="s">
        <v>58</v>
      </c>
      <c r="C114" s="1" t="s">
        <v>65</v>
      </c>
      <c r="D114" s="7">
        <v>2070</v>
      </c>
      <c r="E114" t="s">
        <v>9</v>
      </c>
      <c r="F114" s="1">
        <v>1.506</v>
      </c>
    </row>
    <row r="115" spans="1:6">
      <c r="A115" t="s">
        <v>18</v>
      </c>
      <c r="B115" s="13" t="s">
        <v>58</v>
      </c>
      <c r="C115" s="1" t="s">
        <v>66</v>
      </c>
      <c r="D115" s="7">
        <v>2028</v>
      </c>
      <c r="E115" t="s">
        <v>9</v>
      </c>
      <c r="F115" s="1">
        <v>1.1859999999999999</v>
      </c>
    </row>
    <row r="116" spans="1:6">
      <c r="A116" t="s">
        <v>18</v>
      </c>
      <c r="B116" s="13" t="s">
        <v>58</v>
      </c>
      <c r="C116" s="1" t="s">
        <v>67</v>
      </c>
      <c r="D116" s="7">
        <v>2034</v>
      </c>
      <c r="E116" t="s">
        <v>9</v>
      </c>
      <c r="F116" s="1">
        <v>1.3080000000000001</v>
      </c>
    </row>
    <row r="117" spans="1:6">
      <c r="A117" t="s">
        <v>18</v>
      </c>
      <c r="B117" s="13" t="s">
        <v>58</v>
      </c>
      <c r="C117" s="1" t="s">
        <v>59</v>
      </c>
      <c r="D117" s="7">
        <v>2023</v>
      </c>
      <c r="E117" t="s">
        <v>10</v>
      </c>
      <c r="F117" s="9">
        <v>1.62</v>
      </c>
    </row>
    <row r="118" spans="1:6">
      <c r="A118" t="s">
        <v>18</v>
      </c>
      <c r="B118" s="13" t="s">
        <v>58</v>
      </c>
      <c r="C118" s="1" t="s">
        <v>60</v>
      </c>
      <c r="D118" s="7">
        <v>2041</v>
      </c>
      <c r="E118" t="s">
        <v>10</v>
      </c>
      <c r="F118" s="1">
        <v>1.772</v>
      </c>
    </row>
    <row r="119" spans="1:6">
      <c r="A119" t="s">
        <v>18</v>
      </c>
      <c r="B119" s="13" t="s">
        <v>58</v>
      </c>
      <c r="C119" s="1" t="s">
        <v>61</v>
      </c>
      <c r="D119" s="7">
        <v>2047</v>
      </c>
      <c r="E119" t="s">
        <v>10</v>
      </c>
      <c r="F119" s="1">
        <v>1.9279999999999999</v>
      </c>
    </row>
    <row r="120" spans="1:6">
      <c r="A120" t="s">
        <v>18</v>
      </c>
      <c r="B120" s="13" t="s">
        <v>58</v>
      </c>
      <c r="C120" s="1" t="s">
        <v>62</v>
      </c>
      <c r="D120" s="7">
        <v>2053</v>
      </c>
      <c r="E120" t="s">
        <v>10</v>
      </c>
      <c r="F120" s="1">
        <v>1.7549999999999999</v>
      </c>
    </row>
    <row r="121" spans="1:6">
      <c r="A121" t="s">
        <v>18</v>
      </c>
      <c r="B121" s="13" t="s">
        <v>58</v>
      </c>
      <c r="C121" s="1" t="s">
        <v>63</v>
      </c>
      <c r="D121" s="7">
        <v>2059</v>
      </c>
      <c r="E121" t="s">
        <v>10</v>
      </c>
      <c r="F121" s="9">
        <v>1.74</v>
      </c>
    </row>
    <row r="122" spans="1:6">
      <c r="A122" t="s">
        <v>18</v>
      </c>
      <c r="B122" s="13" t="s">
        <v>58</v>
      </c>
      <c r="C122" s="1" t="s">
        <v>64</v>
      </c>
      <c r="D122" s="7">
        <v>2065</v>
      </c>
      <c r="E122" t="s">
        <v>10</v>
      </c>
      <c r="F122" s="1">
        <v>1.8240000000000001</v>
      </c>
    </row>
    <row r="123" spans="1:6">
      <c r="A123" t="s">
        <v>18</v>
      </c>
      <c r="B123" s="13" t="s">
        <v>58</v>
      </c>
      <c r="C123" s="1" t="s">
        <v>65</v>
      </c>
      <c r="D123" s="7">
        <v>2071</v>
      </c>
      <c r="E123" t="s">
        <v>10</v>
      </c>
      <c r="F123" s="1">
        <v>1.8540000000000001</v>
      </c>
    </row>
    <row r="124" spans="1:6">
      <c r="A124" t="s">
        <v>18</v>
      </c>
      <c r="B124" s="13" t="s">
        <v>58</v>
      </c>
      <c r="C124" s="1" t="s">
        <v>66</v>
      </c>
      <c r="D124" s="7">
        <v>2029</v>
      </c>
      <c r="E124" t="s">
        <v>10</v>
      </c>
      <c r="F124" s="1">
        <v>1.718</v>
      </c>
    </row>
    <row r="125" spans="1:6">
      <c r="A125" t="s">
        <v>18</v>
      </c>
      <c r="B125" s="13" t="s">
        <v>58</v>
      </c>
      <c r="C125" s="1" t="s">
        <v>67</v>
      </c>
      <c r="D125" s="7">
        <v>2035</v>
      </c>
      <c r="E125" t="s">
        <v>10</v>
      </c>
      <c r="F125" s="1">
        <v>1.5409999999999999</v>
      </c>
    </row>
    <row r="126" spans="1:6">
      <c r="A126" t="s">
        <v>18</v>
      </c>
      <c r="B126" s="13" t="s">
        <v>58</v>
      </c>
      <c r="C126" s="1" t="s">
        <v>59</v>
      </c>
      <c r="D126" s="7">
        <v>2021</v>
      </c>
      <c r="E126" t="s">
        <v>11</v>
      </c>
      <c r="F126" s="1">
        <v>4.4240000000000004</v>
      </c>
    </row>
    <row r="127" spans="1:6">
      <c r="A127" t="s">
        <v>18</v>
      </c>
      <c r="B127" s="13" t="s">
        <v>58</v>
      </c>
      <c r="C127" s="1" t="s">
        <v>60</v>
      </c>
      <c r="D127" s="7">
        <v>2039</v>
      </c>
      <c r="E127" t="s">
        <v>11</v>
      </c>
      <c r="F127" s="1">
        <v>5.0049999999999999</v>
      </c>
    </row>
    <row r="128" spans="1:6">
      <c r="A128" t="s">
        <v>18</v>
      </c>
      <c r="B128" s="13" t="s">
        <v>58</v>
      </c>
      <c r="C128" s="1" t="s">
        <v>61</v>
      </c>
      <c r="D128" s="7">
        <v>2045</v>
      </c>
      <c r="E128" t="s">
        <v>11</v>
      </c>
      <c r="F128" s="9">
        <v>5.98</v>
      </c>
    </row>
    <row r="129" spans="1:6">
      <c r="A129" t="s">
        <v>18</v>
      </c>
      <c r="B129" s="13" t="s">
        <v>58</v>
      </c>
      <c r="C129" s="1" t="s">
        <v>62</v>
      </c>
      <c r="D129" s="7">
        <v>2051</v>
      </c>
      <c r="E129" t="s">
        <v>11</v>
      </c>
      <c r="F129" s="9">
        <v>5.19</v>
      </c>
    </row>
    <row r="130" spans="1:6">
      <c r="A130" t="s">
        <v>18</v>
      </c>
      <c r="B130" s="13" t="s">
        <v>58</v>
      </c>
      <c r="C130" s="1" t="s">
        <v>63</v>
      </c>
      <c r="D130" s="7">
        <v>2057</v>
      </c>
      <c r="E130" t="s">
        <v>11</v>
      </c>
      <c r="F130" s="1">
        <v>5.0830000000000002</v>
      </c>
    </row>
    <row r="131" spans="1:6">
      <c r="A131" t="s">
        <v>18</v>
      </c>
      <c r="B131" s="13" t="s">
        <v>58</v>
      </c>
      <c r="C131" s="1" t="s">
        <v>64</v>
      </c>
      <c r="D131" s="7">
        <v>2063</v>
      </c>
      <c r="E131" t="s">
        <v>11</v>
      </c>
      <c r="F131" s="1">
        <v>5.383</v>
      </c>
    </row>
    <row r="132" spans="1:6">
      <c r="A132" t="s">
        <v>18</v>
      </c>
      <c r="B132" s="13" t="s">
        <v>58</v>
      </c>
      <c r="C132" s="1" t="s">
        <v>65</v>
      </c>
      <c r="D132" s="7">
        <v>2069</v>
      </c>
      <c r="E132" t="s">
        <v>11</v>
      </c>
      <c r="F132" s="1">
        <v>5.2389999999999999</v>
      </c>
    </row>
    <row r="133" spans="1:6">
      <c r="A133" t="s">
        <v>18</v>
      </c>
      <c r="B133" s="13" t="s">
        <v>58</v>
      </c>
      <c r="C133" s="1" t="s">
        <v>66</v>
      </c>
      <c r="D133" s="7">
        <v>2027</v>
      </c>
      <c r="E133" t="s">
        <v>11</v>
      </c>
      <c r="F133" s="1">
        <v>4.1749999999999998</v>
      </c>
    </row>
    <row r="134" spans="1:6">
      <c r="A134" t="s">
        <v>18</v>
      </c>
      <c r="B134" s="13" t="s">
        <v>58</v>
      </c>
      <c r="C134" s="1" t="s">
        <v>67</v>
      </c>
      <c r="D134" s="7">
        <v>2033</v>
      </c>
      <c r="E134" t="s">
        <v>11</v>
      </c>
      <c r="F134" s="1">
        <v>4.5759999999999996</v>
      </c>
    </row>
    <row r="135" spans="1:6">
      <c r="A135" t="s">
        <v>18</v>
      </c>
      <c r="B135" s="13" t="s">
        <v>68</v>
      </c>
      <c r="C135" s="1" t="s">
        <v>69</v>
      </c>
      <c r="D135" s="7">
        <v>2076</v>
      </c>
      <c r="E135" t="s">
        <v>9</v>
      </c>
      <c r="F135" s="1">
        <v>1.476</v>
      </c>
    </row>
    <row r="136" spans="1:6">
      <c r="A136" t="s">
        <v>18</v>
      </c>
      <c r="B136" s="13" t="s">
        <v>68</v>
      </c>
      <c r="C136" s="1" t="s">
        <v>70</v>
      </c>
      <c r="D136" s="7">
        <v>2082</v>
      </c>
      <c r="E136" t="s">
        <v>9</v>
      </c>
      <c r="F136" s="1">
        <v>1.5720000000000001</v>
      </c>
    </row>
    <row r="137" spans="1:6">
      <c r="A137" t="s">
        <v>18</v>
      </c>
      <c r="B137" s="13" t="s">
        <v>68</v>
      </c>
      <c r="C137" s="1" t="s">
        <v>71</v>
      </c>
      <c r="D137" s="7">
        <v>2088</v>
      </c>
      <c r="E137" t="s">
        <v>9</v>
      </c>
      <c r="F137" s="1">
        <v>1.397</v>
      </c>
    </row>
    <row r="138" spans="1:6">
      <c r="A138" t="s">
        <v>18</v>
      </c>
      <c r="B138" s="13" t="s">
        <v>68</v>
      </c>
      <c r="C138" s="1" t="s">
        <v>69</v>
      </c>
      <c r="D138" s="7">
        <v>2077</v>
      </c>
      <c r="E138" t="s">
        <v>10</v>
      </c>
      <c r="F138" s="1">
        <v>1.7130000000000001</v>
      </c>
    </row>
    <row r="139" spans="1:6">
      <c r="A139" t="s">
        <v>18</v>
      </c>
      <c r="B139" s="13" t="s">
        <v>68</v>
      </c>
      <c r="C139" s="1" t="s">
        <v>70</v>
      </c>
      <c r="D139" s="7">
        <v>2083</v>
      </c>
      <c r="E139" t="s">
        <v>10</v>
      </c>
      <c r="F139" s="1">
        <v>1.8740000000000001</v>
      </c>
    </row>
    <row r="140" spans="1:6">
      <c r="A140" t="s">
        <v>18</v>
      </c>
      <c r="B140" s="13" t="s">
        <v>68</v>
      </c>
      <c r="C140" s="1" t="s">
        <v>71</v>
      </c>
      <c r="D140" s="7">
        <v>2089</v>
      </c>
      <c r="E140" t="s">
        <v>10</v>
      </c>
      <c r="F140" s="1">
        <v>2.3319999999999999</v>
      </c>
    </row>
    <row r="141" spans="1:6">
      <c r="A141" t="s">
        <v>18</v>
      </c>
      <c r="B141" s="13" t="s">
        <v>68</v>
      </c>
      <c r="C141" s="1" t="s">
        <v>69</v>
      </c>
      <c r="D141" s="7">
        <v>2075</v>
      </c>
      <c r="E141" t="s">
        <v>11</v>
      </c>
      <c r="F141" s="1">
        <v>4.8490000000000002</v>
      </c>
    </row>
    <row r="142" spans="1:6">
      <c r="A142" t="s">
        <v>18</v>
      </c>
      <c r="B142" s="13" t="s">
        <v>68</v>
      </c>
      <c r="C142" s="1" t="s">
        <v>70</v>
      </c>
      <c r="D142" s="7">
        <v>2081</v>
      </c>
      <c r="E142" t="s">
        <v>11</v>
      </c>
      <c r="F142" s="1">
        <v>5.0529999999999999</v>
      </c>
    </row>
    <row r="143" spans="1:6">
      <c r="A143" t="s">
        <v>18</v>
      </c>
      <c r="B143" s="13" t="s">
        <v>68</v>
      </c>
      <c r="C143" s="1" t="s">
        <v>71</v>
      </c>
      <c r="D143" s="7">
        <v>2087</v>
      </c>
      <c r="E143" t="s">
        <v>11</v>
      </c>
      <c r="F143" s="1">
        <v>4.9809999999999999</v>
      </c>
    </row>
    <row r="144" spans="1:6">
      <c r="A144" t="s">
        <v>18</v>
      </c>
      <c r="B144" s="13" t="s">
        <v>72</v>
      </c>
      <c r="C144" s="1" t="s">
        <v>73</v>
      </c>
      <c r="D144" s="7">
        <v>2094</v>
      </c>
      <c r="E144" t="s">
        <v>9</v>
      </c>
      <c r="F144" s="1">
        <v>1.6319999999999999</v>
      </c>
    </row>
    <row r="145" spans="1:6">
      <c r="A145" t="s">
        <v>18</v>
      </c>
      <c r="B145" s="13" t="s">
        <v>72</v>
      </c>
      <c r="C145" s="1" t="s">
        <v>74</v>
      </c>
      <c r="D145" s="7">
        <v>2100</v>
      </c>
      <c r="E145" t="s">
        <v>9</v>
      </c>
      <c r="F145" s="1">
        <v>1.6539999999999999</v>
      </c>
    </row>
    <row r="146" spans="1:6">
      <c r="A146" t="s">
        <v>18</v>
      </c>
      <c r="B146" s="13" t="s">
        <v>72</v>
      </c>
      <c r="C146" s="1" t="s">
        <v>75</v>
      </c>
      <c r="D146" s="7">
        <v>2106</v>
      </c>
      <c r="E146" t="s">
        <v>9</v>
      </c>
      <c r="F146" s="1">
        <v>1.706</v>
      </c>
    </row>
    <row r="147" spans="1:6">
      <c r="A147" t="s">
        <v>18</v>
      </c>
      <c r="B147" s="13" t="s">
        <v>72</v>
      </c>
      <c r="C147" s="1" t="s">
        <v>76</v>
      </c>
      <c r="D147" s="7">
        <v>2112</v>
      </c>
      <c r="E147" t="s">
        <v>9</v>
      </c>
      <c r="F147" s="1">
        <v>1.823</v>
      </c>
    </row>
    <row r="148" spans="1:6">
      <c r="A148" t="s">
        <v>18</v>
      </c>
      <c r="B148" s="13" t="s">
        <v>72</v>
      </c>
      <c r="C148" s="1" t="s">
        <v>77</v>
      </c>
      <c r="D148" s="7">
        <v>2118</v>
      </c>
      <c r="E148" t="s">
        <v>9</v>
      </c>
      <c r="F148" s="1">
        <v>1.7010000000000001</v>
      </c>
    </row>
    <row r="149" spans="1:6">
      <c r="A149" t="s">
        <v>18</v>
      </c>
      <c r="B149" s="13" t="s">
        <v>72</v>
      </c>
      <c r="C149" s="1" t="s">
        <v>78</v>
      </c>
      <c r="D149" s="7">
        <v>2124</v>
      </c>
      <c r="E149" t="s">
        <v>9</v>
      </c>
      <c r="F149" s="1">
        <v>1.5229999999999999</v>
      </c>
    </row>
    <row r="150" spans="1:6">
      <c r="A150" t="s">
        <v>18</v>
      </c>
      <c r="B150" s="13" t="s">
        <v>72</v>
      </c>
      <c r="C150" s="1" t="s">
        <v>79</v>
      </c>
      <c r="D150" s="7">
        <v>2130</v>
      </c>
      <c r="E150" t="s">
        <v>9</v>
      </c>
      <c r="F150" s="1">
        <v>1.556</v>
      </c>
    </row>
    <row r="151" spans="1:6">
      <c r="A151" t="s">
        <v>18</v>
      </c>
      <c r="B151" s="13" t="s">
        <v>72</v>
      </c>
      <c r="C151" s="1" t="s">
        <v>73</v>
      </c>
      <c r="D151" s="7">
        <v>2095</v>
      </c>
      <c r="E151" t="s">
        <v>10</v>
      </c>
      <c r="F151" s="1">
        <v>2.0640000000000001</v>
      </c>
    </row>
    <row r="152" spans="1:6">
      <c r="A152" t="s">
        <v>18</v>
      </c>
      <c r="B152" s="13" t="s">
        <v>72</v>
      </c>
      <c r="C152" s="1" t="s">
        <v>74</v>
      </c>
      <c r="D152" s="7">
        <v>2101</v>
      </c>
      <c r="E152" t="s">
        <v>10</v>
      </c>
      <c r="F152" s="1">
        <v>2.097</v>
      </c>
    </row>
    <row r="153" spans="1:6">
      <c r="A153" t="s">
        <v>18</v>
      </c>
      <c r="B153" s="13" t="s">
        <v>72</v>
      </c>
      <c r="C153" s="1" t="s">
        <v>75</v>
      </c>
      <c r="D153" s="7">
        <v>2107</v>
      </c>
      <c r="E153" t="s">
        <v>10</v>
      </c>
      <c r="F153" s="1">
        <v>1.9930000000000001</v>
      </c>
    </row>
    <row r="154" spans="1:6">
      <c r="A154" t="s">
        <v>18</v>
      </c>
      <c r="B154" s="13" t="s">
        <v>72</v>
      </c>
      <c r="C154" s="1" t="s">
        <v>76</v>
      </c>
      <c r="D154" s="7">
        <v>2113</v>
      </c>
      <c r="E154" t="s">
        <v>10</v>
      </c>
      <c r="F154" s="9">
        <v>1.88</v>
      </c>
    </row>
    <row r="155" spans="1:6">
      <c r="A155" t="s">
        <v>18</v>
      </c>
      <c r="B155" s="13" t="s">
        <v>72</v>
      </c>
      <c r="C155" s="1" t="s">
        <v>77</v>
      </c>
      <c r="D155" s="7">
        <v>2119</v>
      </c>
      <c r="E155" t="s">
        <v>10</v>
      </c>
      <c r="F155" s="1">
        <v>2.1850000000000001</v>
      </c>
    </row>
    <row r="156" spans="1:6">
      <c r="A156" t="s">
        <v>18</v>
      </c>
      <c r="B156" s="13" t="s">
        <v>72</v>
      </c>
      <c r="C156" s="1" t="s">
        <v>78</v>
      </c>
      <c r="D156" s="7">
        <v>2125</v>
      </c>
      <c r="E156" t="s">
        <v>10</v>
      </c>
      <c r="F156" s="1">
        <v>1.827</v>
      </c>
    </row>
    <row r="157" spans="1:6">
      <c r="A157" t="s">
        <v>18</v>
      </c>
      <c r="B157" s="13" t="s">
        <v>72</v>
      </c>
      <c r="C157" s="1" t="s">
        <v>79</v>
      </c>
      <c r="D157" s="7">
        <v>2131</v>
      </c>
      <c r="E157" t="s">
        <v>10</v>
      </c>
      <c r="F157" s="1">
        <v>1.7110000000000001</v>
      </c>
    </row>
    <row r="158" spans="1:6">
      <c r="A158" t="s">
        <v>18</v>
      </c>
      <c r="B158" s="13" t="s">
        <v>72</v>
      </c>
      <c r="C158" s="1" t="s">
        <v>73</v>
      </c>
      <c r="D158" s="7">
        <v>2093</v>
      </c>
      <c r="E158" t="s">
        <v>11</v>
      </c>
      <c r="F158" s="1">
        <v>5.391</v>
      </c>
    </row>
    <row r="159" spans="1:6">
      <c r="A159" t="s">
        <v>18</v>
      </c>
      <c r="B159" s="13" t="s">
        <v>72</v>
      </c>
      <c r="C159" s="1" t="s">
        <v>74</v>
      </c>
      <c r="D159" s="7">
        <v>2099</v>
      </c>
      <c r="E159" t="s">
        <v>11</v>
      </c>
      <c r="F159" s="1">
        <v>5.6980000000000004</v>
      </c>
    </row>
    <row r="160" spans="1:6">
      <c r="A160" t="s">
        <v>18</v>
      </c>
      <c r="B160" s="13" t="s">
        <v>72</v>
      </c>
      <c r="C160" s="1" t="s">
        <v>75</v>
      </c>
      <c r="D160" s="7">
        <v>2105</v>
      </c>
      <c r="E160" t="s">
        <v>11</v>
      </c>
      <c r="F160" s="1">
        <v>5.6820000000000004</v>
      </c>
    </row>
    <row r="161" spans="1:6">
      <c r="A161" t="s">
        <v>18</v>
      </c>
      <c r="B161" s="13" t="s">
        <v>72</v>
      </c>
      <c r="C161" s="1" t="s">
        <v>76</v>
      </c>
      <c r="D161" s="7">
        <v>2111</v>
      </c>
      <c r="E161" t="s">
        <v>11</v>
      </c>
      <c r="F161" s="1">
        <v>5.258</v>
      </c>
    </row>
    <row r="162" spans="1:6">
      <c r="A162" t="s">
        <v>18</v>
      </c>
      <c r="B162" s="13" t="s">
        <v>72</v>
      </c>
      <c r="C162" s="1" t="s">
        <v>77</v>
      </c>
      <c r="D162" s="7">
        <v>2117</v>
      </c>
      <c r="E162" t="s">
        <v>11</v>
      </c>
      <c r="F162" s="1">
        <v>5.5830000000000002</v>
      </c>
    </row>
    <row r="163" spans="1:6">
      <c r="A163" t="s">
        <v>18</v>
      </c>
      <c r="B163" s="13" t="s">
        <v>72</v>
      </c>
      <c r="C163" s="1" t="s">
        <v>78</v>
      </c>
      <c r="D163" s="7">
        <v>2123</v>
      </c>
      <c r="E163" t="s">
        <v>11</v>
      </c>
      <c r="F163" s="1">
        <v>5.2110000000000003</v>
      </c>
    </row>
    <row r="164" spans="1:6">
      <c r="A164" t="s">
        <v>18</v>
      </c>
      <c r="B164" s="13" t="s">
        <v>72</v>
      </c>
      <c r="C164" s="1" t="s">
        <v>79</v>
      </c>
      <c r="D164" s="7">
        <v>2129</v>
      </c>
      <c r="E164" t="s">
        <v>11</v>
      </c>
      <c r="F164" s="1">
        <v>5.3259999999999996</v>
      </c>
    </row>
    <row r="165" spans="1:6">
      <c r="A165" t="s">
        <v>18</v>
      </c>
      <c r="B165" s="2" t="s">
        <v>80</v>
      </c>
      <c r="C165" s="3" t="s">
        <v>81</v>
      </c>
      <c r="D165" s="7">
        <v>4950</v>
      </c>
      <c r="E165" t="s">
        <v>9</v>
      </c>
      <c r="F165" s="10">
        <v>1.48</v>
      </c>
    </row>
    <row r="166" spans="1:6">
      <c r="A166" t="s">
        <v>18</v>
      </c>
      <c r="B166" s="2" t="s">
        <v>80</v>
      </c>
      <c r="C166" s="3" t="s">
        <v>81</v>
      </c>
      <c r="D166" s="7">
        <v>4952</v>
      </c>
      <c r="E166" t="s">
        <v>11</v>
      </c>
      <c r="F166" s="10">
        <v>5.96</v>
      </c>
    </row>
    <row r="167" spans="1:6">
      <c r="A167" t="s">
        <v>18</v>
      </c>
      <c r="B167" s="2" t="s">
        <v>80</v>
      </c>
      <c r="C167" s="3" t="s">
        <v>81</v>
      </c>
      <c r="D167" s="7">
        <v>4953</v>
      </c>
      <c r="E167" t="s">
        <v>12</v>
      </c>
      <c r="F167" s="10">
        <v>1.47</v>
      </c>
    </row>
    <row r="168" spans="1:6">
      <c r="A168" t="s">
        <v>82</v>
      </c>
      <c r="B168" t="s">
        <v>83</v>
      </c>
      <c r="C168" s="3" t="s">
        <v>84</v>
      </c>
      <c r="D168" s="7">
        <v>4946</v>
      </c>
      <c r="E168" t="s">
        <v>9</v>
      </c>
      <c r="F168" s="10">
        <v>3.86</v>
      </c>
    </row>
    <row r="169" spans="1:6">
      <c r="A169" t="s">
        <v>82</v>
      </c>
      <c r="B169" t="s">
        <v>83</v>
      </c>
      <c r="C169" s="3" t="s">
        <v>84</v>
      </c>
      <c r="D169" s="7">
        <v>4947</v>
      </c>
      <c r="E169" t="s">
        <v>10</v>
      </c>
      <c r="F169" s="10">
        <f>2.83+4.2</f>
        <v>7.03</v>
      </c>
    </row>
    <row r="170" spans="1:6">
      <c r="A170" t="s">
        <v>82</v>
      </c>
      <c r="B170" t="s">
        <v>83</v>
      </c>
      <c r="C170" s="3" t="s">
        <v>84</v>
      </c>
      <c r="D170" s="7">
        <v>4948</v>
      </c>
      <c r="E170" t="s">
        <v>11</v>
      </c>
      <c r="F170" s="10">
        <v>10.18</v>
      </c>
    </row>
    <row r="171" spans="1:6">
      <c r="A171" t="s">
        <v>82</v>
      </c>
      <c r="B171" t="s">
        <v>83</v>
      </c>
      <c r="C171" s="3" t="s">
        <v>84</v>
      </c>
      <c r="D171" s="7">
        <v>4949</v>
      </c>
      <c r="E171" t="s">
        <v>12</v>
      </c>
      <c r="F171" s="10">
        <v>2.79</v>
      </c>
    </row>
    <row r="172" spans="1:6">
      <c r="A172" t="s">
        <v>85</v>
      </c>
      <c r="B172" s="2" t="s">
        <v>86</v>
      </c>
      <c r="C172" s="3" t="s">
        <v>87</v>
      </c>
      <c r="D172" s="7">
        <v>4962</v>
      </c>
      <c r="E172" t="s">
        <v>9</v>
      </c>
      <c r="F172" s="10">
        <v>2.38</v>
      </c>
    </row>
    <row r="173" spans="1:6">
      <c r="A173" t="s">
        <v>85</v>
      </c>
      <c r="B173" s="2" t="s">
        <v>86</v>
      </c>
      <c r="C173" s="3" t="s">
        <v>87</v>
      </c>
      <c r="D173" s="7">
        <v>4964</v>
      </c>
      <c r="E173" t="s">
        <v>11</v>
      </c>
      <c r="F173" s="10">
        <v>6.98</v>
      </c>
    </row>
    <row r="174" spans="1:6">
      <c r="A174" t="s">
        <v>85</v>
      </c>
      <c r="B174" s="2" t="s">
        <v>86</v>
      </c>
      <c r="C174" s="3" t="s">
        <v>87</v>
      </c>
      <c r="D174" s="7">
        <v>4965</v>
      </c>
      <c r="E174" t="s">
        <v>12</v>
      </c>
      <c r="F174" s="10">
        <v>2.54</v>
      </c>
    </row>
    <row r="175" spans="1:6">
      <c r="A175" t="s">
        <v>18</v>
      </c>
      <c r="B175" s="2" t="s">
        <v>88</v>
      </c>
      <c r="C175" s="4" t="s">
        <v>89</v>
      </c>
      <c r="D175" s="7">
        <v>4845</v>
      </c>
      <c r="E175" t="s">
        <v>9</v>
      </c>
      <c r="F175" s="10">
        <v>1.21</v>
      </c>
    </row>
    <row r="176" spans="1:6">
      <c r="A176" t="s">
        <v>18</v>
      </c>
      <c r="B176" s="2" t="s">
        <v>88</v>
      </c>
      <c r="C176" s="4" t="s">
        <v>89</v>
      </c>
      <c r="D176" s="7">
        <v>4846</v>
      </c>
      <c r="E176" t="s">
        <v>10</v>
      </c>
      <c r="F176" s="10">
        <f>1.49+0.6</f>
        <v>2.09</v>
      </c>
    </row>
    <row r="177" spans="1:6">
      <c r="A177" t="s">
        <v>18</v>
      </c>
      <c r="B177" s="2" t="s">
        <v>88</v>
      </c>
      <c r="C177" s="4" t="s">
        <v>89</v>
      </c>
      <c r="D177" s="7">
        <v>4843</v>
      </c>
      <c r="E177" t="s">
        <v>11</v>
      </c>
      <c r="F177" s="10">
        <v>4.25</v>
      </c>
    </row>
    <row r="178" spans="1:6">
      <c r="A178" t="s">
        <v>18</v>
      </c>
      <c r="B178" s="2" t="s">
        <v>88</v>
      </c>
      <c r="C178" s="4" t="s">
        <v>89</v>
      </c>
      <c r="D178" s="7">
        <v>4844</v>
      </c>
      <c r="E178" t="s">
        <v>12</v>
      </c>
      <c r="F178" s="10">
        <v>1.42</v>
      </c>
    </row>
    <row r="179" spans="1:6">
      <c r="A179" t="s">
        <v>90</v>
      </c>
      <c r="B179" s="13" t="s">
        <v>91</v>
      </c>
      <c r="C179" s="3" t="s">
        <v>92</v>
      </c>
      <c r="D179" s="7">
        <v>4745</v>
      </c>
      <c r="E179" t="s">
        <v>9</v>
      </c>
      <c r="F179" s="10">
        <v>2.72</v>
      </c>
    </row>
    <row r="180" spans="1:6">
      <c r="A180" t="s">
        <v>90</v>
      </c>
      <c r="B180" s="13" t="s">
        <v>91</v>
      </c>
      <c r="C180" s="3" t="s">
        <v>92</v>
      </c>
      <c r="D180" s="7">
        <v>4746</v>
      </c>
      <c r="E180" t="s">
        <v>10</v>
      </c>
      <c r="F180" s="10">
        <f>3.65+1.37</f>
        <v>5.0199999999999996</v>
      </c>
    </row>
    <row r="181" spans="1:6">
      <c r="A181" t="s">
        <v>90</v>
      </c>
      <c r="B181" s="13" t="s">
        <v>91</v>
      </c>
      <c r="C181" s="3" t="s">
        <v>92</v>
      </c>
      <c r="D181" s="7">
        <v>4743</v>
      </c>
      <c r="E181" t="s">
        <v>11</v>
      </c>
      <c r="F181" s="10">
        <v>7.83</v>
      </c>
    </row>
    <row r="182" spans="1:6">
      <c r="A182" t="s">
        <v>90</v>
      </c>
      <c r="B182" s="13" t="s">
        <v>91</v>
      </c>
      <c r="C182" s="3" t="s">
        <v>92</v>
      </c>
      <c r="D182" s="7">
        <v>4744</v>
      </c>
      <c r="E182" t="s">
        <v>12</v>
      </c>
      <c r="F182" s="10">
        <v>2.4500000000000002</v>
      </c>
    </row>
    <row r="183" spans="1:6">
      <c r="A183" t="s">
        <v>90</v>
      </c>
      <c r="B183" s="14" t="s">
        <v>93</v>
      </c>
      <c r="C183" s="3" t="s">
        <v>94</v>
      </c>
      <c r="D183" s="7">
        <v>4600</v>
      </c>
      <c r="E183" t="s">
        <v>9</v>
      </c>
      <c r="F183" s="10">
        <v>2.25</v>
      </c>
    </row>
    <row r="184" spans="1:6">
      <c r="A184" t="s">
        <v>90</v>
      </c>
      <c r="B184" s="14" t="s">
        <v>93</v>
      </c>
      <c r="C184" s="3" t="s">
        <v>94</v>
      </c>
      <c r="D184" s="7">
        <v>4601</v>
      </c>
      <c r="E184" t="s">
        <v>10</v>
      </c>
      <c r="F184" s="10">
        <f>5.34+4.25</f>
        <v>9.59</v>
      </c>
    </row>
    <row r="185" spans="1:6">
      <c r="A185" t="s">
        <v>90</v>
      </c>
      <c r="B185" s="14" t="s">
        <v>93</v>
      </c>
      <c r="C185" s="3" t="s">
        <v>94</v>
      </c>
      <c r="D185" s="7">
        <v>4598</v>
      </c>
      <c r="E185" t="s">
        <v>11</v>
      </c>
      <c r="F185" s="10">
        <v>6.18</v>
      </c>
    </row>
    <row r="186" spans="1:6">
      <c r="A186" t="s">
        <v>90</v>
      </c>
      <c r="B186" s="14" t="s">
        <v>93</v>
      </c>
      <c r="C186" s="3" t="s">
        <v>94</v>
      </c>
      <c r="D186" s="7">
        <v>4599</v>
      </c>
      <c r="E186" t="s">
        <v>12</v>
      </c>
      <c r="F186" s="10">
        <v>2.11</v>
      </c>
    </row>
    <row r="187" spans="1:6">
      <c r="A187" t="s">
        <v>90</v>
      </c>
      <c r="B187" s="14" t="s">
        <v>95</v>
      </c>
      <c r="C187" s="3" t="s">
        <v>96</v>
      </c>
      <c r="D187" s="7">
        <v>4605</v>
      </c>
      <c r="E187" t="s">
        <v>9</v>
      </c>
      <c r="F187" s="10">
        <v>1.78</v>
      </c>
    </row>
    <row r="188" spans="1:6">
      <c r="A188" t="s">
        <v>90</v>
      </c>
      <c r="B188" s="14" t="s">
        <v>95</v>
      </c>
      <c r="C188" s="3" t="s">
        <v>97</v>
      </c>
      <c r="D188" s="7">
        <v>4750</v>
      </c>
      <c r="E188" t="s">
        <v>9</v>
      </c>
      <c r="F188" s="10">
        <v>1.31</v>
      </c>
    </row>
    <row r="189" spans="1:6">
      <c r="A189" t="s">
        <v>90</v>
      </c>
      <c r="B189" s="14" t="s">
        <v>95</v>
      </c>
      <c r="C189" s="4" t="s">
        <v>97</v>
      </c>
      <c r="D189" s="7">
        <v>4815</v>
      </c>
      <c r="E189" t="s">
        <v>9</v>
      </c>
      <c r="F189" s="10">
        <v>1.39</v>
      </c>
    </row>
    <row r="190" spans="1:6">
      <c r="A190" t="s">
        <v>90</v>
      </c>
      <c r="B190" s="14" t="s">
        <v>95</v>
      </c>
      <c r="C190" s="3" t="s">
        <v>96</v>
      </c>
      <c r="D190" s="7">
        <v>4606</v>
      </c>
      <c r="E190" t="s">
        <v>10</v>
      </c>
      <c r="F190" s="10">
        <f>1.09+4.38</f>
        <v>5.47</v>
      </c>
    </row>
    <row r="191" spans="1:6">
      <c r="A191" t="s">
        <v>90</v>
      </c>
      <c r="B191" s="14" t="s">
        <v>95</v>
      </c>
      <c r="C191" s="3" t="s">
        <v>97</v>
      </c>
      <c r="D191" s="7">
        <v>4751</v>
      </c>
      <c r="E191" t="s">
        <v>10</v>
      </c>
      <c r="F191" s="10">
        <f>1.63+0.67</f>
        <v>2.2999999999999998</v>
      </c>
    </row>
    <row r="192" spans="1:6">
      <c r="A192" t="s">
        <v>90</v>
      </c>
      <c r="B192" s="14" t="s">
        <v>95</v>
      </c>
      <c r="C192" s="4" t="s">
        <v>97</v>
      </c>
      <c r="D192" s="7">
        <v>4816</v>
      </c>
      <c r="E192" t="s">
        <v>10</v>
      </c>
      <c r="F192" s="10">
        <v>2.75</v>
      </c>
    </row>
    <row r="193" spans="1:6">
      <c r="A193" t="s">
        <v>90</v>
      </c>
      <c r="B193" s="14" t="s">
        <v>95</v>
      </c>
      <c r="C193" s="3" t="s">
        <v>96</v>
      </c>
      <c r="D193" s="7">
        <v>4603</v>
      </c>
      <c r="E193" t="s">
        <v>11</v>
      </c>
      <c r="F193" s="10">
        <v>5.22</v>
      </c>
    </row>
    <row r="194" spans="1:6">
      <c r="A194" t="s">
        <v>90</v>
      </c>
      <c r="B194" s="14" t="s">
        <v>95</v>
      </c>
      <c r="C194" s="3" t="s">
        <v>97</v>
      </c>
      <c r="D194" s="7">
        <v>4748</v>
      </c>
      <c r="E194" t="s">
        <v>11</v>
      </c>
      <c r="F194" s="10">
        <v>4.6900000000000004</v>
      </c>
    </row>
    <row r="195" spans="1:6">
      <c r="A195" t="s">
        <v>90</v>
      </c>
      <c r="B195" s="14" t="s">
        <v>95</v>
      </c>
      <c r="C195" s="4" t="s">
        <v>97</v>
      </c>
      <c r="D195" s="7">
        <v>4813</v>
      </c>
      <c r="E195" t="s">
        <v>11</v>
      </c>
      <c r="F195" s="10">
        <v>4.7</v>
      </c>
    </row>
    <row r="196" spans="1:6">
      <c r="A196" t="s">
        <v>90</v>
      </c>
      <c r="B196" s="14" t="s">
        <v>95</v>
      </c>
      <c r="C196" s="3" t="s">
        <v>96</v>
      </c>
      <c r="D196" s="7">
        <v>4604</v>
      </c>
      <c r="E196" t="s">
        <v>12</v>
      </c>
      <c r="F196" s="10">
        <v>1.85</v>
      </c>
    </row>
    <row r="197" spans="1:6">
      <c r="A197" t="s">
        <v>90</v>
      </c>
      <c r="B197" s="14" t="s">
        <v>95</v>
      </c>
      <c r="C197" s="3" t="s">
        <v>97</v>
      </c>
      <c r="D197" s="7">
        <v>4749</v>
      </c>
      <c r="E197" t="s">
        <v>12</v>
      </c>
      <c r="F197" s="10">
        <v>1.6</v>
      </c>
    </row>
    <row r="198" spans="1:6">
      <c r="A198" t="s">
        <v>90</v>
      </c>
      <c r="B198" s="14" t="s">
        <v>95</v>
      </c>
      <c r="C198" s="4" t="s">
        <v>97</v>
      </c>
      <c r="D198" s="7">
        <v>4814</v>
      </c>
      <c r="E198" t="s">
        <v>12</v>
      </c>
      <c r="F198" s="10">
        <v>1.55</v>
      </c>
    </row>
    <row r="199" spans="1:6">
      <c r="A199" t="s">
        <v>18</v>
      </c>
      <c r="B199" s="15" t="s">
        <v>98</v>
      </c>
      <c r="C199" s="3" t="s">
        <v>99</v>
      </c>
      <c r="D199" s="7">
        <v>4770</v>
      </c>
      <c r="E199" t="s">
        <v>9</v>
      </c>
      <c r="F199" s="10">
        <v>0.83</v>
      </c>
    </row>
    <row r="200" spans="1:6">
      <c r="A200" t="s">
        <v>18</v>
      </c>
      <c r="B200" s="15" t="s">
        <v>98</v>
      </c>
      <c r="C200" s="3" t="s">
        <v>100</v>
      </c>
      <c r="D200" s="7">
        <v>4775</v>
      </c>
      <c r="E200" t="s">
        <v>9</v>
      </c>
      <c r="F200" s="10">
        <v>0.94</v>
      </c>
    </row>
    <row r="201" spans="1:6">
      <c r="A201" t="s">
        <v>18</v>
      </c>
      <c r="B201" s="15" t="s">
        <v>98</v>
      </c>
      <c r="C201" s="3" t="s">
        <v>101</v>
      </c>
      <c r="D201" s="7">
        <v>4780</v>
      </c>
      <c r="E201" t="s">
        <v>9</v>
      </c>
      <c r="F201" s="10">
        <v>0.84</v>
      </c>
    </row>
    <row r="202" spans="1:6">
      <c r="A202" t="s">
        <v>18</v>
      </c>
      <c r="B202" s="15" t="s">
        <v>98</v>
      </c>
      <c r="C202" s="3" t="s">
        <v>99</v>
      </c>
      <c r="D202" s="7">
        <v>4771</v>
      </c>
      <c r="E202" t="s">
        <v>10</v>
      </c>
      <c r="F202" s="10">
        <v>1.19</v>
      </c>
    </row>
    <row r="203" spans="1:6">
      <c r="A203" t="s">
        <v>18</v>
      </c>
      <c r="B203" s="15" t="s">
        <v>98</v>
      </c>
      <c r="C203" s="3" t="s">
        <v>101</v>
      </c>
      <c r="D203" s="7">
        <v>4781</v>
      </c>
      <c r="E203" t="s">
        <v>10</v>
      </c>
      <c r="F203" s="10">
        <v>1.29</v>
      </c>
    </row>
    <row r="204" spans="1:6">
      <c r="A204" t="s">
        <v>18</v>
      </c>
      <c r="B204" s="15" t="s">
        <v>98</v>
      </c>
      <c r="C204" s="3" t="s">
        <v>99</v>
      </c>
      <c r="D204" s="7">
        <v>4768</v>
      </c>
      <c r="E204" t="s">
        <v>11</v>
      </c>
      <c r="F204" s="10">
        <v>3.63</v>
      </c>
    </row>
    <row r="205" spans="1:6">
      <c r="A205" t="s">
        <v>18</v>
      </c>
      <c r="B205" s="15" t="s">
        <v>98</v>
      </c>
      <c r="C205" s="3" t="s">
        <v>100</v>
      </c>
      <c r="D205" s="7">
        <v>4773</v>
      </c>
      <c r="E205" t="s">
        <v>11</v>
      </c>
      <c r="F205" s="10">
        <v>3.06</v>
      </c>
    </row>
    <row r="206" spans="1:6">
      <c r="A206" t="s">
        <v>18</v>
      </c>
      <c r="B206" s="15" t="s">
        <v>98</v>
      </c>
      <c r="C206" s="3" t="s">
        <v>101</v>
      </c>
      <c r="D206" s="7">
        <v>4778</v>
      </c>
      <c r="E206" t="s">
        <v>11</v>
      </c>
      <c r="F206" s="10">
        <v>3.36</v>
      </c>
    </row>
    <row r="207" spans="1:6">
      <c r="A207" t="s">
        <v>18</v>
      </c>
      <c r="B207" s="15" t="s">
        <v>98</v>
      </c>
      <c r="C207" s="3" t="s">
        <v>99</v>
      </c>
      <c r="D207" s="7">
        <v>4769</v>
      </c>
      <c r="E207" t="s">
        <v>12</v>
      </c>
      <c r="F207" s="10">
        <v>0.94</v>
      </c>
    </row>
    <row r="208" spans="1:6">
      <c r="A208" t="s">
        <v>18</v>
      </c>
      <c r="B208" s="15" t="s">
        <v>98</v>
      </c>
      <c r="C208" s="3" t="s">
        <v>100</v>
      </c>
      <c r="D208" s="7">
        <v>4774</v>
      </c>
      <c r="E208" t="s">
        <v>12</v>
      </c>
      <c r="F208" s="10">
        <v>1.06</v>
      </c>
    </row>
    <row r="209" spans="1:6">
      <c r="A209" t="s">
        <v>18</v>
      </c>
      <c r="B209" s="15" t="s">
        <v>98</v>
      </c>
      <c r="C209" s="3" t="s">
        <v>101</v>
      </c>
      <c r="D209" s="7">
        <v>4779</v>
      </c>
      <c r="E209" t="s">
        <v>12</v>
      </c>
      <c r="F209" s="10">
        <v>1.17</v>
      </c>
    </row>
    <row r="210" spans="1:6">
      <c r="A210" t="s">
        <v>18</v>
      </c>
      <c r="B210" s="13" t="s">
        <v>102</v>
      </c>
      <c r="C210" s="1" t="s">
        <v>103</v>
      </c>
      <c r="D210" s="7">
        <v>1896</v>
      </c>
      <c r="E210" t="s">
        <v>9</v>
      </c>
      <c r="F210" s="9">
        <v>0.96599999999999997</v>
      </c>
    </row>
    <row r="211" spans="1:6">
      <c r="A211" t="s">
        <v>18</v>
      </c>
      <c r="B211" s="13" t="s">
        <v>102</v>
      </c>
      <c r="C211" s="1" t="s">
        <v>104</v>
      </c>
      <c r="D211" s="7">
        <v>1902</v>
      </c>
      <c r="E211" t="s">
        <v>9</v>
      </c>
      <c r="F211" s="9">
        <v>0.89100000000000001</v>
      </c>
    </row>
    <row r="212" spans="1:6">
      <c r="A212" t="s">
        <v>18</v>
      </c>
      <c r="B212" s="13" t="s">
        <v>102</v>
      </c>
      <c r="C212" s="1" t="s">
        <v>105</v>
      </c>
      <c r="D212" s="7">
        <v>1908</v>
      </c>
      <c r="E212" t="s">
        <v>9</v>
      </c>
      <c r="F212" s="9">
        <v>0.95299999999999996</v>
      </c>
    </row>
    <row r="213" spans="1:6">
      <c r="A213" t="s">
        <v>18</v>
      </c>
      <c r="B213" s="13" t="s">
        <v>102</v>
      </c>
      <c r="C213" s="1" t="s">
        <v>106</v>
      </c>
      <c r="D213" s="7">
        <v>1914</v>
      </c>
      <c r="E213" t="s">
        <v>9</v>
      </c>
      <c r="F213" s="9">
        <v>0.91900000000000004</v>
      </c>
    </row>
    <row r="214" spans="1:6">
      <c r="A214" t="s">
        <v>18</v>
      </c>
      <c r="B214" s="13" t="s">
        <v>102</v>
      </c>
      <c r="C214" s="1" t="s">
        <v>107</v>
      </c>
      <c r="D214" s="7">
        <v>1920</v>
      </c>
      <c r="E214" t="s">
        <v>9</v>
      </c>
      <c r="F214" s="9">
        <v>0.96299999999999997</v>
      </c>
    </row>
    <row r="215" spans="1:6">
      <c r="A215" t="s">
        <v>18</v>
      </c>
      <c r="B215" s="13" t="s">
        <v>102</v>
      </c>
      <c r="C215" s="1" t="s">
        <v>108</v>
      </c>
      <c r="D215" s="7">
        <v>2790</v>
      </c>
      <c r="E215" t="s">
        <v>9</v>
      </c>
      <c r="F215" s="1">
        <v>1.0669999999999999</v>
      </c>
    </row>
    <row r="216" spans="1:6">
      <c r="A216" t="s">
        <v>18</v>
      </c>
      <c r="B216" s="13" t="s">
        <v>102</v>
      </c>
      <c r="C216" s="1" t="s">
        <v>109</v>
      </c>
      <c r="D216" s="7">
        <v>2796</v>
      </c>
      <c r="E216" t="s">
        <v>9</v>
      </c>
      <c r="F216" s="9">
        <v>0.79600000000000004</v>
      </c>
    </row>
    <row r="217" spans="1:6">
      <c r="A217" t="s">
        <v>18</v>
      </c>
      <c r="B217" s="13" t="s">
        <v>102</v>
      </c>
      <c r="C217" s="1" t="s">
        <v>110</v>
      </c>
      <c r="D217" s="7">
        <v>2802</v>
      </c>
      <c r="E217" t="s">
        <v>9</v>
      </c>
      <c r="F217" s="9">
        <v>0.84899999999999998</v>
      </c>
    </row>
    <row r="218" spans="1:6">
      <c r="A218" t="s">
        <v>18</v>
      </c>
      <c r="B218" s="13" t="s">
        <v>102</v>
      </c>
      <c r="C218" s="1" t="s">
        <v>103</v>
      </c>
      <c r="D218" s="7">
        <v>1897</v>
      </c>
      <c r="E218" t="s">
        <v>10</v>
      </c>
      <c r="F218" s="9">
        <v>0.98199999999999998</v>
      </c>
    </row>
    <row r="219" spans="1:6">
      <c r="A219" t="s">
        <v>18</v>
      </c>
      <c r="B219" s="13" t="s">
        <v>102</v>
      </c>
      <c r="C219" s="1" t="s">
        <v>104</v>
      </c>
      <c r="D219" s="7">
        <v>1903</v>
      </c>
      <c r="E219" t="s">
        <v>10</v>
      </c>
      <c r="F219" s="1">
        <v>1.0129999999999999</v>
      </c>
    </row>
    <row r="220" spans="1:6">
      <c r="A220" t="s">
        <v>18</v>
      </c>
      <c r="B220" s="13" t="s">
        <v>102</v>
      </c>
      <c r="C220" s="1" t="s">
        <v>105</v>
      </c>
      <c r="D220" s="7">
        <v>1909</v>
      </c>
      <c r="E220" t="s">
        <v>10</v>
      </c>
      <c r="F220" s="1">
        <v>1.081</v>
      </c>
    </row>
    <row r="221" spans="1:6">
      <c r="A221" t="s">
        <v>18</v>
      </c>
      <c r="B221" s="13" t="s">
        <v>102</v>
      </c>
      <c r="C221" s="1" t="s">
        <v>106</v>
      </c>
      <c r="D221" s="7">
        <v>1915</v>
      </c>
      <c r="E221" t="s">
        <v>10</v>
      </c>
      <c r="F221" s="9">
        <v>1.01</v>
      </c>
    </row>
    <row r="222" spans="1:6">
      <c r="A222" t="s">
        <v>18</v>
      </c>
      <c r="B222" s="13" t="s">
        <v>102</v>
      </c>
      <c r="C222" s="1" t="s">
        <v>107</v>
      </c>
      <c r="D222" s="7">
        <v>1921</v>
      </c>
      <c r="E222" t="s">
        <v>10</v>
      </c>
      <c r="F222" s="1">
        <v>1.081</v>
      </c>
    </row>
    <row r="223" spans="1:6">
      <c r="A223" t="s">
        <v>18</v>
      </c>
      <c r="B223" s="13" t="s">
        <v>102</v>
      </c>
      <c r="C223" s="1" t="s">
        <v>108</v>
      </c>
      <c r="D223" s="7">
        <v>2791</v>
      </c>
      <c r="E223" t="s">
        <v>10</v>
      </c>
      <c r="F223" s="1">
        <v>1.2390000000000001</v>
      </c>
    </row>
    <row r="224" spans="1:6">
      <c r="A224" t="s">
        <v>18</v>
      </c>
      <c r="B224" s="13" t="s">
        <v>102</v>
      </c>
      <c r="C224" s="1" t="s">
        <v>109</v>
      </c>
      <c r="D224" s="7">
        <v>2797</v>
      </c>
      <c r="E224" t="s">
        <v>10</v>
      </c>
      <c r="F224" s="1">
        <v>1.123</v>
      </c>
    </row>
    <row r="225" spans="1:6">
      <c r="A225" t="s">
        <v>18</v>
      </c>
      <c r="B225" s="13" t="s">
        <v>102</v>
      </c>
      <c r="C225" s="1" t="s">
        <v>110</v>
      </c>
      <c r="D225" s="7">
        <v>2803</v>
      </c>
      <c r="E225" t="s">
        <v>10</v>
      </c>
      <c r="F225" s="1">
        <v>1.1679999999999999</v>
      </c>
    </row>
    <row r="226" spans="1:6">
      <c r="A226" t="s">
        <v>18</v>
      </c>
      <c r="B226" s="13" t="s">
        <v>102</v>
      </c>
      <c r="C226" s="1" t="s">
        <v>103</v>
      </c>
      <c r="D226" s="7">
        <v>1895</v>
      </c>
      <c r="E226" t="s">
        <v>11</v>
      </c>
      <c r="F226" s="1">
        <v>3.298</v>
      </c>
    </row>
    <row r="227" spans="1:6">
      <c r="A227" t="s">
        <v>18</v>
      </c>
      <c r="B227" s="13" t="s">
        <v>102</v>
      </c>
      <c r="C227" s="1" t="s">
        <v>104</v>
      </c>
      <c r="D227" s="7">
        <v>1901</v>
      </c>
      <c r="E227" t="s">
        <v>11</v>
      </c>
      <c r="F227" s="1">
        <v>3.0870000000000002</v>
      </c>
    </row>
    <row r="228" spans="1:6">
      <c r="A228" t="s">
        <v>18</v>
      </c>
      <c r="B228" s="13" t="s">
        <v>102</v>
      </c>
      <c r="C228" s="1" t="s">
        <v>105</v>
      </c>
      <c r="D228" s="7">
        <v>1907</v>
      </c>
      <c r="E228" t="s">
        <v>11</v>
      </c>
      <c r="F228" s="1">
        <v>3.306</v>
      </c>
    </row>
    <row r="229" spans="1:6">
      <c r="A229" t="s">
        <v>18</v>
      </c>
      <c r="B229" s="13" t="s">
        <v>102</v>
      </c>
      <c r="C229" s="1" t="s">
        <v>106</v>
      </c>
      <c r="D229" s="7">
        <v>1913</v>
      </c>
      <c r="E229" t="s">
        <v>11</v>
      </c>
      <c r="F229" s="1">
        <v>3.3039999999999998</v>
      </c>
    </row>
    <row r="230" spans="1:6">
      <c r="A230" t="s">
        <v>18</v>
      </c>
      <c r="B230" s="13" t="s">
        <v>102</v>
      </c>
      <c r="C230" s="1" t="s">
        <v>107</v>
      </c>
      <c r="D230" s="7">
        <v>1919</v>
      </c>
      <c r="E230" t="s">
        <v>11</v>
      </c>
      <c r="F230" s="1">
        <v>3.2370000000000001</v>
      </c>
    </row>
    <row r="231" spans="1:6">
      <c r="A231" t="s">
        <v>18</v>
      </c>
      <c r="B231" s="13" t="s">
        <v>102</v>
      </c>
      <c r="C231" s="1" t="s">
        <v>108</v>
      </c>
      <c r="D231" s="7">
        <v>2789</v>
      </c>
      <c r="E231" t="s">
        <v>11</v>
      </c>
      <c r="F231" s="1">
        <v>3.2970000000000002</v>
      </c>
    </row>
    <row r="232" spans="1:6">
      <c r="A232" t="s">
        <v>18</v>
      </c>
      <c r="B232" s="13" t="s">
        <v>102</v>
      </c>
      <c r="C232" s="1" t="s">
        <v>109</v>
      </c>
      <c r="D232" s="7">
        <v>2795</v>
      </c>
      <c r="E232" t="s">
        <v>11</v>
      </c>
      <c r="F232" s="1">
        <v>2.9249999999999998</v>
      </c>
    </row>
    <row r="233" spans="1:6">
      <c r="A233" t="s">
        <v>18</v>
      </c>
      <c r="B233" s="13" t="s">
        <v>102</v>
      </c>
      <c r="C233" s="1" t="s">
        <v>110</v>
      </c>
      <c r="D233" s="7">
        <v>2801</v>
      </c>
      <c r="E233" t="s">
        <v>11</v>
      </c>
      <c r="F233" s="1">
        <v>3.2440000000000002</v>
      </c>
    </row>
    <row r="234" spans="1:6">
      <c r="A234" t="s">
        <v>85</v>
      </c>
      <c r="B234" t="s">
        <v>111</v>
      </c>
      <c r="C234" s="1" t="s">
        <v>112</v>
      </c>
      <c r="D234" s="7">
        <v>499</v>
      </c>
      <c r="E234" t="s">
        <v>9</v>
      </c>
      <c r="F234" s="9">
        <v>0.93400000000000005</v>
      </c>
    </row>
    <row r="235" spans="1:6">
      <c r="A235" t="s">
        <v>85</v>
      </c>
      <c r="B235" t="s">
        <v>111</v>
      </c>
      <c r="C235" s="1" t="s">
        <v>113</v>
      </c>
      <c r="D235" s="7">
        <v>505</v>
      </c>
      <c r="E235" t="s">
        <v>9</v>
      </c>
      <c r="F235" s="9">
        <v>0.95399999999999996</v>
      </c>
    </row>
    <row r="236" spans="1:6">
      <c r="A236" t="s">
        <v>85</v>
      </c>
      <c r="B236" t="s">
        <v>111</v>
      </c>
      <c r="C236" s="1" t="s">
        <v>114</v>
      </c>
      <c r="D236" s="7">
        <v>511</v>
      </c>
      <c r="E236" t="s">
        <v>9</v>
      </c>
      <c r="F236" s="9">
        <v>0.91200000000000003</v>
      </c>
    </row>
    <row r="237" spans="1:6">
      <c r="A237" t="s">
        <v>85</v>
      </c>
      <c r="B237" t="s">
        <v>111</v>
      </c>
      <c r="C237" s="1" t="s">
        <v>115</v>
      </c>
      <c r="D237" s="7">
        <v>517</v>
      </c>
      <c r="E237" t="s">
        <v>9</v>
      </c>
      <c r="F237" s="9">
        <v>0.94099999999999995</v>
      </c>
    </row>
    <row r="238" spans="1:6">
      <c r="A238" t="s">
        <v>85</v>
      </c>
      <c r="B238" t="s">
        <v>111</v>
      </c>
      <c r="C238" s="1" t="s">
        <v>116</v>
      </c>
      <c r="D238" s="7">
        <v>523</v>
      </c>
      <c r="E238" t="s">
        <v>9</v>
      </c>
      <c r="F238" s="9">
        <v>0.96599999999999997</v>
      </c>
    </row>
    <row r="239" spans="1:6">
      <c r="A239" t="s">
        <v>85</v>
      </c>
      <c r="B239" t="s">
        <v>111</v>
      </c>
      <c r="C239" s="1" t="s">
        <v>117</v>
      </c>
      <c r="D239" s="7">
        <v>529</v>
      </c>
      <c r="E239" t="s">
        <v>9</v>
      </c>
      <c r="F239" s="9">
        <v>0.91600000000000004</v>
      </c>
    </row>
    <row r="240" spans="1:6">
      <c r="A240" t="s">
        <v>85</v>
      </c>
      <c r="B240" t="s">
        <v>111</v>
      </c>
      <c r="C240" s="1" t="s">
        <v>118</v>
      </c>
      <c r="D240" s="7">
        <v>739</v>
      </c>
      <c r="E240" t="s">
        <v>9</v>
      </c>
      <c r="F240" s="9">
        <v>0.89700000000000002</v>
      </c>
    </row>
    <row r="241" spans="1:6">
      <c r="A241" t="s">
        <v>85</v>
      </c>
      <c r="B241" t="s">
        <v>111</v>
      </c>
      <c r="C241" s="1" t="s">
        <v>119</v>
      </c>
      <c r="D241" s="7">
        <v>745</v>
      </c>
      <c r="E241" t="s">
        <v>9</v>
      </c>
      <c r="F241" s="9">
        <v>0.89800000000000002</v>
      </c>
    </row>
    <row r="242" spans="1:6">
      <c r="A242" t="s">
        <v>85</v>
      </c>
      <c r="B242" t="s">
        <v>111</v>
      </c>
      <c r="C242" s="1" t="s">
        <v>120</v>
      </c>
      <c r="D242" s="7">
        <v>1148</v>
      </c>
      <c r="E242" t="s">
        <v>9</v>
      </c>
      <c r="F242" s="9">
        <v>0.98099999999999998</v>
      </c>
    </row>
    <row r="243" spans="1:6">
      <c r="A243" t="s">
        <v>85</v>
      </c>
      <c r="B243" t="s">
        <v>111</v>
      </c>
      <c r="C243" s="1" t="s">
        <v>121</v>
      </c>
      <c r="D243" s="7">
        <v>1214</v>
      </c>
      <c r="E243" t="s">
        <v>9</v>
      </c>
      <c r="F243" s="9">
        <v>0.91200000000000003</v>
      </c>
    </row>
    <row r="244" spans="1:6">
      <c r="A244" t="s">
        <v>85</v>
      </c>
      <c r="B244" t="s">
        <v>111</v>
      </c>
      <c r="C244" s="1" t="s">
        <v>112</v>
      </c>
      <c r="D244" s="7">
        <v>500</v>
      </c>
      <c r="E244" t="s">
        <v>10</v>
      </c>
      <c r="F244" s="1">
        <v>1.2490000000000001</v>
      </c>
    </row>
    <row r="245" spans="1:6">
      <c r="A245" t="s">
        <v>85</v>
      </c>
      <c r="B245" t="s">
        <v>111</v>
      </c>
      <c r="C245" s="1" t="s">
        <v>113</v>
      </c>
      <c r="D245" s="7">
        <v>506</v>
      </c>
      <c r="E245" t="s">
        <v>10</v>
      </c>
      <c r="F245" s="1">
        <v>1.244</v>
      </c>
    </row>
    <row r="246" spans="1:6">
      <c r="A246" t="s">
        <v>85</v>
      </c>
      <c r="B246" t="s">
        <v>111</v>
      </c>
      <c r="C246" s="1" t="s">
        <v>114</v>
      </c>
      <c r="D246" s="7">
        <v>512</v>
      </c>
      <c r="E246" t="s">
        <v>10</v>
      </c>
      <c r="F246" s="1">
        <v>1.246</v>
      </c>
    </row>
    <row r="247" spans="1:6">
      <c r="A247" t="s">
        <v>85</v>
      </c>
      <c r="B247" t="s">
        <v>111</v>
      </c>
      <c r="C247" s="1" t="s">
        <v>115</v>
      </c>
      <c r="D247" s="7">
        <v>518</v>
      </c>
      <c r="E247" t="s">
        <v>10</v>
      </c>
      <c r="F247" s="1">
        <v>1.1930000000000001</v>
      </c>
    </row>
    <row r="248" spans="1:6">
      <c r="A248" t="s">
        <v>85</v>
      </c>
      <c r="B248" t="s">
        <v>111</v>
      </c>
      <c r="C248" s="1" t="s">
        <v>116</v>
      </c>
      <c r="D248" s="7">
        <v>524</v>
      </c>
      <c r="E248" t="s">
        <v>10</v>
      </c>
      <c r="F248" s="9">
        <v>1.29</v>
      </c>
    </row>
    <row r="249" spans="1:6">
      <c r="A249" t="s">
        <v>85</v>
      </c>
      <c r="B249" t="s">
        <v>111</v>
      </c>
      <c r="C249" s="1" t="s">
        <v>117</v>
      </c>
      <c r="D249" s="7">
        <v>530</v>
      </c>
      <c r="E249" t="s">
        <v>10</v>
      </c>
      <c r="F249" s="1">
        <v>1.212</v>
      </c>
    </row>
    <row r="250" spans="1:6">
      <c r="A250" t="s">
        <v>85</v>
      </c>
      <c r="B250" t="s">
        <v>111</v>
      </c>
      <c r="C250" s="1" t="s">
        <v>118</v>
      </c>
      <c r="D250" s="7">
        <v>740</v>
      </c>
      <c r="E250" t="s">
        <v>10</v>
      </c>
      <c r="F250" s="1">
        <v>1.038</v>
      </c>
    </row>
    <row r="251" spans="1:6">
      <c r="A251" t="s">
        <v>85</v>
      </c>
      <c r="B251" t="s">
        <v>111</v>
      </c>
      <c r="C251" s="1" t="s">
        <v>119</v>
      </c>
      <c r="D251" s="7">
        <v>746</v>
      </c>
      <c r="E251" t="s">
        <v>10</v>
      </c>
      <c r="F251" s="1">
        <v>1.0640000000000001</v>
      </c>
    </row>
    <row r="252" spans="1:6">
      <c r="A252" t="s">
        <v>85</v>
      </c>
      <c r="B252" t="s">
        <v>111</v>
      </c>
      <c r="C252" s="1" t="s">
        <v>120</v>
      </c>
      <c r="D252" s="7">
        <v>1149</v>
      </c>
      <c r="E252" t="s">
        <v>10</v>
      </c>
      <c r="F252" s="9">
        <v>1.22</v>
      </c>
    </row>
    <row r="253" spans="1:6">
      <c r="A253" t="s">
        <v>85</v>
      </c>
      <c r="B253" t="s">
        <v>111</v>
      </c>
      <c r="C253" s="1" t="s">
        <v>121</v>
      </c>
      <c r="D253" s="7">
        <v>1215</v>
      </c>
      <c r="E253" t="s">
        <v>10</v>
      </c>
      <c r="F253" s="1">
        <v>1.107</v>
      </c>
    </row>
    <row r="254" spans="1:6">
      <c r="A254" t="s">
        <v>85</v>
      </c>
      <c r="B254" t="s">
        <v>111</v>
      </c>
      <c r="C254" s="1" t="s">
        <v>112</v>
      </c>
      <c r="D254" s="7">
        <v>498</v>
      </c>
      <c r="E254" t="s">
        <v>11</v>
      </c>
      <c r="F254" s="1">
        <v>2.9569999999999999</v>
      </c>
    </row>
    <row r="255" spans="1:6">
      <c r="A255" t="s">
        <v>85</v>
      </c>
      <c r="B255" t="s">
        <v>111</v>
      </c>
      <c r="C255" s="1" t="s">
        <v>113</v>
      </c>
      <c r="D255" s="7">
        <v>504</v>
      </c>
      <c r="E255" t="s">
        <v>11</v>
      </c>
      <c r="F255" s="1">
        <v>2.9670000000000001</v>
      </c>
    </row>
    <row r="256" spans="1:6">
      <c r="A256" t="s">
        <v>85</v>
      </c>
      <c r="B256" t="s">
        <v>111</v>
      </c>
      <c r="C256" s="1" t="s">
        <v>114</v>
      </c>
      <c r="D256" s="7">
        <v>510</v>
      </c>
      <c r="E256" t="s">
        <v>11</v>
      </c>
      <c r="F256" s="1">
        <v>2.879</v>
      </c>
    </row>
    <row r="257" spans="1:6">
      <c r="A257" t="s">
        <v>85</v>
      </c>
      <c r="B257" t="s">
        <v>111</v>
      </c>
      <c r="C257" s="1" t="s">
        <v>115</v>
      </c>
      <c r="D257" s="7">
        <v>516</v>
      </c>
      <c r="E257" t="s">
        <v>11</v>
      </c>
      <c r="F257" s="1">
        <v>2.9780000000000002</v>
      </c>
    </row>
    <row r="258" spans="1:6">
      <c r="A258" t="s">
        <v>85</v>
      </c>
      <c r="B258" t="s">
        <v>111</v>
      </c>
      <c r="C258" s="1" t="s">
        <v>116</v>
      </c>
      <c r="D258" s="7">
        <v>522</v>
      </c>
      <c r="E258" t="s">
        <v>11</v>
      </c>
      <c r="F258" s="1">
        <v>2.883</v>
      </c>
    </row>
    <row r="259" spans="1:6">
      <c r="A259" t="s">
        <v>85</v>
      </c>
      <c r="B259" t="s">
        <v>111</v>
      </c>
      <c r="C259" s="1" t="s">
        <v>117</v>
      </c>
      <c r="D259" s="7">
        <v>528</v>
      </c>
      <c r="E259" t="s">
        <v>11</v>
      </c>
      <c r="F259" s="1">
        <v>3.0329999999999999</v>
      </c>
    </row>
    <row r="260" spans="1:6">
      <c r="A260" t="s">
        <v>85</v>
      </c>
      <c r="B260" t="s">
        <v>111</v>
      </c>
      <c r="C260" s="1" t="s">
        <v>118</v>
      </c>
      <c r="D260" s="7">
        <v>738</v>
      </c>
      <c r="E260" t="s">
        <v>11</v>
      </c>
      <c r="F260" s="1">
        <v>2.802</v>
      </c>
    </row>
    <row r="261" spans="1:6">
      <c r="A261" t="s">
        <v>85</v>
      </c>
      <c r="B261" t="s">
        <v>111</v>
      </c>
      <c r="C261" s="1" t="s">
        <v>119</v>
      </c>
      <c r="D261" s="7">
        <v>744</v>
      </c>
      <c r="E261" t="s">
        <v>11</v>
      </c>
      <c r="F261" s="1">
        <v>2.8639999999999999</v>
      </c>
    </row>
    <row r="262" spans="1:6">
      <c r="A262" t="s">
        <v>85</v>
      </c>
      <c r="B262" t="s">
        <v>111</v>
      </c>
      <c r="C262" s="1" t="s">
        <v>120</v>
      </c>
      <c r="D262" s="7">
        <v>1147</v>
      </c>
      <c r="E262" t="s">
        <v>11</v>
      </c>
      <c r="F262" s="1">
        <v>3.105</v>
      </c>
    </row>
    <row r="263" spans="1:6">
      <c r="A263" t="s">
        <v>85</v>
      </c>
      <c r="B263" t="s">
        <v>111</v>
      </c>
      <c r="C263" s="1" t="s">
        <v>121</v>
      </c>
      <c r="D263" s="7">
        <v>1213</v>
      </c>
      <c r="E263" t="s">
        <v>11</v>
      </c>
      <c r="F263" s="1">
        <v>2.9540000000000002</v>
      </c>
    </row>
    <row r="264" spans="1:6">
      <c r="A264" t="s">
        <v>85</v>
      </c>
      <c r="B264" s="2" t="s">
        <v>111</v>
      </c>
      <c r="C264" s="3" t="s">
        <v>122</v>
      </c>
      <c r="D264" s="7">
        <v>5094</v>
      </c>
      <c r="E264" t="s">
        <v>12</v>
      </c>
      <c r="F264" s="10">
        <v>1.1399999999999999</v>
      </c>
    </row>
    <row r="265" spans="1:6">
      <c r="A265" t="s">
        <v>85</v>
      </c>
      <c r="B265" s="2" t="s">
        <v>111</v>
      </c>
      <c r="C265" s="3" t="s">
        <v>123</v>
      </c>
      <c r="D265" s="7">
        <v>5093</v>
      </c>
      <c r="E265" t="s">
        <v>12</v>
      </c>
      <c r="F265" s="10">
        <v>1.03</v>
      </c>
    </row>
    <row r="266" spans="1:6">
      <c r="A266" t="s">
        <v>85</v>
      </c>
      <c r="B266" s="2" t="s">
        <v>111</v>
      </c>
      <c r="C266" s="3" t="s">
        <v>124</v>
      </c>
      <c r="D266" s="7">
        <v>5095</v>
      </c>
      <c r="E266" t="s">
        <v>12</v>
      </c>
      <c r="F266" s="10">
        <v>1.06</v>
      </c>
    </row>
    <row r="267" spans="1:6">
      <c r="A267" t="s">
        <v>6</v>
      </c>
      <c r="B267" t="s">
        <v>125</v>
      </c>
      <c r="C267" s="3" t="s">
        <v>126</v>
      </c>
      <c r="D267" s="7">
        <v>369</v>
      </c>
      <c r="E267" s="2" t="s">
        <v>9</v>
      </c>
      <c r="F267" s="10">
        <v>4.9000000000000004</v>
      </c>
    </row>
    <row r="268" spans="1:6">
      <c r="A268" t="s">
        <v>6</v>
      </c>
      <c r="B268" t="s">
        <v>125</v>
      </c>
      <c r="C268" s="3" t="s">
        <v>127</v>
      </c>
      <c r="D268" s="7">
        <v>373</v>
      </c>
      <c r="E268" s="2" t="s">
        <v>9</v>
      </c>
      <c r="F268" s="10">
        <v>4.9000000000000004</v>
      </c>
    </row>
    <row r="269" spans="1:6">
      <c r="A269" t="s">
        <v>6</v>
      </c>
      <c r="B269" t="s">
        <v>125</v>
      </c>
      <c r="C269" s="1" t="s">
        <v>128</v>
      </c>
      <c r="D269" s="7">
        <v>3406</v>
      </c>
      <c r="E269" t="s">
        <v>9</v>
      </c>
      <c r="F269" s="9">
        <v>4.5999999999999996</v>
      </c>
    </row>
    <row r="270" spans="1:6">
      <c r="A270" t="s">
        <v>6</v>
      </c>
      <c r="B270" t="s">
        <v>125</v>
      </c>
      <c r="C270" s="1" t="s">
        <v>129</v>
      </c>
      <c r="D270" s="7">
        <v>3606</v>
      </c>
      <c r="E270" t="s">
        <v>9</v>
      </c>
      <c r="F270" s="9">
        <v>4.2</v>
      </c>
    </row>
    <row r="271" spans="1:6">
      <c r="A271" t="s">
        <v>6</v>
      </c>
      <c r="B271" t="s">
        <v>125</v>
      </c>
      <c r="C271" s="1" t="s">
        <v>130</v>
      </c>
      <c r="D271" s="7">
        <v>3650</v>
      </c>
      <c r="E271" t="s">
        <v>9</v>
      </c>
      <c r="F271" s="9">
        <v>4.5999999999999996</v>
      </c>
    </row>
    <row r="272" spans="1:6">
      <c r="A272" t="s">
        <v>6</v>
      </c>
      <c r="B272" t="s">
        <v>125</v>
      </c>
      <c r="C272" s="1" t="s">
        <v>131</v>
      </c>
      <c r="D272" s="7">
        <v>3742</v>
      </c>
      <c r="E272" t="s">
        <v>9</v>
      </c>
      <c r="F272" s="9">
        <v>4.4000000000000004</v>
      </c>
    </row>
    <row r="273" spans="1:6">
      <c r="A273" t="s">
        <v>6</v>
      </c>
      <c r="B273" t="s">
        <v>125</v>
      </c>
      <c r="C273" s="1" t="s">
        <v>132</v>
      </c>
      <c r="D273" s="7">
        <v>3746</v>
      </c>
      <c r="E273" t="s">
        <v>9</v>
      </c>
      <c r="F273" s="9">
        <v>4.7</v>
      </c>
    </row>
    <row r="274" spans="1:6">
      <c r="A274" t="s">
        <v>6</v>
      </c>
      <c r="B274" t="s">
        <v>125</v>
      </c>
      <c r="C274" s="1" t="s">
        <v>133</v>
      </c>
      <c r="D274" s="7">
        <v>3790</v>
      </c>
      <c r="E274" t="s">
        <v>9</v>
      </c>
      <c r="F274" s="9">
        <v>4.8</v>
      </c>
    </row>
    <row r="275" spans="1:6">
      <c r="A275" t="s">
        <v>6</v>
      </c>
      <c r="B275" t="s">
        <v>125</v>
      </c>
      <c r="C275" s="1" t="s">
        <v>134</v>
      </c>
      <c r="D275" s="7">
        <v>3794</v>
      </c>
      <c r="E275" t="s">
        <v>9</v>
      </c>
      <c r="F275" s="9">
        <v>4.5999999999999996</v>
      </c>
    </row>
    <row r="276" spans="1:6">
      <c r="A276" t="s">
        <v>6</v>
      </c>
      <c r="B276" t="s">
        <v>125</v>
      </c>
      <c r="C276" s="1" t="s">
        <v>135</v>
      </c>
      <c r="D276" s="7">
        <v>3798</v>
      </c>
      <c r="E276" t="s">
        <v>9</v>
      </c>
      <c r="F276" s="9">
        <v>4.9000000000000004</v>
      </c>
    </row>
    <row r="277" spans="1:6">
      <c r="A277" t="s">
        <v>6</v>
      </c>
      <c r="B277" t="s">
        <v>125</v>
      </c>
      <c r="C277" s="1" t="s">
        <v>136</v>
      </c>
      <c r="D277" s="7">
        <v>3802</v>
      </c>
      <c r="E277" t="s">
        <v>9</v>
      </c>
      <c r="F277" s="9">
        <v>4.9000000000000004</v>
      </c>
    </row>
    <row r="278" spans="1:6">
      <c r="A278" t="s">
        <v>6</v>
      </c>
      <c r="B278" t="s">
        <v>125</v>
      </c>
      <c r="C278" s="1" t="s">
        <v>137</v>
      </c>
      <c r="D278" s="7">
        <v>3806</v>
      </c>
      <c r="E278" t="s">
        <v>9</v>
      </c>
      <c r="F278" s="9">
        <v>4.5</v>
      </c>
    </row>
    <row r="279" spans="1:6">
      <c r="A279" t="s">
        <v>6</v>
      </c>
      <c r="B279" t="s">
        <v>125</v>
      </c>
      <c r="C279" s="1" t="s">
        <v>138</v>
      </c>
      <c r="D279" s="7">
        <v>3810</v>
      </c>
      <c r="E279" t="s">
        <v>9</v>
      </c>
      <c r="F279" s="9">
        <v>4.5</v>
      </c>
    </row>
    <row r="280" spans="1:6">
      <c r="A280" t="s">
        <v>6</v>
      </c>
      <c r="B280" t="s">
        <v>125</v>
      </c>
      <c r="C280" s="1" t="s">
        <v>139</v>
      </c>
      <c r="D280" s="7">
        <v>3834</v>
      </c>
      <c r="E280" t="s">
        <v>9</v>
      </c>
      <c r="F280" s="9">
        <v>5</v>
      </c>
    </row>
    <row r="281" spans="1:6">
      <c r="A281" t="s">
        <v>6</v>
      </c>
      <c r="B281" t="s">
        <v>125</v>
      </c>
      <c r="C281" s="1" t="s">
        <v>140</v>
      </c>
      <c r="D281" s="7">
        <v>3838</v>
      </c>
      <c r="E281" t="s">
        <v>9</v>
      </c>
      <c r="F281" s="9">
        <v>5</v>
      </c>
    </row>
    <row r="282" spans="1:6">
      <c r="A282" t="s">
        <v>6</v>
      </c>
      <c r="B282" t="s">
        <v>125</v>
      </c>
      <c r="C282" s="1" t="s">
        <v>141</v>
      </c>
      <c r="D282" s="7">
        <v>3842</v>
      </c>
      <c r="E282" t="s">
        <v>9</v>
      </c>
      <c r="F282" s="9">
        <v>4.7</v>
      </c>
    </row>
    <row r="283" spans="1:6">
      <c r="A283" t="s">
        <v>6</v>
      </c>
      <c r="B283" t="s">
        <v>125</v>
      </c>
      <c r="C283" s="1" t="s">
        <v>142</v>
      </c>
      <c r="D283" s="7">
        <v>3846</v>
      </c>
      <c r="E283" t="s">
        <v>9</v>
      </c>
      <c r="F283" s="9">
        <v>4.9000000000000004</v>
      </c>
    </row>
    <row r="284" spans="1:6">
      <c r="A284" t="s">
        <v>6</v>
      </c>
      <c r="B284" t="s">
        <v>125</v>
      </c>
      <c r="C284" s="1" t="s">
        <v>143</v>
      </c>
      <c r="D284" s="7">
        <v>3850</v>
      </c>
      <c r="E284" t="s">
        <v>9</v>
      </c>
      <c r="F284" s="9">
        <v>4.9000000000000004</v>
      </c>
    </row>
    <row r="285" spans="1:6">
      <c r="A285" t="s">
        <v>6</v>
      </c>
      <c r="B285" t="s">
        <v>125</v>
      </c>
      <c r="C285" s="1" t="s">
        <v>144</v>
      </c>
      <c r="D285" s="7">
        <v>3854</v>
      </c>
      <c r="E285" t="s">
        <v>9</v>
      </c>
      <c r="F285" s="9">
        <v>4.8</v>
      </c>
    </row>
    <row r="286" spans="1:6">
      <c r="A286" t="s">
        <v>6</v>
      </c>
      <c r="B286" t="s">
        <v>125</v>
      </c>
      <c r="C286" s="1" t="s">
        <v>145</v>
      </c>
      <c r="D286" s="7">
        <v>3858</v>
      </c>
      <c r="E286" t="s">
        <v>9</v>
      </c>
      <c r="F286" s="9">
        <v>4.5999999999999996</v>
      </c>
    </row>
    <row r="287" spans="1:6">
      <c r="A287" t="s">
        <v>6</v>
      </c>
      <c r="B287" t="s">
        <v>125</v>
      </c>
      <c r="C287" s="1" t="s">
        <v>146</v>
      </c>
      <c r="D287" s="7">
        <v>3862</v>
      </c>
      <c r="E287" t="s">
        <v>9</v>
      </c>
      <c r="F287" s="9">
        <v>4.8</v>
      </c>
    </row>
    <row r="288" spans="1:6">
      <c r="A288" t="s">
        <v>6</v>
      </c>
      <c r="B288" t="s">
        <v>125</v>
      </c>
      <c r="C288" s="1" t="s">
        <v>147</v>
      </c>
      <c r="D288" s="7">
        <v>3866</v>
      </c>
      <c r="E288" t="s">
        <v>9</v>
      </c>
      <c r="F288" s="9">
        <v>4.7</v>
      </c>
    </row>
    <row r="289" spans="1:6">
      <c r="A289" t="s">
        <v>6</v>
      </c>
      <c r="B289" t="s">
        <v>125</v>
      </c>
      <c r="C289" s="1" t="s">
        <v>148</v>
      </c>
      <c r="D289" s="7">
        <v>3870</v>
      </c>
      <c r="E289" t="s">
        <v>9</v>
      </c>
      <c r="F289" s="9">
        <v>4.5</v>
      </c>
    </row>
    <row r="290" spans="1:6">
      <c r="A290" t="s">
        <v>6</v>
      </c>
      <c r="B290" t="s">
        <v>125</v>
      </c>
      <c r="C290" s="1" t="s">
        <v>149</v>
      </c>
      <c r="D290" s="7">
        <v>3902</v>
      </c>
      <c r="E290" t="s">
        <v>9</v>
      </c>
      <c r="F290" s="9">
        <v>4.5999999999999996</v>
      </c>
    </row>
    <row r="291" spans="1:6">
      <c r="A291" t="s">
        <v>6</v>
      </c>
      <c r="B291" t="s">
        <v>125</v>
      </c>
      <c r="C291" s="1" t="s">
        <v>150</v>
      </c>
      <c r="D291" s="7">
        <v>3910</v>
      </c>
      <c r="E291" t="s">
        <v>9</v>
      </c>
      <c r="F291" s="9">
        <v>4.7</v>
      </c>
    </row>
    <row r="292" spans="1:6">
      <c r="A292" t="s">
        <v>6</v>
      </c>
      <c r="B292" t="s">
        <v>125</v>
      </c>
      <c r="C292" s="1" t="s">
        <v>151</v>
      </c>
      <c r="D292" s="7">
        <v>3914</v>
      </c>
      <c r="E292" t="s">
        <v>9</v>
      </c>
      <c r="F292" s="9">
        <v>4.5999999999999996</v>
      </c>
    </row>
    <row r="293" spans="1:6">
      <c r="A293" t="s">
        <v>6</v>
      </c>
      <c r="B293" t="s">
        <v>125</v>
      </c>
      <c r="C293" s="3" t="s">
        <v>126</v>
      </c>
      <c r="D293" s="7">
        <v>367</v>
      </c>
      <c r="E293" s="2" t="s">
        <v>10</v>
      </c>
      <c r="F293" s="10">
        <v>10.4</v>
      </c>
    </row>
    <row r="294" spans="1:6">
      <c r="A294" t="s">
        <v>6</v>
      </c>
      <c r="B294" t="s">
        <v>125</v>
      </c>
      <c r="C294" s="3" t="s">
        <v>127</v>
      </c>
      <c r="D294" s="7">
        <v>371</v>
      </c>
      <c r="E294" s="2" t="s">
        <v>10</v>
      </c>
      <c r="F294" s="10">
        <v>10</v>
      </c>
    </row>
    <row r="295" spans="1:6">
      <c r="A295" t="s">
        <v>6</v>
      </c>
      <c r="B295" t="s">
        <v>125</v>
      </c>
      <c r="C295" s="1" t="s">
        <v>128</v>
      </c>
      <c r="D295" s="7">
        <v>3407</v>
      </c>
      <c r="E295" t="s">
        <v>10</v>
      </c>
      <c r="F295" s="9">
        <v>9.1999999999999993</v>
      </c>
    </row>
    <row r="296" spans="1:6">
      <c r="A296" t="s">
        <v>6</v>
      </c>
      <c r="B296" t="s">
        <v>125</v>
      </c>
      <c r="C296" s="1" t="s">
        <v>129</v>
      </c>
      <c r="D296" s="7">
        <v>3607</v>
      </c>
      <c r="E296" t="s">
        <v>10</v>
      </c>
      <c r="F296" s="9">
        <v>9.1</v>
      </c>
    </row>
    <row r="297" spans="1:6">
      <c r="A297" t="s">
        <v>6</v>
      </c>
      <c r="B297" t="s">
        <v>125</v>
      </c>
      <c r="C297" s="1" t="s">
        <v>130</v>
      </c>
      <c r="D297" s="7">
        <v>3651</v>
      </c>
      <c r="E297" t="s">
        <v>10</v>
      </c>
      <c r="F297" s="9">
        <v>8.4</v>
      </c>
    </row>
    <row r="298" spans="1:6">
      <c r="A298" t="s">
        <v>6</v>
      </c>
      <c r="B298" t="s">
        <v>125</v>
      </c>
      <c r="C298" s="1" t="s">
        <v>131</v>
      </c>
      <c r="D298" s="7">
        <v>3743</v>
      </c>
      <c r="E298" t="s">
        <v>10</v>
      </c>
      <c r="F298" s="9">
        <v>9.1999999999999993</v>
      </c>
    </row>
    <row r="299" spans="1:6">
      <c r="A299" t="s">
        <v>6</v>
      </c>
      <c r="B299" t="s">
        <v>125</v>
      </c>
      <c r="C299" s="1" t="s">
        <v>132</v>
      </c>
      <c r="D299" s="7">
        <v>3747</v>
      </c>
      <c r="E299" t="s">
        <v>10</v>
      </c>
      <c r="F299" s="9">
        <v>10.7</v>
      </c>
    </row>
    <row r="300" spans="1:6">
      <c r="A300" t="s">
        <v>6</v>
      </c>
      <c r="B300" t="s">
        <v>125</v>
      </c>
      <c r="C300" s="1" t="s">
        <v>133</v>
      </c>
      <c r="D300" s="7">
        <v>3791</v>
      </c>
      <c r="E300" t="s">
        <v>10</v>
      </c>
      <c r="F300" s="9">
        <v>10.1</v>
      </c>
    </row>
    <row r="301" spans="1:6">
      <c r="A301" t="s">
        <v>6</v>
      </c>
      <c r="B301" t="s">
        <v>125</v>
      </c>
      <c r="C301" s="1" t="s">
        <v>134</v>
      </c>
      <c r="D301" s="7">
        <v>3795</v>
      </c>
      <c r="E301" t="s">
        <v>10</v>
      </c>
      <c r="F301" s="9">
        <v>9.4</v>
      </c>
    </row>
    <row r="302" spans="1:6">
      <c r="A302" t="s">
        <v>6</v>
      </c>
      <c r="B302" t="s">
        <v>125</v>
      </c>
      <c r="C302" s="1" t="s">
        <v>135</v>
      </c>
      <c r="D302" s="7">
        <v>3799</v>
      </c>
      <c r="E302" t="s">
        <v>10</v>
      </c>
      <c r="F302" s="9">
        <v>11.7</v>
      </c>
    </row>
    <row r="303" spans="1:6">
      <c r="A303" t="s">
        <v>6</v>
      </c>
      <c r="B303" t="s">
        <v>125</v>
      </c>
      <c r="C303" s="1" t="s">
        <v>136</v>
      </c>
      <c r="D303" s="7">
        <v>3803</v>
      </c>
      <c r="E303" t="s">
        <v>10</v>
      </c>
      <c r="F303" s="9">
        <v>10.199999999999999</v>
      </c>
    </row>
    <row r="304" spans="1:6">
      <c r="A304" t="s">
        <v>6</v>
      </c>
      <c r="B304" t="s">
        <v>125</v>
      </c>
      <c r="C304" s="1" t="s">
        <v>137</v>
      </c>
      <c r="D304" s="7">
        <v>3807</v>
      </c>
      <c r="E304" t="s">
        <v>10</v>
      </c>
      <c r="F304" s="9">
        <v>9.4</v>
      </c>
    </row>
    <row r="305" spans="1:6">
      <c r="A305" t="s">
        <v>6</v>
      </c>
      <c r="B305" t="s">
        <v>125</v>
      </c>
      <c r="C305" s="1" t="s">
        <v>138</v>
      </c>
      <c r="D305" s="7">
        <v>3811</v>
      </c>
      <c r="E305" t="s">
        <v>10</v>
      </c>
      <c r="F305" s="9">
        <v>9.4</v>
      </c>
    </row>
    <row r="306" spans="1:6">
      <c r="A306" t="s">
        <v>6</v>
      </c>
      <c r="B306" t="s">
        <v>125</v>
      </c>
      <c r="C306" s="1" t="s">
        <v>139</v>
      </c>
      <c r="D306" s="7">
        <v>3835</v>
      </c>
      <c r="E306" t="s">
        <v>10</v>
      </c>
      <c r="F306" s="9">
        <v>10.199999999999999</v>
      </c>
    </row>
    <row r="307" spans="1:6">
      <c r="A307" t="s">
        <v>6</v>
      </c>
      <c r="B307" t="s">
        <v>125</v>
      </c>
      <c r="C307" s="1" t="s">
        <v>140</v>
      </c>
      <c r="D307" s="7">
        <v>3839</v>
      </c>
      <c r="E307" t="s">
        <v>10</v>
      </c>
      <c r="F307" s="9">
        <v>9.9</v>
      </c>
    </row>
    <row r="308" spans="1:6">
      <c r="A308" t="s">
        <v>6</v>
      </c>
      <c r="B308" t="s">
        <v>125</v>
      </c>
      <c r="C308" s="1" t="s">
        <v>141</v>
      </c>
      <c r="D308" s="7">
        <v>3843</v>
      </c>
      <c r="E308" t="s">
        <v>10</v>
      </c>
      <c r="F308" s="9">
        <v>10.8</v>
      </c>
    </row>
    <row r="309" spans="1:6">
      <c r="A309" t="s">
        <v>6</v>
      </c>
      <c r="B309" t="s">
        <v>125</v>
      </c>
      <c r="C309" s="1" t="s">
        <v>142</v>
      </c>
      <c r="D309" s="7">
        <v>3847</v>
      </c>
      <c r="E309" t="s">
        <v>10</v>
      </c>
      <c r="F309" s="9">
        <v>9.6999999999999993</v>
      </c>
    </row>
    <row r="310" spans="1:6">
      <c r="A310" t="s">
        <v>6</v>
      </c>
      <c r="B310" t="s">
        <v>125</v>
      </c>
      <c r="C310" s="1" t="s">
        <v>143</v>
      </c>
      <c r="D310" s="7">
        <v>3851</v>
      </c>
      <c r="E310" t="s">
        <v>10</v>
      </c>
      <c r="F310" s="9">
        <v>9.9</v>
      </c>
    </row>
    <row r="311" spans="1:6">
      <c r="A311" t="s">
        <v>6</v>
      </c>
      <c r="B311" t="s">
        <v>125</v>
      </c>
      <c r="C311" s="1" t="s">
        <v>144</v>
      </c>
      <c r="D311" s="7">
        <v>3855</v>
      </c>
      <c r="E311" t="s">
        <v>10</v>
      </c>
      <c r="F311" s="9">
        <v>9.5</v>
      </c>
    </row>
    <row r="312" spans="1:6">
      <c r="A312" t="s">
        <v>6</v>
      </c>
      <c r="B312" t="s">
        <v>125</v>
      </c>
      <c r="C312" s="1" t="s">
        <v>145</v>
      </c>
      <c r="D312" s="7">
        <v>3859</v>
      </c>
      <c r="E312" t="s">
        <v>10</v>
      </c>
      <c r="F312" s="9">
        <v>8.8000000000000007</v>
      </c>
    </row>
    <row r="313" spans="1:6">
      <c r="A313" t="s">
        <v>6</v>
      </c>
      <c r="B313" t="s">
        <v>125</v>
      </c>
      <c r="C313" s="1" t="s">
        <v>146</v>
      </c>
      <c r="D313" s="7">
        <v>3863</v>
      </c>
      <c r="E313" t="s">
        <v>10</v>
      </c>
      <c r="F313" s="9">
        <v>9.8000000000000007</v>
      </c>
    </row>
    <row r="314" spans="1:6">
      <c r="A314" t="s">
        <v>6</v>
      </c>
      <c r="B314" t="s">
        <v>125</v>
      </c>
      <c r="C314" s="1" t="s">
        <v>147</v>
      </c>
      <c r="D314" s="7">
        <v>3867</v>
      </c>
      <c r="E314" t="s">
        <v>10</v>
      </c>
      <c r="F314" s="9">
        <v>9.6999999999999993</v>
      </c>
    </row>
    <row r="315" spans="1:6">
      <c r="A315" t="s">
        <v>6</v>
      </c>
      <c r="B315" t="s">
        <v>125</v>
      </c>
      <c r="C315" s="1" t="s">
        <v>148</v>
      </c>
      <c r="D315" s="7">
        <v>3871</v>
      </c>
      <c r="E315" t="s">
        <v>10</v>
      </c>
      <c r="F315" s="9">
        <v>9.5</v>
      </c>
    </row>
    <row r="316" spans="1:6">
      <c r="A316" t="s">
        <v>6</v>
      </c>
      <c r="B316" t="s">
        <v>125</v>
      </c>
      <c r="C316" s="1" t="s">
        <v>149</v>
      </c>
      <c r="D316" s="7">
        <v>3903</v>
      </c>
      <c r="E316" t="s">
        <v>10</v>
      </c>
      <c r="F316" s="9">
        <v>9.4</v>
      </c>
    </row>
    <row r="317" spans="1:6">
      <c r="A317" t="s">
        <v>6</v>
      </c>
      <c r="B317" t="s">
        <v>125</v>
      </c>
      <c r="C317" s="1" t="s">
        <v>150</v>
      </c>
      <c r="D317" s="7">
        <v>3911</v>
      </c>
      <c r="E317" t="s">
        <v>10</v>
      </c>
      <c r="F317" s="9">
        <v>9.5</v>
      </c>
    </row>
    <row r="318" spans="1:6">
      <c r="A318" t="s">
        <v>6</v>
      </c>
      <c r="B318" t="s">
        <v>125</v>
      </c>
      <c r="C318" s="1" t="s">
        <v>151</v>
      </c>
      <c r="D318" s="7">
        <v>3915</v>
      </c>
      <c r="E318" t="s">
        <v>10</v>
      </c>
      <c r="F318" s="9">
        <v>9.8000000000000007</v>
      </c>
    </row>
    <row r="319" spans="1:6">
      <c r="A319" t="s">
        <v>6</v>
      </c>
      <c r="B319" t="s">
        <v>125</v>
      </c>
      <c r="C319" s="3" t="s">
        <v>126</v>
      </c>
      <c r="D319" s="7">
        <v>368</v>
      </c>
      <c r="E319" s="2" t="s">
        <v>11</v>
      </c>
      <c r="F319" s="10">
        <v>12.4</v>
      </c>
    </row>
    <row r="320" spans="1:6">
      <c r="A320" t="s">
        <v>6</v>
      </c>
      <c r="B320" t="s">
        <v>125</v>
      </c>
      <c r="C320" s="3" t="s">
        <v>127</v>
      </c>
      <c r="D320" s="7">
        <v>372</v>
      </c>
      <c r="E320" s="2" t="s">
        <v>11</v>
      </c>
      <c r="F320" s="10">
        <v>11.8</v>
      </c>
    </row>
    <row r="321" spans="1:6">
      <c r="A321" t="s">
        <v>6</v>
      </c>
      <c r="B321" t="s">
        <v>125</v>
      </c>
      <c r="C321" s="1" t="s">
        <v>128</v>
      </c>
      <c r="D321" s="7">
        <v>3405</v>
      </c>
      <c r="E321" t="s">
        <v>11</v>
      </c>
      <c r="F321" s="9">
        <v>11.9</v>
      </c>
    </row>
    <row r="322" spans="1:6">
      <c r="A322" t="s">
        <v>6</v>
      </c>
      <c r="B322" t="s">
        <v>125</v>
      </c>
      <c r="C322" s="1" t="s">
        <v>129</v>
      </c>
      <c r="D322" s="7">
        <v>3605</v>
      </c>
      <c r="E322" t="s">
        <v>11</v>
      </c>
      <c r="F322" s="9">
        <v>11.7</v>
      </c>
    </row>
    <row r="323" spans="1:6">
      <c r="A323" t="s">
        <v>6</v>
      </c>
      <c r="B323" t="s">
        <v>125</v>
      </c>
      <c r="C323" s="1" t="s">
        <v>130</v>
      </c>
      <c r="D323" s="7">
        <v>3649</v>
      </c>
      <c r="E323" t="s">
        <v>11</v>
      </c>
      <c r="F323" s="9">
        <v>12</v>
      </c>
    </row>
    <row r="324" spans="1:6">
      <c r="A324" t="s">
        <v>6</v>
      </c>
      <c r="B324" t="s">
        <v>125</v>
      </c>
      <c r="C324" s="1" t="s">
        <v>131</v>
      </c>
      <c r="D324" s="7">
        <v>3741</v>
      </c>
      <c r="E324" t="s">
        <v>11</v>
      </c>
      <c r="F324" s="9">
        <v>11.6</v>
      </c>
    </row>
    <row r="325" spans="1:6">
      <c r="A325" t="s">
        <v>6</v>
      </c>
      <c r="B325" t="s">
        <v>125</v>
      </c>
      <c r="C325" s="1" t="s">
        <v>132</v>
      </c>
      <c r="D325" s="7">
        <v>3745</v>
      </c>
      <c r="E325" t="s">
        <v>11</v>
      </c>
      <c r="F325" s="9">
        <v>12.8</v>
      </c>
    </row>
    <row r="326" spans="1:6">
      <c r="A326" t="s">
        <v>6</v>
      </c>
      <c r="B326" t="s">
        <v>125</v>
      </c>
      <c r="C326" s="1" t="s">
        <v>133</v>
      </c>
      <c r="D326" s="7">
        <v>3789</v>
      </c>
      <c r="E326" t="s">
        <v>11</v>
      </c>
      <c r="F326" s="9">
        <v>12.1</v>
      </c>
    </row>
    <row r="327" spans="1:6">
      <c r="A327" t="s">
        <v>6</v>
      </c>
      <c r="B327" t="s">
        <v>125</v>
      </c>
      <c r="C327" s="1" t="s">
        <v>134</v>
      </c>
      <c r="D327" s="7">
        <v>3793</v>
      </c>
      <c r="E327" t="s">
        <v>11</v>
      </c>
      <c r="F327" s="9">
        <v>11.2</v>
      </c>
    </row>
    <row r="328" spans="1:6">
      <c r="A328" t="s">
        <v>6</v>
      </c>
      <c r="B328" t="s">
        <v>125</v>
      </c>
      <c r="C328" s="1" t="s">
        <v>135</v>
      </c>
      <c r="D328" s="7">
        <v>3797</v>
      </c>
      <c r="E328" t="s">
        <v>11</v>
      </c>
      <c r="F328" s="9">
        <v>12.7</v>
      </c>
    </row>
    <row r="329" spans="1:6">
      <c r="A329" t="s">
        <v>6</v>
      </c>
      <c r="B329" t="s">
        <v>125</v>
      </c>
      <c r="C329" s="1" t="s">
        <v>136</v>
      </c>
      <c r="D329" s="7">
        <v>3801</v>
      </c>
      <c r="E329" t="s">
        <v>11</v>
      </c>
      <c r="F329" s="9">
        <v>12.2</v>
      </c>
    </row>
    <row r="330" spans="1:6">
      <c r="A330" t="s">
        <v>6</v>
      </c>
      <c r="B330" t="s">
        <v>125</v>
      </c>
      <c r="C330" s="1" t="s">
        <v>137</v>
      </c>
      <c r="D330" s="7">
        <v>3805</v>
      </c>
      <c r="E330" t="s">
        <v>11</v>
      </c>
      <c r="F330" s="9">
        <v>12.4</v>
      </c>
    </row>
    <row r="331" spans="1:6">
      <c r="A331" t="s">
        <v>6</v>
      </c>
      <c r="B331" t="s">
        <v>125</v>
      </c>
      <c r="C331" s="1" t="s">
        <v>138</v>
      </c>
      <c r="D331" s="7">
        <v>3809</v>
      </c>
      <c r="E331" t="s">
        <v>11</v>
      </c>
      <c r="F331" s="9">
        <v>11.4</v>
      </c>
    </row>
    <row r="332" spans="1:6">
      <c r="A332" t="s">
        <v>6</v>
      </c>
      <c r="B332" t="s">
        <v>125</v>
      </c>
      <c r="C332" s="1" t="s">
        <v>139</v>
      </c>
      <c r="D332" s="7">
        <v>3833</v>
      </c>
      <c r="E332" t="s">
        <v>11</v>
      </c>
      <c r="F332" s="9">
        <v>12.4</v>
      </c>
    </row>
    <row r="333" spans="1:6">
      <c r="A333" t="s">
        <v>6</v>
      </c>
      <c r="B333" t="s">
        <v>125</v>
      </c>
      <c r="C333" s="1" t="s">
        <v>140</v>
      </c>
      <c r="D333" s="7">
        <v>3837</v>
      </c>
      <c r="E333" t="s">
        <v>11</v>
      </c>
      <c r="F333" s="9">
        <v>12.5</v>
      </c>
    </row>
    <row r="334" spans="1:6">
      <c r="A334" t="s">
        <v>6</v>
      </c>
      <c r="B334" t="s">
        <v>125</v>
      </c>
      <c r="C334" s="1" t="s">
        <v>141</v>
      </c>
      <c r="D334" s="7">
        <v>3841</v>
      </c>
      <c r="E334" t="s">
        <v>11</v>
      </c>
      <c r="F334" s="9">
        <v>12.6</v>
      </c>
    </row>
    <row r="335" spans="1:6">
      <c r="A335" t="s">
        <v>6</v>
      </c>
      <c r="B335" t="s">
        <v>125</v>
      </c>
      <c r="C335" s="1" t="s">
        <v>142</v>
      </c>
      <c r="D335" s="7">
        <v>3845</v>
      </c>
      <c r="E335" t="s">
        <v>11</v>
      </c>
      <c r="F335" s="9">
        <v>12.5</v>
      </c>
    </row>
    <row r="336" spans="1:6">
      <c r="A336" t="s">
        <v>6</v>
      </c>
      <c r="B336" t="s">
        <v>125</v>
      </c>
      <c r="C336" s="1" t="s">
        <v>143</v>
      </c>
      <c r="D336" s="7">
        <v>3849</v>
      </c>
      <c r="E336" t="s">
        <v>11</v>
      </c>
      <c r="F336" s="9">
        <v>11.8</v>
      </c>
    </row>
    <row r="337" spans="1:6">
      <c r="A337" t="s">
        <v>6</v>
      </c>
      <c r="B337" t="s">
        <v>125</v>
      </c>
      <c r="C337" s="1" t="s">
        <v>144</v>
      </c>
      <c r="D337" s="7">
        <v>3853</v>
      </c>
      <c r="E337" t="s">
        <v>11</v>
      </c>
      <c r="F337" s="9">
        <v>12.3</v>
      </c>
    </row>
    <row r="338" spans="1:6">
      <c r="A338" t="s">
        <v>6</v>
      </c>
      <c r="B338" t="s">
        <v>125</v>
      </c>
      <c r="C338" s="1" t="s">
        <v>145</v>
      </c>
      <c r="D338" s="7">
        <v>3857</v>
      </c>
      <c r="E338" t="s">
        <v>11</v>
      </c>
      <c r="F338" s="9">
        <v>12.2</v>
      </c>
    </row>
    <row r="339" spans="1:6">
      <c r="A339" t="s">
        <v>6</v>
      </c>
      <c r="B339" t="s">
        <v>125</v>
      </c>
      <c r="C339" s="1" t="s">
        <v>146</v>
      </c>
      <c r="D339" s="7">
        <v>3861</v>
      </c>
      <c r="E339" t="s">
        <v>11</v>
      </c>
      <c r="F339" s="9">
        <v>12</v>
      </c>
    </row>
    <row r="340" spans="1:6">
      <c r="A340" t="s">
        <v>6</v>
      </c>
      <c r="B340" t="s">
        <v>125</v>
      </c>
      <c r="C340" s="1" t="s">
        <v>147</v>
      </c>
      <c r="D340" s="7">
        <v>3865</v>
      </c>
      <c r="E340" t="s">
        <v>11</v>
      </c>
      <c r="F340" s="9">
        <v>12.8</v>
      </c>
    </row>
    <row r="341" spans="1:6">
      <c r="A341" t="s">
        <v>6</v>
      </c>
      <c r="B341" t="s">
        <v>125</v>
      </c>
      <c r="C341" s="1" t="s">
        <v>148</v>
      </c>
      <c r="D341" s="7">
        <v>3869</v>
      </c>
      <c r="E341" t="s">
        <v>11</v>
      </c>
      <c r="F341" s="9">
        <v>12.6</v>
      </c>
    </row>
    <row r="342" spans="1:6">
      <c r="A342" t="s">
        <v>6</v>
      </c>
      <c r="B342" t="s">
        <v>125</v>
      </c>
      <c r="C342" s="1" t="s">
        <v>149</v>
      </c>
      <c r="D342" s="7">
        <v>3901</v>
      </c>
      <c r="E342" t="s">
        <v>11</v>
      </c>
      <c r="F342" s="9">
        <v>12.9</v>
      </c>
    </row>
    <row r="343" spans="1:6">
      <c r="A343" t="s">
        <v>6</v>
      </c>
      <c r="B343" t="s">
        <v>125</v>
      </c>
      <c r="C343" s="1" t="s">
        <v>150</v>
      </c>
      <c r="D343" s="7">
        <v>3909</v>
      </c>
      <c r="E343" t="s">
        <v>11</v>
      </c>
      <c r="F343" s="9">
        <v>12.3</v>
      </c>
    </row>
    <row r="344" spans="1:6">
      <c r="A344" t="s">
        <v>6</v>
      </c>
      <c r="B344" t="s">
        <v>125</v>
      </c>
      <c r="C344" s="1" t="s">
        <v>151</v>
      </c>
      <c r="D344" s="7">
        <v>3913</v>
      </c>
      <c r="E344" t="s">
        <v>11</v>
      </c>
      <c r="F344" s="9">
        <v>12.1</v>
      </c>
    </row>
    <row r="345" spans="1:6">
      <c r="A345" t="s">
        <v>6</v>
      </c>
      <c r="B345" t="s">
        <v>152</v>
      </c>
      <c r="C345" s="1" t="s">
        <v>153</v>
      </c>
      <c r="D345" s="7">
        <v>3958</v>
      </c>
      <c r="E345" t="s">
        <v>9</v>
      </c>
      <c r="F345" s="9">
        <v>4.57</v>
      </c>
    </row>
    <row r="346" spans="1:6">
      <c r="A346" t="s">
        <v>6</v>
      </c>
      <c r="B346" t="s">
        <v>152</v>
      </c>
      <c r="C346" s="1" t="s">
        <v>153</v>
      </c>
      <c r="D346" s="7">
        <v>3959</v>
      </c>
      <c r="E346" t="s">
        <v>10</v>
      </c>
      <c r="F346" s="9">
        <v>12.15</v>
      </c>
    </row>
    <row r="347" spans="1:6">
      <c r="A347" t="s">
        <v>6</v>
      </c>
      <c r="B347" t="s">
        <v>152</v>
      </c>
      <c r="C347" s="1" t="s">
        <v>153</v>
      </c>
      <c r="D347" s="7">
        <v>3957</v>
      </c>
      <c r="E347" t="s">
        <v>11</v>
      </c>
      <c r="F347" s="9">
        <v>11.34</v>
      </c>
    </row>
    <row r="348" spans="1:6">
      <c r="A348" t="s">
        <v>6</v>
      </c>
      <c r="B348" t="s">
        <v>154</v>
      </c>
      <c r="C348" s="1" t="s">
        <v>155</v>
      </c>
      <c r="D348" s="7">
        <v>5903</v>
      </c>
      <c r="E348" t="s">
        <v>9</v>
      </c>
      <c r="F348" s="9">
        <v>4.6399999999999997</v>
      </c>
    </row>
    <row r="349" spans="1:6">
      <c r="A349" t="s">
        <v>6</v>
      </c>
      <c r="B349" t="s">
        <v>154</v>
      </c>
      <c r="C349" s="1" t="s">
        <v>156</v>
      </c>
      <c r="D349" s="7">
        <v>3814</v>
      </c>
      <c r="E349" t="s">
        <v>9</v>
      </c>
      <c r="F349" s="9">
        <v>4.8</v>
      </c>
    </row>
    <row r="350" spans="1:6">
      <c r="A350" t="s">
        <v>6</v>
      </c>
      <c r="B350" t="s">
        <v>154</v>
      </c>
      <c r="C350" s="1" t="s">
        <v>157</v>
      </c>
      <c r="D350" s="7">
        <v>3906</v>
      </c>
      <c r="E350" t="s">
        <v>9</v>
      </c>
      <c r="F350" s="9">
        <v>4.5</v>
      </c>
    </row>
    <row r="351" spans="1:6">
      <c r="A351" t="s">
        <v>6</v>
      </c>
      <c r="B351" t="s">
        <v>154</v>
      </c>
      <c r="C351" s="1" t="s">
        <v>155</v>
      </c>
      <c r="D351" s="7">
        <v>5906</v>
      </c>
      <c r="E351" t="s">
        <v>10</v>
      </c>
      <c r="F351" s="9">
        <v>17.66</v>
      </c>
    </row>
    <row r="352" spans="1:6">
      <c r="A352" t="s">
        <v>6</v>
      </c>
      <c r="B352" t="s">
        <v>154</v>
      </c>
      <c r="C352" s="1" t="s">
        <v>156</v>
      </c>
      <c r="D352" s="7">
        <v>3815</v>
      </c>
      <c r="E352" t="s">
        <v>10</v>
      </c>
      <c r="F352" s="9">
        <v>9.5</v>
      </c>
    </row>
    <row r="353" spans="1:6">
      <c r="A353" t="s">
        <v>6</v>
      </c>
      <c r="B353" t="s">
        <v>154</v>
      </c>
      <c r="C353" s="1" t="s">
        <v>157</v>
      </c>
      <c r="D353" s="7">
        <v>3907</v>
      </c>
      <c r="E353" t="s">
        <v>10</v>
      </c>
      <c r="F353" s="9">
        <v>8.5</v>
      </c>
    </row>
    <row r="354" spans="1:6">
      <c r="A354" t="s">
        <v>6</v>
      </c>
      <c r="B354" t="s">
        <v>154</v>
      </c>
      <c r="C354" s="1" t="s">
        <v>155</v>
      </c>
      <c r="D354" s="7">
        <v>5904</v>
      </c>
      <c r="E354" t="s">
        <v>11</v>
      </c>
      <c r="F354" s="9">
        <v>12.58</v>
      </c>
    </row>
    <row r="355" spans="1:6">
      <c r="A355" t="s">
        <v>6</v>
      </c>
      <c r="B355" t="s">
        <v>154</v>
      </c>
      <c r="C355" s="1" t="s">
        <v>156</v>
      </c>
      <c r="D355" s="7">
        <v>3813</v>
      </c>
      <c r="E355" t="s">
        <v>11</v>
      </c>
      <c r="F355" s="9">
        <v>11.7</v>
      </c>
    </row>
    <row r="356" spans="1:6">
      <c r="A356" t="s">
        <v>6</v>
      </c>
      <c r="B356" t="s">
        <v>154</v>
      </c>
      <c r="C356" s="1" t="s">
        <v>157</v>
      </c>
      <c r="D356" s="7">
        <v>3905</v>
      </c>
      <c r="E356" t="s">
        <v>11</v>
      </c>
      <c r="F356" s="9">
        <v>12.5</v>
      </c>
    </row>
    <row r="357" spans="1:6">
      <c r="A357" t="s">
        <v>6</v>
      </c>
      <c r="B357" t="s">
        <v>154</v>
      </c>
      <c r="C357" s="1" t="s">
        <v>155</v>
      </c>
      <c r="D357" s="7">
        <v>5905</v>
      </c>
      <c r="E357" t="s">
        <v>12</v>
      </c>
      <c r="F357" s="9">
        <v>3.85</v>
      </c>
    </row>
    <row r="358" spans="1:6">
      <c r="A358" t="s">
        <v>6</v>
      </c>
      <c r="B358" t="s">
        <v>158</v>
      </c>
      <c r="C358" s="1" t="s">
        <v>159</v>
      </c>
      <c r="D358" s="7">
        <v>3918</v>
      </c>
      <c r="E358" t="s">
        <v>9</v>
      </c>
      <c r="F358" s="9">
        <v>5</v>
      </c>
    </row>
    <row r="359" spans="1:6">
      <c r="A359" t="s">
        <v>6</v>
      </c>
      <c r="B359" t="s">
        <v>158</v>
      </c>
      <c r="C359" s="1" t="s">
        <v>159</v>
      </c>
      <c r="D359" s="7">
        <v>3919</v>
      </c>
      <c r="E359" t="s">
        <v>10</v>
      </c>
      <c r="F359" s="9">
        <v>11.4</v>
      </c>
    </row>
    <row r="360" spans="1:6">
      <c r="A360" t="s">
        <v>6</v>
      </c>
      <c r="B360" t="s">
        <v>158</v>
      </c>
      <c r="C360" s="1" t="s">
        <v>159</v>
      </c>
      <c r="D360" s="7">
        <v>3917</v>
      </c>
      <c r="E360" t="s">
        <v>11</v>
      </c>
      <c r="F360" s="9">
        <v>14.3</v>
      </c>
    </row>
    <row r="361" spans="1:6">
      <c r="A361" t="s">
        <v>6</v>
      </c>
      <c r="B361" t="s">
        <v>160</v>
      </c>
      <c r="C361" s="1" t="s">
        <v>161</v>
      </c>
      <c r="D361" s="7">
        <v>5894</v>
      </c>
      <c r="E361" t="s">
        <v>9</v>
      </c>
      <c r="F361" s="9">
        <v>5.14</v>
      </c>
    </row>
    <row r="362" spans="1:6">
      <c r="A362" t="s">
        <v>6</v>
      </c>
      <c r="B362" t="s">
        <v>160</v>
      </c>
      <c r="C362" s="1" t="s">
        <v>162</v>
      </c>
      <c r="D362" s="7">
        <v>3458</v>
      </c>
      <c r="E362" t="s">
        <v>9</v>
      </c>
      <c r="F362" s="9">
        <v>5.2</v>
      </c>
    </row>
    <row r="363" spans="1:6">
      <c r="A363" t="s">
        <v>6</v>
      </c>
      <c r="B363" t="s">
        <v>160</v>
      </c>
      <c r="C363" s="1" t="s">
        <v>161</v>
      </c>
      <c r="D363" s="7">
        <v>5897</v>
      </c>
      <c r="E363" t="s">
        <v>10</v>
      </c>
      <c r="F363" s="9">
        <v>8.93</v>
      </c>
    </row>
    <row r="364" spans="1:6">
      <c r="A364" t="s">
        <v>6</v>
      </c>
      <c r="B364" t="s">
        <v>160</v>
      </c>
      <c r="C364" s="1" t="s">
        <v>162</v>
      </c>
      <c r="D364" s="7">
        <v>3459</v>
      </c>
      <c r="E364" t="s">
        <v>10</v>
      </c>
      <c r="F364" s="9">
        <v>9.5</v>
      </c>
    </row>
    <row r="365" spans="1:6">
      <c r="A365" t="s">
        <v>6</v>
      </c>
      <c r="B365" t="s">
        <v>160</v>
      </c>
      <c r="C365" s="1" t="s">
        <v>161</v>
      </c>
      <c r="D365" s="7">
        <v>5895</v>
      </c>
      <c r="E365" t="s">
        <v>11</v>
      </c>
      <c r="F365" s="9">
        <v>13.96</v>
      </c>
    </row>
    <row r="366" spans="1:6">
      <c r="A366" t="s">
        <v>6</v>
      </c>
      <c r="B366" t="s">
        <v>160</v>
      </c>
      <c r="C366" s="1" t="s">
        <v>162</v>
      </c>
      <c r="D366" s="7">
        <v>3457</v>
      </c>
      <c r="E366" t="s">
        <v>11</v>
      </c>
      <c r="F366" s="9">
        <v>13.4</v>
      </c>
    </row>
    <row r="367" spans="1:6">
      <c r="A367" t="s">
        <v>6</v>
      </c>
      <c r="B367" t="s">
        <v>160</v>
      </c>
      <c r="C367" s="1" t="s">
        <v>161</v>
      </c>
      <c r="D367" s="7">
        <v>5896</v>
      </c>
      <c r="E367" t="s">
        <v>12</v>
      </c>
      <c r="F367" s="9">
        <v>4.1500000000000004</v>
      </c>
    </row>
    <row r="368" spans="1:6">
      <c r="A368" t="s">
        <v>6</v>
      </c>
      <c r="B368" t="s">
        <v>163</v>
      </c>
      <c r="C368" s="1" t="s">
        <v>164</v>
      </c>
      <c r="D368" s="7">
        <v>3962</v>
      </c>
      <c r="E368" t="s">
        <v>9</v>
      </c>
      <c r="F368" s="9">
        <v>4.28</v>
      </c>
    </row>
    <row r="369" spans="1:6">
      <c r="A369" t="s">
        <v>6</v>
      </c>
      <c r="B369" t="s">
        <v>163</v>
      </c>
      <c r="C369" s="1" t="s">
        <v>164</v>
      </c>
      <c r="D369" s="7">
        <v>3963</v>
      </c>
      <c r="E369" t="s">
        <v>10</v>
      </c>
      <c r="F369" s="9">
        <v>5.3</v>
      </c>
    </row>
    <row r="370" spans="1:6">
      <c r="A370" t="s">
        <v>6</v>
      </c>
      <c r="B370" t="s">
        <v>163</v>
      </c>
      <c r="C370" s="1" t="s">
        <v>164</v>
      </c>
      <c r="D370" s="7">
        <v>3961</v>
      </c>
      <c r="E370" t="s">
        <v>11</v>
      </c>
      <c r="F370" s="9">
        <v>11.35</v>
      </c>
    </row>
    <row r="371" spans="1:6">
      <c r="A371" t="s">
        <v>6</v>
      </c>
      <c r="B371" s="6" t="s">
        <v>165</v>
      </c>
      <c r="C371" s="3" t="s">
        <v>166</v>
      </c>
      <c r="D371" s="7">
        <v>253</v>
      </c>
      <c r="E371" s="2" t="s">
        <v>9</v>
      </c>
      <c r="F371" s="10">
        <v>5.0999999999999996</v>
      </c>
    </row>
    <row r="372" spans="1:6">
      <c r="A372" t="s">
        <v>6</v>
      </c>
      <c r="B372" t="s">
        <v>165</v>
      </c>
      <c r="C372" s="1" t="s">
        <v>166</v>
      </c>
      <c r="D372" s="7">
        <v>3966</v>
      </c>
      <c r="E372" t="s">
        <v>9</v>
      </c>
      <c r="F372" s="9">
        <v>4.58</v>
      </c>
    </row>
    <row r="373" spans="1:6">
      <c r="A373" t="s">
        <v>6</v>
      </c>
      <c r="B373" s="6" t="s">
        <v>165</v>
      </c>
      <c r="C373" s="3" t="s">
        <v>166</v>
      </c>
      <c r="D373" s="7">
        <v>251</v>
      </c>
      <c r="E373" s="2" t="s">
        <v>10</v>
      </c>
      <c r="F373" s="10">
        <v>9.6</v>
      </c>
    </row>
    <row r="374" spans="1:6">
      <c r="A374" t="s">
        <v>6</v>
      </c>
      <c r="B374" t="s">
        <v>165</v>
      </c>
      <c r="C374" s="1" t="s">
        <v>166</v>
      </c>
      <c r="D374" s="7">
        <v>3967</v>
      </c>
      <c r="E374" t="s">
        <v>10</v>
      </c>
      <c r="F374" s="9">
        <v>5.7</v>
      </c>
    </row>
    <row r="375" spans="1:6">
      <c r="A375" t="s">
        <v>6</v>
      </c>
      <c r="B375" s="6" t="s">
        <v>165</v>
      </c>
      <c r="C375" s="3" t="s">
        <v>166</v>
      </c>
      <c r="D375" s="7">
        <v>252</v>
      </c>
      <c r="E375" s="2" t="s">
        <v>11</v>
      </c>
      <c r="F375" s="10">
        <v>12.4</v>
      </c>
    </row>
    <row r="376" spans="1:6">
      <c r="A376" t="s">
        <v>6</v>
      </c>
      <c r="B376" t="s">
        <v>165</v>
      </c>
      <c r="C376" s="1" t="s">
        <v>166</v>
      </c>
      <c r="D376" s="7">
        <v>3965</v>
      </c>
      <c r="E376" t="s">
        <v>11</v>
      </c>
      <c r="F376" s="9">
        <v>12.28</v>
      </c>
    </row>
    <row r="377" spans="1:6">
      <c r="A377" t="s">
        <v>6</v>
      </c>
      <c r="B377" t="s">
        <v>167</v>
      </c>
      <c r="C377" s="3" t="s">
        <v>168</v>
      </c>
      <c r="D377" s="7">
        <v>197</v>
      </c>
      <c r="E377" s="2" t="s">
        <v>9</v>
      </c>
      <c r="F377" s="10">
        <v>3.7</v>
      </c>
    </row>
    <row r="378" spans="1:6">
      <c r="A378" t="s">
        <v>6</v>
      </c>
      <c r="B378" t="s">
        <v>167</v>
      </c>
      <c r="C378" s="3" t="s">
        <v>169</v>
      </c>
      <c r="D378" s="7">
        <v>201</v>
      </c>
      <c r="E378" s="2" t="s">
        <v>9</v>
      </c>
      <c r="F378" s="10">
        <v>3.4</v>
      </c>
    </row>
    <row r="379" spans="1:6">
      <c r="A379" t="s">
        <v>6</v>
      </c>
      <c r="B379" t="s">
        <v>167</v>
      </c>
      <c r="C379" s="3" t="s">
        <v>170</v>
      </c>
      <c r="D379" s="7">
        <v>205</v>
      </c>
      <c r="E379" s="2" t="s">
        <v>9</v>
      </c>
      <c r="F379" s="10">
        <v>3.8</v>
      </c>
    </row>
    <row r="380" spans="1:6">
      <c r="A380" t="s">
        <v>6</v>
      </c>
      <c r="B380" s="6" t="s">
        <v>167</v>
      </c>
      <c r="C380" s="3" t="s">
        <v>171</v>
      </c>
      <c r="D380" s="7">
        <v>397</v>
      </c>
      <c r="E380" s="2" t="s">
        <v>9</v>
      </c>
      <c r="F380" s="10">
        <v>3.2</v>
      </c>
    </row>
    <row r="381" spans="1:6">
      <c r="A381" t="s">
        <v>6</v>
      </c>
      <c r="B381" s="6" t="s">
        <v>167</v>
      </c>
      <c r="C381" s="3" t="s">
        <v>172</v>
      </c>
      <c r="D381" s="7">
        <v>401</v>
      </c>
      <c r="E381" s="2" t="s">
        <v>9</v>
      </c>
      <c r="F381" s="10">
        <v>3.3</v>
      </c>
    </row>
    <row r="382" spans="1:6">
      <c r="A382" t="s">
        <v>6</v>
      </c>
      <c r="B382" s="6" t="s">
        <v>167</v>
      </c>
      <c r="C382" s="3" t="s">
        <v>173</v>
      </c>
      <c r="D382" s="7">
        <v>405</v>
      </c>
      <c r="E382" s="2" t="s">
        <v>9</v>
      </c>
      <c r="F382" s="10">
        <v>3.2</v>
      </c>
    </row>
    <row r="383" spans="1:6">
      <c r="A383" t="s">
        <v>6</v>
      </c>
      <c r="B383" s="6" t="s">
        <v>167</v>
      </c>
      <c r="C383" s="3" t="s">
        <v>174</v>
      </c>
      <c r="D383" s="7">
        <v>409</v>
      </c>
      <c r="E383" s="2" t="s">
        <v>9</v>
      </c>
      <c r="F383" s="10">
        <v>3.4</v>
      </c>
    </row>
    <row r="384" spans="1:6">
      <c r="A384" t="s">
        <v>6</v>
      </c>
      <c r="B384" s="6" t="s">
        <v>167</v>
      </c>
      <c r="C384" s="3" t="s">
        <v>175</v>
      </c>
      <c r="D384" s="7">
        <v>413</v>
      </c>
      <c r="E384" s="2" t="s">
        <v>9</v>
      </c>
      <c r="F384" s="10">
        <v>3.2</v>
      </c>
    </row>
    <row r="385" spans="1:6">
      <c r="A385" t="s">
        <v>6</v>
      </c>
      <c r="B385" s="6" t="s">
        <v>167</v>
      </c>
      <c r="C385" s="3" t="s">
        <v>176</v>
      </c>
      <c r="D385" s="7">
        <v>417</v>
      </c>
      <c r="E385" s="2" t="s">
        <v>9</v>
      </c>
      <c r="F385" s="10">
        <v>3</v>
      </c>
    </row>
    <row r="386" spans="1:6">
      <c r="A386" t="s">
        <v>6</v>
      </c>
      <c r="B386" t="s">
        <v>167</v>
      </c>
      <c r="C386" s="1" t="s">
        <v>177</v>
      </c>
      <c r="D386" s="7">
        <v>6304</v>
      </c>
      <c r="E386" t="s">
        <v>9</v>
      </c>
      <c r="F386" s="9">
        <v>3.02</v>
      </c>
    </row>
    <row r="387" spans="1:6">
      <c r="A387" t="s">
        <v>6</v>
      </c>
      <c r="B387" t="s">
        <v>167</v>
      </c>
      <c r="C387" s="1" t="s">
        <v>178</v>
      </c>
      <c r="D387" s="7">
        <v>6299</v>
      </c>
      <c r="E387" t="s">
        <v>9</v>
      </c>
      <c r="F387" s="9">
        <v>3.15</v>
      </c>
    </row>
    <row r="388" spans="1:6">
      <c r="A388" t="s">
        <v>6</v>
      </c>
      <c r="B388" t="s">
        <v>167</v>
      </c>
      <c r="C388" s="1" t="s">
        <v>179</v>
      </c>
      <c r="D388" s="7">
        <v>6254</v>
      </c>
      <c r="E388" t="s">
        <v>9</v>
      </c>
      <c r="F388" s="9">
        <v>3.12</v>
      </c>
    </row>
    <row r="389" spans="1:6">
      <c r="A389" t="s">
        <v>6</v>
      </c>
      <c r="B389" t="s">
        <v>167</v>
      </c>
      <c r="C389" s="1" t="s">
        <v>180</v>
      </c>
      <c r="D389" s="7">
        <v>6284</v>
      </c>
      <c r="E389" t="s">
        <v>9</v>
      </c>
      <c r="F389" s="9">
        <v>3.4</v>
      </c>
    </row>
    <row r="390" spans="1:6">
      <c r="A390" t="s">
        <v>6</v>
      </c>
      <c r="B390" t="s">
        <v>167</v>
      </c>
      <c r="C390" s="1" t="s">
        <v>181</v>
      </c>
      <c r="D390" s="7">
        <v>6244</v>
      </c>
      <c r="E390" t="s">
        <v>9</v>
      </c>
      <c r="F390" s="9">
        <v>3.38</v>
      </c>
    </row>
    <row r="391" spans="1:6">
      <c r="A391" t="s">
        <v>6</v>
      </c>
      <c r="B391" t="s">
        <v>167</v>
      </c>
      <c r="C391" s="1" t="s">
        <v>182</v>
      </c>
      <c r="D391" s="7">
        <v>6239</v>
      </c>
      <c r="E391" t="s">
        <v>9</v>
      </c>
      <c r="F391" s="9">
        <v>3.02</v>
      </c>
    </row>
    <row r="392" spans="1:6">
      <c r="A392" t="s">
        <v>6</v>
      </c>
      <c r="B392" t="s">
        <v>167</v>
      </c>
      <c r="C392" s="1" t="s">
        <v>183</v>
      </c>
      <c r="D392" s="7">
        <v>6294</v>
      </c>
      <c r="E392" t="s">
        <v>9</v>
      </c>
      <c r="F392" s="9">
        <v>3.3</v>
      </c>
    </row>
    <row r="393" spans="1:6">
      <c r="A393" t="s">
        <v>6</v>
      </c>
      <c r="B393" t="s">
        <v>167</v>
      </c>
      <c r="C393" s="1" t="s">
        <v>184</v>
      </c>
      <c r="D393" s="7">
        <v>6044</v>
      </c>
      <c r="E393" t="s">
        <v>9</v>
      </c>
      <c r="F393" s="9">
        <v>2.71</v>
      </c>
    </row>
    <row r="394" spans="1:6">
      <c r="A394" t="s">
        <v>6</v>
      </c>
      <c r="B394" t="s">
        <v>167</v>
      </c>
      <c r="C394" s="1" t="s">
        <v>185</v>
      </c>
      <c r="D394" s="7">
        <v>3014</v>
      </c>
      <c r="E394" t="s">
        <v>9</v>
      </c>
      <c r="F394" s="9">
        <v>3.5</v>
      </c>
    </row>
    <row r="395" spans="1:6">
      <c r="A395" t="s">
        <v>6</v>
      </c>
      <c r="B395" t="s">
        <v>167</v>
      </c>
      <c r="C395" s="1" t="s">
        <v>186</v>
      </c>
      <c r="D395" s="7">
        <v>4402</v>
      </c>
      <c r="E395" t="s">
        <v>9</v>
      </c>
      <c r="F395" s="9">
        <v>3.5</v>
      </c>
    </row>
    <row r="396" spans="1:6">
      <c r="A396" t="s">
        <v>6</v>
      </c>
      <c r="B396" t="s">
        <v>167</v>
      </c>
      <c r="C396" s="1" t="s">
        <v>187</v>
      </c>
      <c r="D396" s="7">
        <v>3202</v>
      </c>
      <c r="E396" t="s">
        <v>9</v>
      </c>
      <c r="F396" s="9">
        <v>3.4</v>
      </c>
    </row>
    <row r="397" spans="1:6">
      <c r="A397" t="s">
        <v>6</v>
      </c>
      <c r="B397" t="s">
        <v>167</v>
      </c>
      <c r="C397" s="1" t="s">
        <v>188</v>
      </c>
      <c r="D397" s="7">
        <v>3390</v>
      </c>
      <c r="E397" t="s">
        <v>9</v>
      </c>
      <c r="F397" s="9">
        <v>2.7</v>
      </c>
    </row>
    <row r="398" spans="1:6">
      <c r="A398" t="s">
        <v>6</v>
      </c>
      <c r="B398" t="s">
        <v>167</v>
      </c>
      <c r="C398" s="1" t="s">
        <v>189</v>
      </c>
      <c r="D398" s="7">
        <v>3394</v>
      </c>
      <c r="E398" t="s">
        <v>9</v>
      </c>
      <c r="F398" s="9">
        <v>2.7</v>
      </c>
    </row>
    <row r="399" spans="1:6">
      <c r="A399" t="s">
        <v>6</v>
      </c>
      <c r="B399" t="s">
        <v>167</v>
      </c>
      <c r="C399" s="1" t="s">
        <v>190</v>
      </c>
      <c r="D399" s="7">
        <v>3558</v>
      </c>
      <c r="E399" t="s">
        <v>9</v>
      </c>
      <c r="F399" s="9">
        <v>3.2</v>
      </c>
    </row>
    <row r="400" spans="1:6">
      <c r="A400" t="s">
        <v>6</v>
      </c>
      <c r="B400" t="s">
        <v>167</v>
      </c>
      <c r="C400" s="1" t="s">
        <v>191</v>
      </c>
      <c r="D400" s="7">
        <v>3630</v>
      </c>
      <c r="E400" t="s">
        <v>9</v>
      </c>
      <c r="F400" s="9">
        <v>3</v>
      </c>
    </row>
    <row r="401" spans="1:6">
      <c r="A401" t="s">
        <v>6</v>
      </c>
      <c r="B401" t="s">
        <v>167</v>
      </c>
      <c r="C401" s="1" t="s">
        <v>192</v>
      </c>
      <c r="D401" s="7">
        <v>3634</v>
      </c>
      <c r="E401" t="s">
        <v>9</v>
      </c>
      <c r="F401" s="9">
        <v>3.2</v>
      </c>
    </row>
    <row r="402" spans="1:6">
      <c r="A402" t="s">
        <v>6</v>
      </c>
      <c r="B402" t="s">
        <v>167</v>
      </c>
      <c r="C402" s="1" t="s">
        <v>193</v>
      </c>
      <c r="D402" s="7">
        <v>3642</v>
      </c>
      <c r="E402" t="s">
        <v>9</v>
      </c>
      <c r="F402" s="9">
        <v>3.2</v>
      </c>
    </row>
    <row r="403" spans="1:6">
      <c r="A403" t="s">
        <v>6</v>
      </c>
      <c r="B403" t="s">
        <v>167</v>
      </c>
      <c r="C403" s="1" t="s">
        <v>194</v>
      </c>
      <c r="D403" s="7">
        <v>3646</v>
      </c>
      <c r="E403" t="s">
        <v>9</v>
      </c>
      <c r="F403" s="9">
        <v>3.1</v>
      </c>
    </row>
    <row r="404" spans="1:6">
      <c r="A404" t="s">
        <v>6</v>
      </c>
      <c r="B404" t="s">
        <v>167</v>
      </c>
      <c r="C404" s="1" t="s">
        <v>195</v>
      </c>
      <c r="D404" s="7">
        <v>3654</v>
      </c>
      <c r="E404" t="s">
        <v>9</v>
      </c>
      <c r="F404" s="9">
        <v>3.2</v>
      </c>
    </row>
    <row r="405" spans="1:6">
      <c r="A405" t="s">
        <v>6</v>
      </c>
      <c r="B405" t="s">
        <v>167</v>
      </c>
      <c r="C405" s="1" t="s">
        <v>196</v>
      </c>
      <c r="D405" s="7">
        <v>3686</v>
      </c>
      <c r="E405" t="s">
        <v>9</v>
      </c>
      <c r="F405" s="9">
        <v>2.9</v>
      </c>
    </row>
    <row r="406" spans="1:6">
      <c r="A406" t="s">
        <v>6</v>
      </c>
      <c r="B406" t="s">
        <v>167</v>
      </c>
      <c r="C406" s="1" t="s">
        <v>197</v>
      </c>
      <c r="D406" s="7">
        <v>3738</v>
      </c>
      <c r="E406" t="s">
        <v>9</v>
      </c>
      <c r="F406" s="9">
        <v>3.2</v>
      </c>
    </row>
    <row r="407" spans="1:6">
      <c r="A407" t="s">
        <v>6</v>
      </c>
      <c r="B407" t="s">
        <v>167</v>
      </c>
      <c r="C407" s="1" t="s">
        <v>198</v>
      </c>
      <c r="D407" s="7">
        <v>3750</v>
      </c>
      <c r="E407" t="s">
        <v>9</v>
      </c>
      <c r="F407" s="9">
        <v>2.7</v>
      </c>
    </row>
    <row r="408" spans="1:6">
      <c r="A408" t="s">
        <v>6</v>
      </c>
      <c r="B408" t="s">
        <v>167</v>
      </c>
      <c r="C408" s="1" t="s">
        <v>199</v>
      </c>
      <c r="D408" s="7">
        <v>3754</v>
      </c>
      <c r="E408" t="s">
        <v>9</v>
      </c>
      <c r="F408" s="9">
        <v>3.2</v>
      </c>
    </row>
    <row r="409" spans="1:6">
      <c r="A409" t="s">
        <v>6</v>
      </c>
      <c r="B409" t="s">
        <v>167</v>
      </c>
      <c r="C409" s="1" t="s">
        <v>200</v>
      </c>
      <c r="D409" s="7">
        <v>3758</v>
      </c>
      <c r="E409" t="s">
        <v>9</v>
      </c>
      <c r="F409" s="9">
        <v>3.1</v>
      </c>
    </row>
    <row r="410" spans="1:6">
      <c r="A410" t="s">
        <v>6</v>
      </c>
      <c r="B410" t="s">
        <v>167</v>
      </c>
      <c r="C410" s="1" t="s">
        <v>201</v>
      </c>
      <c r="D410" s="7">
        <v>3762</v>
      </c>
      <c r="E410" t="s">
        <v>9</v>
      </c>
      <c r="F410" s="9">
        <v>3.3</v>
      </c>
    </row>
    <row r="411" spans="1:6">
      <c r="A411" t="s">
        <v>6</v>
      </c>
      <c r="B411" t="s">
        <v>167</v>
      </c>
      <c r="C411" s="1" t="s">
        <v>202</v>
      </c>
      <c r="D411" s="7">
        <v>3766</v>
      </c>
      <c r="E411" t="s">
        <v>9</v>
      </c>
      <c r="F411" s="9">
        <v>3</v>
      </c>
    </row>
    <row r="412" spans="1:6">
      <c r="A412" t="s">
        <v>6</v>
      </c>
      <c r="B412" t="s">
        <v>167</v>
      </c>
      <c r="C412" s="1" t="s">
        <v>203</v>
      </c>
      <c r="D412" s="7">
        <v>3818</v>
      </c>
      <c r="E412" t="s">
        <v>9</v>
      </c>
      <c r="F412" s="9">
        <v>3.1</v>
      </c>
    </row>
    <row r="413" spans="1:6">
      <c r="A413" t="s">
        <v>6</v>
      </c>
      <c r="B413" t="s">
        <v>167</v>
      </c>
      <c r="C413" s="1" t="s">
        <v>204</v>
      </c>
      <c r="D413" s="7">
        <v>3822</v>
      </c>
      <c r="E413" t="s">
        <v>9</v>
      </c>
      <c r="F413" s="9">
        <v>3.4</v>
      </c>
    </row>
    <row r="414" spans="1:6">
      <c r="A414" t="s">
        <v>6</v>
      </c>
      <c r="B414" t="s">
        <v>167</v>
      </c>
      <c r="C414" s="1" t="s">
        <v>205</v>
      </c>
      <c r="D414" s="7">
        <v>3826</v>
      </c>
      <c r="E414" t="s">
        <v>9</v>
      </c>
      <c r="F414" s="9">
        <v>3.3</v>
      </c>
    </row>
    <row r="415" spans="1:6">
      <c r="A415" t="s">
        <v>6</v>
      </c>
      <c r="B415" t="s">
        <v>167</v>
      </c>
      <c r="C415" s="1" t="s">
        <v>206</v>
      </c>
      <c r="D415" s="7">
        <v>3878</v>
      </c>
      <c r="E415" t="s">
        <v>9</v>
      </c>
      <c r="F415" s="9">
        <v>3.3</v>
      </c>
    </row>
    <row r="416" spans="1:6">
      <c r="A416" t="s">
        <v>6</v>
      </c>
      <c r="B416" t="s">
        <v>167</v>
      </c>
      <c r="C416" s="1" t="s">
        <v>207</v>
      </c>
      <c r="D416" s="7">
        <v>3882</v>
      </c>
      <c r="E416" t="s">
        <v>9</v>
      </c>
      <c r="F416" s="9">
        <v>3.4</v>
      </c>
    </row>
    <row r="417" spans="1:6">
      <c r="A417" t="s">
        <v>6</v>
      </c>
      <c r="B417" t="s">
        <v>167</v>
      </c>
      <c r="C417" s="1" t="s">
        <v>208</v>
      </c>
      <c r="D417" s="7">
        <v>3886</v>
      </c>
      <c r="E417" t="s">
        <v>9</v>
      </c>
      <c r="F417" s="9">
        <v>3.4</v>
      </c>
    </row>
    <row r="418" spans="1:6">
      <c r="A418" t="s">
        <v>6</v>
      </c>
      <c r="B418" t="s">
        <v>167</v>
      </c>
      <c r="C418" s="1" t="s">
        <v>209</v>
      </c>
      <c r="D418" s="7">
        <v>3890</v>
      </c>
      <c r="E418" t="s">
        <v>9</v>
      </c>
      <c r="F418" s="9">
        <v>3.3</v>
      </c>
    </row>
    <row r="419" spans="1:6">
      <c r="A419" t="s">
        <v>6</v>
      </c>
      <c r="B419" t="s">
        <v>167</v>
      </c>
      <c r="C419" s="1" t="s">
        <v>210</v>
      </c>
      <c r="D419" s="7">
        <v>3942</v>
      </c>
      <c r="E419" t="s">
        <v>9</v>
      </c>
      <c r="F419" s="9">
        <v>3.2</v>
      </c>
    </row>
    <row r="420" spans="1:6">
      <c r="A420" t="s">
        <v>6</v>
      </c>
      <c r="B420" t="s">
        <v>167</v>
      </c>
      <c r="C420" s="3" t="s">
        <v>168</v>
      </c>
      <c r="D420" s="7">
        <v>195</v>
      </c>
      <c r="E420" s="2" t="s">
        <v>10</v>
      </c>
      <c r="F420" s="10">
        <v>19.7</v>
      </c>
    </row>
    <row r="421" spans="1:6">
      <c r="A421" t="s">
        <v>6</v>
      </c>
      <c r="B421" t="s">
        <v>167</v>
      </c>
      <c r="C421" s="3" t="s">
        <v>169</v>
      </c>
      <c r="D421" s="7">
        <v>199</v>
      </c>
      <c r="E421" s="2" t="s">
        <v>10</v>
      </c>
      <c r="F421" s="10">
        <v>17.399999999999999</v>
      </c>
    </row>
    <row r="422" spans="1:6">
      <c r="A422" t="s">
        <v>6</v>
      </c>
      <c r="B422" t="s">
        <v>167</v>
      </c>
      <c r="C422" s="3" t="s">
        <v>170</v>
      </c>
      <c r="D422" s="7">
        <v>203</v>
      </c>
      <c r="E422" s="2" t="s">
        <v>10</v>
      </c>
      <c r="F422" s="10">
        <v>19.7</v>
      </c>
    </row>
    <row r="423" spans="1:6">
      <c r="A423" t="s">
        <v>6</v>
      </c>
      <c r="B423" s="6" t="s">
        <v>167</v>
      </c>
      <c r="C423" s="3" t="s">
        <v>171</v>
      </c>
      <c r="D423" s="7">
        <v>395</v>
      </c>
      <c r="E423" s="2" t="s">
        <v>10</v>
      </c>
      <c r="F423" s="10">
        <v>10.1</v>
      </c>
    </row>
    <row r="424" spans="1:6">
      <c r="A424" t="s">
        <v>6</v>
      </c>
      <c r="B424" s="6" t="s">
        <v>167</v>
      </c>
      <c r="C424" s="3" t="s">
        <v>172</v>
      </c>
      <c r="D424" s="7">
        <v>399</v>
      </c>
      <c r="E424" s="2" t="s">
        <v>10</v>
      </c>
      <c r="F424" s="10">
        <v>10.9</v>
      </c>
    </row>
    <row r="425" spans="1:6">
      <c r="A425" t="s">
        <v>6</v>
      </c>
      <c r="B425" s="6" t="s">
        <v>167</v>
      </c>
      <c r="C425" s="3" t="s">
        <v>173</v>
      </c>
      <c r="D425" s="7">
        <v>403</v>
      </c>
      <c r="E425" s="2" t="s">
        <v>10</v>
      </c>
      <c r="F425" s="10">
        <v>20.2</v>
      </c>
    </row>
    <row r="426" spans="1:6">
      <c r="A426" t="s">
        <v>6</v>
      </c>
      <c r="B426" s="6" t="s">
        <v>167</v>
      </c>
      <c r="C426" s="3" t="s">
        <v>174</v>
      </c>
      <c r="D426" s="7">
        <v>407</v>
      </c>
      <c r="E426" s="2" t="s">
        <v>10</v>
      </c>
      <c r="F426" s="10">
        <v>19.3</v>
      </c>
    </row>
    <row r="427" spans="1:6">
      <c r="A427" t="s">
        <v>6</v>
      </c>
      <c r="B427" s="6" t="s">
        <v>167</v>
      </c>
      <c r="C427" s="3" t="s">
        <v>175</v>
      </c>
      <c r="D427" s="7">
        <v>411</v>
      </c>
      <c r="E427" s="2" t="s">
        <v>10</v>
      </c>
      <c r="F427" s="10">
        <v>20.5</v>
      </c>
    </row>
    <row r="428" spans="1:6">
      <c r="A428" t="s">
        <v>6</v>
      </c>
      <c r="B428" s="6" t="s">
        <v>167</v>
      </c>
      <c r="C428" s="3" t="s">
        <v>176</v>
      </c>
      <c r="D428" s="7">
        <v>415</v>
      </c>
      <c r="E428" s="2" t="s">
        <v>10</v>
      </c>
      <c r="F428" s="10">
        <v>17.399999999999999</v>
      </c>
    </row>
    <row r="429" spans="1:6">
      <c r="A429" t="s">
        <v>6</v>
      </c>
      <c r="B429" t="s">
        <v>167</v>
      </c>
      <c r="C429" s="1" t="s">
        <v>177</v>
      </c>
      <c r="D429" s="7">
        <v>6307</v>
      </c>
      <c r="E429" t="s">
        <v>10</v>
      </c>
      <c r="F429" s="9">
        <v>18.89</v>
      </c>
    </row>
    <row r="430" spans="1:6">
      <c r="A430" t="s">
        <v>6</v>
      </c>
      <c r="B430" t="s">
        <v>167</v>
      </c>
      <c r="C430" s="1" t="s">
        <v>178</v>
      </c>
      <c r="D430" s="7">
        <v>6302</v>
      </c>
      <c r="E430" t="s">
        <v>10</v>
      </c>
      <c r="F430" s="9">
        <v>19.600000000000001</v>
      </c>
    </row>
    <row r="431" spans="1:6">
      <c r="A431" t="s">
        <v>6</v>
      </c>
      <c r="B431" t="s">
        <v>167</v>
      </c>
      <c r="C431" s="1" t="s">
        <v>179</v>
      </c>
      <c r="D431" s="7">
        <v>6257</v>
      </c>
      <c r="E431" t="s">
        <v>10</v>
      </c>
      <c r="F431" s="9">
        <v>23.31</v>
      </c>
    </row>
    <row r="432" spans="1:6">
      <c r="A432" t="s">
        <v>6</v>
      </c>
      <c r="B432" t="s">
        <v>167</v>
      </c>
      <c r="C432" s="1" t="s">
        <v>180</v>
      </c>
      <c r="D432" s="7">
        <v>6287</v>
      </c>
      <c r="E432" t="s">
        <v>10</v>
      </c>
      <c r="F432" s="9">
        <v>19.940000000000001</v>
      </c>
    </row>
    <row r="433" spans="1:6">
      <c r="A433" t="s">
        <v>6</v>
      </c>
      <c r="B433" t="s">
        <v>167</v>
      </c>
      <c r="C433" s="1" t="s">
        <v>181</v>
      </c>
      <c r="D433" s="7">
        <v>6247</v>
      </c>
      <c r="E433" t="s">
        <v>10</v>
      </c>
      <c r="F433" s="9">
        <v>19.02</v>
      </c>
    </row>
    <row r="434" spans="1:6">
      <c r="A434" t="s">
        <v>6</v>
      </c>
      <c r="B434" t="s">
        <v>167</v>
      </c>
      <c r="C434" s="1" t="s">
        <v>211</v>
      </c>
      <c r="D434" s="7">
        <v>6242</v>
      </c>
      <c r="E434" t="s">
        <v>10</v>
      </c>
      <c r="F434" s="9">
        <v>19.260000000000002</v>
      </c>
    </row>
    <row r="435" spans="1:6">
      <c r="A435" t="s">
        <v>6</v>
      </c>
      <c r="B435" t="s">
        <v>167</v>
      </c>
      <c r="C435" s="1" t="s">
        <v>183</v>
      </c>
      <c r="D435" s="7">
        <v>6297</v>
      </c>
      <c r="E435" t="s">
        <v>10</v>
      </c>
      <c r="F435" s="9">
        <v>19.91</v>
      </c>
    </row>
    <row r="436" spans="1:6">
      <c r="A436" t="s">
        <v>6</v>
      </c>
      <c r="B436" t="s">
        <v>167</v>
      </c>
      <c r="C436" s="1" t="s">
        <v>184</v>
      </c>
      <c r="D436" s="7">
        <v>6047</v>
      </c>
      <c r="E436" t="s">
        <v>10</v>
      </c>
      <c r="F436" s="9">
        <v>14.56</v>
      </c>
    </row>
    <row r="437" spans="1:6">
      <c r="A437" t="s">
        <v>6</v>
      </c>
      <c r="B437" t="s">
        <v>167</v>
      </c>
      <c r="C437" s="1" t="s">
        <v>185</v>
      </c>
      <c r="D437" s="7">
        <v>3015</v>
      </c>
      <c r="E437" t="s">
        <v>10</v>
      </c>
      <c r="F437" s="9">
        <v>23</v>
      </c>
    </row>
    <row r="438" spans="1:6">
      <c r="A438" t="s">
        <v>6</v>
      </c>
      <c r="B438" t="s">
        <v>167</v>
      </c>
      <c r="C438" s="1" t="s">
        <v>186</v>
      </c>
      <c r="D438" s="7">
        <v>4403</v>
      </c>
      <c r="E438" t="s">
        <v>10</v>
      </c>
      <c r="F438" s="9">
        <v>6.6</v>
      </c>
    </row>
    <row r="439" spans="1:6">
      <c r="A439" t="s">
        <v>6</v>
      </c>
      <c r="B439" t="s">
        <v>167</v>
      </c>
      <c r="C439" s="1" t="s">
        <v>187</v>
      </c>
      <c r="D439" s="7">
        <v>3203</v>
      </c>
      <c r="E439" t="s">
        <v>10</v>
      </c>
      <c r="F439" s="9">
        <v>19.399999999999999</v>
      </c>
    </row>
    <row r="440" spans="1:6">
      <c r="A440" t="s">
        <v>6</v>
      </c>
      <c r="B440" t="s">
        <v>167</v>
      </c>
      <c r="C440" s="1" t="s">
        <v>188</v>
      </c>
      <c r="D440" s="7">
        <v>3391</v>
      </c>
      <c r="E440" t="s">
        <v>10</v>
      </c>
      <c r="F440" s="9">
        <v>17.7</v>
      </c>
    </row>
    <row r="441" spans="1:6">
      <c r="A441" t="s">
        <v>6</v>
      </c>
      <c r="B441" t="s">
        <v>167</v>
      </c>
      <c r="C441" s="1" t="s">
        <v>189</v>
      </c>
      <c r="D441" s="7">
        <v>3395</v>
      </c>
      <c r="E441" t="s">
        <v>10</v>
      </c>
      <c r="F441" s="9">
        <v>16.600000000000001</v>
      </c>
    </row>
    <row r="442" spans="1:6">
      <c r="A442" t="s">
        <v>6</v>
      </c>
      <c r="B442" t="s">
        <v>167</v>
      </c>
      <c r="C442" s="1" t="s">
        <v>190</v>
      </c>
      <c r="D442" s="7">
        <v>3559</v>
      </c>
      <c r="E442" t="s">
        <v>10</v>
      </c>
      <c r="F442" s="9">
        <v>19.899999999999999</v>
      </c>
    </row>
    <row r="443" spans="1:6">
      <c r="A443" t="s">
        <v>6</v>
      </c>
      <c r="B443" t="s">
        <v>167</v>
      </c>
      <c r="C443" s="1" t="s">
        <v>191</v>
      </c>
      <c r="D443" s="7">
        <v>3631</v>
      </c>
      <c r="E443" t="s">
        <v>10</v>
      </c>
      <c r="F443" s="9">
        <v>16.5</v>
      </c>
    </row>
    <row r="444" spans="1:6">
      <c r="A444" t="s">
        <v>6</v>
      </c>
      <c r="B444" t="s">
        <v>167</v>
      </c>
      <c r="C444" s="1" t="s">
        <v>192</v>
      </c>
      <c r="D444" s="7">
        <v>3635</v>
      </c>
      <c r="E444" t="s">
        <v>10</v>
      </c>
      <c r="F444" s="9">
        <v>17.7</v>
      </c>
    </row>
    <row r="445" spans="1:6">
      <c r="A445" t="s">
        <v>6</v>
      </c>
      <c r="B445" t="s">
        <v>167</v>
      </c>
      <c r="C445" s="1" t="s">
        <v>193</v>
      </c>
      <c r="D445" s="7">
        <v>3643</v>
      </c>
      <c r="E445" t="s">
        <v>10</v>
      </c>
      <c r="F445" s="9">
        <v>19.100000000000001</v>
      </c>
    </row>
    <row r="446" spans="1:6">
      <c r="A446" t="s">
        <v>6</v>
      </c>
      <c r="B446" t="s">
        <v>167</v>
      </c>
      <c r="C446" s="1" t="s">
        <v>194</v>
      </c>
      <c r="D446" s="7">
        <v>3647</v>
      </c>
      <c r="E446" t="s">
        <v>10</v>
      </c>
      <c r="F446" s="9">
        <v>18.899999999999999</v>
      </c>
    </row>
    <row r="447" spans="1:6">
      <c r="A447" t="s">
        <v>6</v>
      </c>
      <c r="B447" t="s">
        <v>167</v>
      </c>
      <c r="C447" s="1" t="s">
        <v>195</v>
      </c>
      <c r="D447" s="7">
        <v>3655</v>
      </c>
      <c r="E447" t="s">
        <v>10</v>
      </c>
      <c r="F447" s="9">
        <v>17.8</v>
      </c>
    </row>
    <row r="448" spans="1:6">
      <c r="A448" t="s">
        <v>6</v>
      </c>
      <c r="B448" t="s">
        <v>167</v>
      </c>
      <c r="C448" s="1" t="s">
        <v>196</v>
      </c>
      <c r="D448" s="7">
        <v>3687</v>
      </c>
      <c r="E448" t="s">
        <v>10</v>
      </c>
      <c r="F448" s="9">
        <v>18.100000000000001</v>
      </c>
    </row>
    <row r="449" spans="1:6">
      <c r="A449" t="s">
        <v>6</v>
      </c>
      <c r="B449" t="s">
        <v>167</v>
      </c>
      <c r="C449" s="1" t="s">
        <v>197</v>
      </c>
      <c r="D449" s="7">
        <v>3739</v>
      </c>
      <c r="E449" t="s">
        <v>10</v>
      </c>
      <c r="F449" s="9">
        <v>19.7</v>
      </c>
    </row>
    <row r="450" spans="1:6">
      <c r="A450" t="s">
        <v>6</v>
      </c>
      <c r="B450" t="s">
        <v>167</v>
      </c>
      <c r="C450" s="1" t="s">
        <v>198</v>
      </c>
      <c r="D450" s="7">
        <v>3751</v>
      </c>
      <c r="E450" t="s">
        <v>10</v>
      </c>
      <c r="F450" s="9">
        <v>18.7</v>
      </c>
    </row>
    <row r="451" spans="1:6">
      <c r="A451" t="s">
        <v>6</v>
      </c>
      <c r="B451" t="s">
        <v>167</v>
      </c>
      <c r="C451" s="1" t="s">
        <v>199</v>
      </c>
      <c r="D451" s="7">
        <v>3755</v>
      </c>
      <c r="E451" t="s">
        <v>10</v>
      </c>
      <c r="F451" s="9">
        <v>19.399999999999999</v>
      </c>
    </row>
    <row r="452" spans="1:6">
      <c r="A452" t="s">
        <v>6</v>
      </c>
      <c r="B452" t="s">
        <v>167</v>
      </c>
      <c r="C452" s="1" t="s">
        <v>200</v>
      </c>
      <c r="D452" s="7">
        <v>3759</v>
      </c>
      <c r="E452" t="s">
        <v>10</v>
      </c>
      <c r="F452" s="9">
        <v>18.2</v>
      </c>
    </row>
    <row r="453" spans="1:6">
      <c r="A453" t="s">
        <v>6</v>
      </c>
      <c r="B453" t="s">
        <v>167</v>
      </c>
      <c r="C453" s="1" t="s">
        <v>201</v>
      </c>
      <c r="D453" s="7">
        <v>3763</v>
      </c>
      <c r="E453" t="s">
        <v>10</v>
      </c>
      <c r="F453" s="9">
        <v>19.100000000000001</v>
      </c>
    </row>
    <row r="454" spans="1:6">
      <c r="A454" t="s">
        <v>6</v>
      </c>
      <c r="B454" t="s">
        <v>167</v>
      </c>
      <c r="C454" s="1" t="s">
        <v>202</v>
      </c>
      <c r="D454" s="7">
        <v>3767</v>
      </c>
      <c r="E454" t="s">
        <v>10</v>
      </c>
      <c r="F454" s="9">
        <v>18.7</v>
      </c>
    </row>
    <row r="455" spans="1:6">
      <c r="A455" t="s">
        <v>6</v>
      </c>
      <c r="B455" t="s">
        <v>167</v>
      </c>
      <c r="C455" s="1" t="s">
        <v>203</v>
      </c>
      <c r="D455" s="7">
        <v>3819</v>
      </c>
      <c r="E455" t="s">
        <v>10</v>
      </c>
      <c r="F455" s="9">
        <v>19.399999999999999</v>
      </c>
    </row>
    <row r="456" spans="1:6">
      <c r="A456" t="s">
        <v>6</v>
      </c>
      <c r="B456" t="s">
        <v>167</v>
      </c>
      <c r="C456" s="1" t="s">
        <v>204</v>
      </c>
      <c r="D456" s="7">
        <v>3823</v>
      </c>
      <c r="E456" t="s">
        <v>10</v>
      </c>
      <c r="F456" s="9">
        <v>20</v>
      </c>
    </row>
    <row r="457" spans="1:6">
      <c r="A457" t="s">
        <v>6</v>
      </c>
      <c r="B457" t="s">
        <v>167</v>
      </c>
      <c r="C457" s="1" t="s">
        <v>205</v>
      </c>
      <c r="D457" s="7">
        <v>3827</v>
      </c>
      <c r="E457" t="s">
        <v>10</v>
      </c>
      <c r="F457" s="9">
        <v>19.8</v>
      </c>
    </row>
    <row r="458" spans="1:6">
      <c r="A458" t="s">
        <v>6</v>
      </c>
      <c r="B458" t="s">
        <v>167</v>
      </c>
      <c r="C458" s="1" t="s">
        <v>206</v>
      </c>
      <c r="D458" s="7">
        <v>3879</v>
      </c>
      <c r="E458" t="s">
        <v>10</v>
      </c>
      <c r="F458" s="9">
        <v>18.600000000000001</v>
      </c>
    </row>
    <row r="459" spans="1:6">
      <c r="A459" t="s">
        <v>6</v>
      </c>
      <c r="B459" t="s">
        <v>167</v>
      </c>
      <c r="C459" s="1" t="s">
        <v>207</v>
      </c>
      <c r="D459" s="7">
        <v>3883</v>
      </c>
      <c r="E459" t="s">
        <v>10</v>
      </c>
      <c r="F459" s="9">
        <v>20</v>
      </c>
    </row>
    <row r="460" spans="1:6">
      <c r="A460" t="s">
        <v>6</v>
      </c>
      <c r="B460" t="s">
        <v>167</v>
      </c>
      <c r="C460" s="1" t="s">
        <v>208</v>
      </c>
      <c r="D460" s="7">
        <v>3887</v>
      </c>
      <c r="E460" t="s">
        <v>10</v>
      </c>
      <c r="F460" s="9">
        <v>19.2</v>
      </c>
    </row>
    <row r="461" spans="1:6">
      <c r="A461" t="s">
        <v>6</v>
      </c>
      <c r="B461" t="s">
        <v>167</v>
      </c>
      <c r="C461" s="1" t="s">
        <v>209</v>
      </c>
      <c r="D461" s="7">
        <v>3891</v>
      </c>
      <c r="E461" t="s">
        <v>10</v>
      </c>
      <c r="F461" s="9">
        <v>18.8</v>
      </c>
    </row>
    <row r="462" spans="1:6">
      <c r="A462" t="s">
        <v>6</v>
      </c>
      <c r="B462" t="s">
        <v>167</v>
      </c>
      <c r="C462" s="1" t="s">
        <v>210</v>
      </c>
      <c r="D462" s="7">
        <v>3943</v>
      </c>
      <c r="E462" t="s">
        <v>10</v>
      </c>
      <c r="F462" s="9">
        <v>32.200000000000003</v>
      </c>
    </row>
    <row r="463" spans="1:6">
      <c r="A463" t="s">
        <v>6</v>
      </c>
      <c r="B463" t="s">
        <v>167</v>
      </c>
      <c r="C463" s="3" t="s">
        <v>168</v>
      </c>
      <c r="D463" s="7">
        <v>196</v>
      </c>
      <c r="E463" s="2" t="s">
        <v>11</v>
      </c>
      <c r="F463" s="10">
        <v>9.1999999999999993</v>
      </c>
    </row>
    <row r="464" spans="1:6">
      <c r="A464" t="s">
        <v>6</v>
      </c>
      <c r="B464" t="s">
        <v>167</v>
      </c>
      <c r="C464" s="3" t="s">
        <v>169</v>
      </c>
      <c r="D464" s="7">
        <v>200</v>
      </c>
      <c r="E464" s="2" t="s">
        <v>11</v>
      </c>
      <c r="F464" s="10">
        <v>8.6</v>
      </c>
    </row>
    <row r="465" spans="1:6">
      <c r="A465" t="s">
        <v>6</v>
      </c>
      <c r="B465" t="s">
        <v>167</v>
      </c>
      <c r="C465" s="3" t="s">
        <v>170</v>
      </c>
      <c r="D465" s="7">
        <v>204</v>
      </c>
      <c r="E465" s="2" t="s">
        <v>11</v>
      </c>
      <c r="F465" s="10">
        <v>9</v>
      </c>
    </row>
    <row r="466" spans="1:6">
      <c r="A466" t="s">
        <v>6</v>
      </c>
      <c r="B466" s="6" t="s">
        <v>167</v>
      </c>
      <c r="C466" s="3" t="s">
        <v>171</v>
      </c>
      <c r="D466" s="7">
        <v>396</v>
      </c>
      <c r="E466" s="2" t="s">
        <v>11</v>
      </c>
      <c r="F466" s="10">
        <v>8.5</v>
      </c>
    </row>
    <row r="467" spans="1:6">
      <c r="A467" t="s">
        <v>6</v>
      </c>
      <c r="B467" s="6" t="s">
        <v>167</v>
      </c>
      <c r="C467" s="3" t="s">
        <v>172</v>
      </c>
      <c r="D467" s="7">
        <v>400</v>
      </c>
      <c r="E467" s="2" t="s">
        <v>11</v>
      </c>
      <c r="F467" s="10">
        <v>8.6</v>
      </c>
    </row>
    <row r="468" spans="1:6">
      <c r="A468" t="s">
        <v>6</v>
      </c>
      <c r="B468" s="6" t="s">
        <v>167</v>
      </c>
      <c r="C468" s="3" t="s">
        <v>173</v>
      </c>
      <c r="D468" s="7">
        <v>404</v>
      </c>
      <c r="E468" s="2" t="s">
        <v>11</v>
      </c>
      <c r="F468" s="10">
        <v>8.8000000000000007</v>
      </c>
    </row>
    <row r="469" spans="1:6">
      <c r="A469" t="s">
        <v>6</v>
      </c>
      <c r="B469" s="6" t="s">
        <v>167</v>
      </c>
      <c r="C469" s="3" t="s">
        <v>174</v>
      </c>
      <c r="D469" s="7">
        <v>408</v>
      </c>
      <c r="E469" s="2" t="s">
        <v>11</v>
      </c>
      <c r="F469" s="10">
        <v>9</v>
      </c>
    </row>
    <row r="470" spans="1:6">
      <c r="A470" t="s">
        <v>6</v>
      </c>
      <c r="B470" s="6" t="s">
        <v>167</v>
      </c>
      <c r="C470" s="3" t="s">
        <v>175</v>
      </c>
      <c r="D470" s="7">
        <v>412</v>
      </c>
      <c r="E470" s="2" t="s">
        <v>11</v>
      </c>
      <c r="F470" s="10">
        <v>8.9</v>
      </c>
    </row>
    <row r="471" spans="1:6">
      <c r="A471" t="s">
        <v>6</v>
      </c>
      <c r="B471" s="6" t="s">
        <v>167</v>
      </c>
      <c r="C471" s="3" t="s">
        <v>176</v>
      </c>
      <c r="D471" s="7">
        <v>416</v>
      </c>
      <c r="E471" s="2" t="s">
        <v>11</v>
      </c>
      <c r="F471" s="10">
        <v>8.6</v>
      </c>
    </row>
    <row r="472" spans="1:6">
      <c r="A472" t="s">
        <v>6</v>
      </c>
      <c r="B472" t="s">
        <v>167</v>
      </c>
      <c r="C472" s="1" t="s">
        <v>177</v>
      </c>
      <c r="D472" s="7">
        <v>6305</v>
      </c>
      <c r="E472" t="s">
        <v>11</v>
      </c>
      <c r="F472" s="9">
        <v>8.8699999999999992</v>
      </c>
    </row>
    <row r="473" spans="1:6">
      <c r="A473" t="s">
        <v>6</v>
      </c>
      <c r="B473" t="s">
        <v>167</v>
      </c>
      <c r="C473" s="1" t="s">
        <v>178</v>
      </c>
      <c r="D473" s="7">
        <v>6300</v>
      </c>
      <c r="E473" t="s">
        <v>11</v>
      </c>
      <c r="F473" s="9">
        <v>9.92</v>
      </c>
    </row>
    <row r="474" spans="1:6">
      <c r="A474" t="s">
        <v>6</v>
      </c>
      <c r="B474" t="s">
        <v>167</v>
      </c>
      <c r="C474" s="1" t="s">
        <v>179</v>
      </c>
      <c r="D474" s="7">
        <v>6255</v>
      </c>
      <c r="E474" t="s">
        <v>11</v>
      </c>
      <c r="F474" s="9">
        <v>8.89</v>
      </c>
    </row>
    <row r="475" spans="1:6">
      <c r="A475" t="s">
        <v>6</v>
      </c>
      <c r="B475" t="s">
        <v>167</v>
      </c>
      <c r="C475" s="1" t="s">
        <v>180</v>
      </c>
      <c r="D475" s="7">
        <v>6285</v>
      </c>
      <c r="E475" t="s">
        <v>11</v>
      </c>
      <c r="F475" s="9">
        <v>9.9</v>
      </c>
    </row>
    <row r="476" spans="1:6">
      <c r="A476" t="s">
        <v>6</v>
      </c>
      <c r="B476" t="s">
        <v>167</v>
      </c>
      <c r="C476" s="1" t="s">
        <v>181</v>
      </c>
      <c r="D476" s="7">
        <v>6245</v>
      </c>
      <c r="E476" t="s">
        <v>11</v>
      </c>
      <c r="F476" s="9">
        <v>8.68</v>
      </c>
    </row>
    <row r="477" spans="1:6">
      <c r="A477" t="s">
        <v>6</v>
      </c>
      <c r="B477" t="s">
        <v>167</v>
      </c>
      <c r="C477" s="1" t="s">
        <v>212</v>
      </c>
      <c r="D477" s="7">
        <v>6240</v>
      </c>
      <c r="E477" t="s">
        <v>11</v>
      </c>
      <c r="F477" s="9">
        <v>9.5500000000000007</v>
      </c>
    </row>
    <row r="478" spans="1:6">
      <c r="A478" t="s">
        <v>6</v>
      </c>
      <c r="B478" t="s">
        <v>167</v>
      </c>
      <c r="C478" s="1" t="s">
        <v>183</v>
      </c>
      <c r="D478" s="7">
        <v>6295</v>
      </c>
      <c r="E478" t="s">
        <v>11</v>
      </c>
      <c r="F478" s="9">
        <v>9.24</v>
      </c>
    </row>
    <row r="479" spans="1:6">
      <c r="A479" t="s">
        <v>6</v>
      </c>
      <c r="B479" t="s">
        <v>167</v>
      </c>
      <c r="C479" s="1" t="s">
        <v>184</v>
      </c>
      <c r="D479" s="7">
        <v>6045</v>
      </c>
      <c r="E479" t="s">
        <v>11</v>
      </c>
      <c r="F479" s="9">
        <v>7.62</v>
      </c>
    </row>
    <row r="480" spans="1:6">
      <c r="A480" t="s">
        <v>6</v>
      </c>
      <c r="B480" t="s">
        <v>167</v>
      </c>
      <c r="C480" s="1" t="s">
        <v>185</v>
      </c>
      <c r="D480" s="7">
        <v>3013</v>
      </c>
      <c r="E480" t="s">
        <v>11</v>
      </c>
      <c r="F480" s="9">
        <v>8.5</v>
      </c>
    </row>
    <row r="481" spans="1:6">
      <c r="A481" t="s">
        <v>6</v>
      </c>
      <c r="B481" t="s">
        <v>167</v>
      </c>
      <c r="C481" s="1" t="s">
        <v>186</v>
      </c>
      <c r="D481" s="7">
        <v>4401</v>
      </c>
      <c r="E481" t="s">
        <v>11</v>
      </c>
      <c r="F481" s="9">
        <v>8</v>
      </c>
    </row>
    <row r="482" spans="1:6">
      <c r="A482" t="s">
        <v>6</v>
      </c>
      <c r="B482" t="s">
        <v>167</v>
      </c>
      <c r="C482" s="1" t="s">
        <v>187</v>
      </c>
      <c r="D482" s="7">
        <v>3201</v>
      </c>
      <c r="E482" t="s">
        <v>11</v>
      </c>
      <c r="F482" s="9">
        <v>9.4</v>
      </c>
    </row>
    <row r="483" spans="1:6">
      <c r="A483" t="s">
        <v>6</v>
      </c>
      <c r="B483" t="s">
        <v>167</v>
      </c>
      <c r="C483" s="1" t="s">
        <v>188</v>
      </c>
      <c r="D483" s="7">
        <v>3389</v>
      </c>
      <c r="E483" t="s">
        <v>11</v>
      </c>
      <c r="F483" s="9">
        <v>9.3000000000000007</v>
      </c>
    </row>
    <row r="484" spans="1:6">
      <c r="A484" t="s">
        <v>6</v>
      </c>
      <c r="B484" t="s">
        <v>167</v>
      </c>
      <c r="C484" s="1" t="s">
        <v>189</v>
      </c>
      <c r="D484" s="7">
        <v>3393</v>
      </c>
      <c r="E484" t="s">
        <v>11</v>
      </c>
      <c r="F484" s="9">
        <v>9.1999999999999993</v>
      </c>
    </row>
    <row r="485" spans="1:6">
      <c r="A485" t="s">
        <v>6</v>
      </c>
      <c r="B485" t="s">
        <v>167</v>
      </c>
      <c r="C485" s="1" t="s">
        <v>190</v>
      </c>
      <c r="D485" s="7">
        <v>3557</v>
      </c>
      <c r="E485" t="s">
        <v>11</v>
      </c>
      <c r="F485" s="9">
        <v>8.8000000000000007</v>
      </c>
    </row>
    <row r="486" spans="1:6">
      <c r="A486" t="s">
        <v>6</v>
      </c>
      <c r="B486" t="s">
        <v>167</v>
      </c>
      <c r="C486" s="1" t="s">
        <v>191</v>
      </c>
      <c r="D486" s="7">
        <v>3629</v>
      </c>
      <c r="E486" t="s">
        <v>11</v>
      </c>
      <c r="F486" s="9">
        <v>9.5</v>
      </c>
    </row>
    <row r="487" spans="1:6">
      <c r="A487" t="s">
        <v>6</v>
      </c>
      <c r="B487" t="s">
        <v>167</v>
      </c>
      <c r="C487" s="1" t="s">
        <v>192</v>
      </c>
      <c r="D487" s="7">
        <v>3633</v>
      </c>
      <c r="E487" t="s">
        <v>11</v>
      </c>
      <c r="F487" s="9">
        <v>9</v>
      </c>
    </row>
    <row r="488" spans="1:6">
      <c r="A488" t="s">
        <v>6</v>
      </c>
      <c r="B488" t="s">
        <v>167</v>
      </c>
      <c r="C488" s="1" t="s">
        <v>193</v>
      </c>
      <c r="D488" s="7">
        <v>3641</v>
      </c>
      <c r="E488" t="s">
        <v>11</v>
      </c>
      <c r="F488" s="9">
        <v>9.1</v>
      </c>
    </row>
    <row r="489" spans="1:6">
      <c r="A489" t="s">
        <v>6</v>
      </c>
      <c r="B489" t="s">
        <v>167</v>
      </c>
      <c r="C489" s="1" t="s">
        <v>194</v>
      </c>
      <c r="D489" s="7">
        <v>3645</v>
      </c>
      <c r="E489" t="s">
        <v>11</v>
      </c>
      <c r="F489" s="9">
        <v>9.4</v>
      </c>
    </row>
    <row r="490" spans="1:6">
      <c r="A490" t="s">
        <v>6</v>
      </c>
      <c r="B490" t="s">
        <v>167</v>
      </c>
      <c r="C490" s="1" t="s">
        <v>195</v>
      </c>
      <c r="D490" s="7">
        <v>3653</v>
      </c>
      <c r="E490" t="s">
        <v>11</v>
      </c>
      <c r="F490" s="9">
        <v>9.1</v>
      </c>
    </row>
    <row r="491" spans="1:6">
      <c r="A491" t="s">
        <v>6</v>
      </c>
      <c r="B491" t="s">
        <v>167</v>
      </c>
      <c r="C491" s="1" t="s">
        <v>196</v>
      </c>
      <c r="D491" s="7">
        <v>3685</v>
      </c>
      <c r="E491" t="s">
        <v>11</v>
      </c>
      <c r="F491" s="9">
        <v>8.6</v>
      </c>
    </row>
    <row r="492" spans="1:6">
      <c r="A492" t="s">
        <v>6</v>
      </c>
      <c r="B492" t="s">
        <v>167</v>
      </c>
      <c r="C492" s="1" t="s">
        <v>197</v>
      </c>
      <c r="D492" s="7">
        <v>3737</v>
      </c>
      <c r="E492" t="s">
        <v>11</v>
      </c>
      <c r="F492" s="9">
        <v>9.3000000000000007</v>
      </c>
    </row>
    <row r="493" spans="1:6">
      <c r="A493" t="s">
        <v>6</v>
      </c>
      <c r="B493" t="s">
        <v>167</v>
      </c>
      <c r="C493" s="1" t="s">
        <v>198</v>
      </c>
      <c r="D493" s="7">
        <v>3749</v>
      </c>
      <c r="E493" t="s">
        <v>11</v>
      </c>
      <c r="F493" s="9">
        <v>8.8000000000000007</v>
      </c>
    </row>
    <row r="494" spans="1:6">
      <c r="A494" t="s">
        <v>6</v>
      </c>
      <c r="B494" t="s">
        <v>167</v>
      </c>
      <c r="C494" s="1" t="s">
        <v>199</v>
      </c>
      <c r="D494" s="7">
        <v>3753</v>
      </c>
      <c r="E494" t="s">
        <v>11</v>
      </c>
      <c r="F494" s="9">
        <v>9.1</v>
      </c>
    </row>
    <row r="495" spans="1:6">
      <c r="A495" t="s">
        <v>6</v>
      </c>
      <c r="B495" t="s">
        <v>167</v>
      </c>
      <c r="C495" s="1" t="s">
        <v>200</v>
      </c>
      <c r="D495" s="7">
        <v>3757</v>
      </c>
      <c r="E495" t="s">
        <v>11</v>
      </c>
      <c r="F495" s="9">
        <v>8.5</v>
      </c>
    </row>
    <row r="496" spans="1:6">
      <c r="A496" t="s">
        <v>6</v>
      </c>
      <c r="B496" t="s">
        <v>167</v>
      </c>
      <c r="C496" s="1" t="s">
        <v>201</v>
      </c>
      <c r="D496" s="7">
        <v>3761</v>
      </c>
      <c r="E496" t="s">
        <v>11</v>
      </c>
      <c r="F496" s="9">
        <v>9.4</v>
      </c>
    </row>
    <row r="497" spans="1:6">
      <c r="A497" t="s">
        <v>6</v>
      </c>
      <c r="B497" t="s">
        <v>167</v>
      </c>
      <c r="C497" s="1" t="s">
        <v>202</v>
      </c>
      <c r="D497" s="7">
        <v>3765</v>
      </c>
      <c r="E497" t="s">
        <v>11</v>
      </c>
      <c r="F497" s="9">
        <v>9.5</v>
      </c>
    </row>
    <row r="498" spans="1:6">
      <c r="A498" t="s">
        <v>6</v>
      </c>
      <c r="B498" t="s">
        <v>167</v>
      </c>
      <c r="C498" s="1" t="s">
        <v>203</v>
      </c>
      <c r="D498" s="7">
        <v>3817</v>
      </c>
      <c r="E498" t="s">
        <v>11</v>
      </c>
      <c r="F498" s="9">
        <v>8.6</v>
      </c>
    </row>
    <row r="499" spans="1:6">
      <c r="A499" t="s">
        <v>6</v>
      </c>
      <c r="B499" t="s">
        <v>167</v>
      </c>
      <c r="C499" s="1" t="s">
        <v>204</v>
      </c>
      <c r="D499" s="7">
        <v>3821</v>
      </c>
      <c r="E499" t="s">
        <v>11</v>
      </c>
      <c r="F499" s="9">
        <v>9.1999999999999993</v>
      </c>
    </row>
    <row r="500" spans="1:6">
      <c r="A500" t="s">
        <v>6</v>
      </c>
      <c r="B500" t="s">
        <v>167</v>
      </c>
      <c r="C500" s="1" t="s">
        <v>205</v>
      </c>
      <c r="D500" s="7">
        <v>3825</v>
      </c>
      <c r="E500" t="s">
        <v>11</v>
      </c>
      <c r="F500" s="9">
        <v>8.6999999999999993</v>
      </c>
    </row>
    <row r="501" spans="1:6">
      <c r="A501" t="s">
        <v>6</v>
      </c>
      <c r="B501" t="s">
        <v>167</v>
      </c>
      <c r="C501" s="1" t="s">
        <v>206</v>
      </c>
      <c r="D501" s="7">
        <v>3877</v>
      </c>
      <c r="E501" t="s">
        <v>11</v>
      </c>
      <c r="F501" s="9">
        <v>8.8000000000000007</v>
      </c>
    </row>
    <row r="502" spans="1:6">
      <c r="A502" t="s">
        <v>6</v>
      </c>
      <c r="B502" t="s">
        <v>167</v>
      </c>
      <c r="C502" s="1" t="s">
        <v>207</v>
      </c>
      <c r="D502" s="7">
        <v>3881</v>
      </c>
      <c r="E502" t="s">
        <v>11</v>
      </c>
      <c r="F502" s="9">
        <v>9.1</v>
      </c>
    </row>
    <row r="503" spans="1:6">
      <c r="A503" t="s">
        <v>6</v>
      </c>
      <c r="B503" t="s">
        <v>167</v>
      </c>
      <c r="C503" s="1" t="s">
        <v>208</v>
      </c>
      <c r="D503" s="7">
        <v>3885</v>
      </c>
      <c r="E503" t="s">
        <v>11</v>
      </c>
      <c r="F503" s="9">
        <v>9</v>
      </c>
    </row>
    <row r="504" spans="1:6">
      <c r="A504" t="s">
        <v>6</v>
      </c>
      <c r="B504" t="s">
        <v>167</v>
      </c>
      <c r="C504" s="1" t="s">
        <v>209</v>
      </c>
      <c r="D504" s="7">
        <v>3889</v>
      </c>
      <c r="E504" t="s">
        <v>11</v>
      </c>
      <c r="F504" s="9">
        <v>9.6999999999999993</v>
      </c>
    </row>
    <row r="505" spans="1:6">
      <c r="A505" t="s">
        <v>6</v>
      </c>
      <c r="B505" t="s">
        <v>167</v>
      </c>
      <c r="C505" s="1" t="s">
        <v>210</v>
      </c>
      <c r="D505" s="7">
        <v>3941</v>
      </c>
      <c r="E505" t="s">
        <v>11</v>
      </c>
      <c r="F505" s="9">
        <v>9.1999999999999993</v>
      </c>
    </row>
    <row r="506" spans="1:6">
      <c r="A506" t="s">
        <v>6</v>
      </c>
      <c r="B506" t="s">
        <v>167</v>
      </c>
      <c r="C506" s="1" t="s">
        <v>177</v>
      </c>
      <c r="D506" s="7">
        <v>5591</v>
      </c>
      <c r="E506" t="s">
        <v>12</v>
      </c>
      <c r="F506" s="9">
        <v>2.75</v>
      </c>
    </row>
    <row r="507" spans="1:6">
      <c r="A507" t="s">
        <v>6</v>
      </c>
      <c r="B507" t="s">
        <v>167</v>
      </c>
      <c r="C507" s="1" t="s">
        <v>177</v>
      </c>
      <c r="D507" s="7">
        <v>6306</v>
      </c>
      <c r="E507" t="s">
        <v>12</v>
      </c>
      <c r="F507" s="9">
        <v>2.75</v>
      </c>
    </row>
    <row r="508" spans="1:6">
      <c r="A508" t="s">
        <v>6</v>
      </c>
      <c r="B508" t="s">
        <v>167</v>
      </c>
      <c r="C508" s="1" t="s">
        <v>178</v>
      </c>
      <c r="D508" s="7">
        <v>6301</v>
      </c>
      <c r="E508" t="s">
        <v>12</v>
      </c>
      <c r="F508" s="9">
        <v>2.83</v>
      </c>
    </row>
    <row r="509" spans="1:6">
      <c r="A509" t="s">
        <v>6</v>
      </c>
      <c r="B509" t="s">
        <v>167</v>
      </c>
      <c r="C509" s="1" t="s">
        <v>179</v>
      </c>
      <c r="D509" s="7">
        <v>6256</v>
      </c>
      <c r="E509" t="s">
        <v>12</v>
      </c>
      <c r="F509" s="9">
        <v>2.44</v>
      </c>
    </row>
    <row r="510" spans="1:6">
      <c r="A510" t="s">
        <v>6</v>
      </c>
      <c r="B510" t="s">
        <v>167</v>
      </c>
      <c r="C510" s="1" t="s">
        <v>213</v>
      </c>
      <c r="D510" s="7">
        <v>5463</v>
      </c>
      <c r="E510" t="s">
        <v>12</v>
      </c>
      <c r="F510" s="9">
        <v>2.21</v>
      </c>
    </row>
    <row r="511" spans="1:6">
      <c r="A511" t="s">
        <v>6</v>
      </c>
      <c r="B511" t="s">
        <v>167</v>
      </c>
      <c r="C511" s="1" t="s">
        <v>180</v>
      </c>
      <c r="D511" s="7">
        <v>6286</v>
      </c>
      <c r="E511" t="s">
        <v>12</v>
      </c>
      <c r="F511" s="9">
        <v>3.1</v>
      </c>
    </row>
    <row r="512" spans="1:6">
      <c r="A512" t="s">
        <v>6</v>
      </c>
      <c r="B512" t="s">
        <v>167</v>
      </c>
      <c r="C512" s="1" t="s">
        <v>181</v>
      </c>
      <c r="D512" s="7">
        <v>6246</v>
      </c>
      <c r="E512" t="s">
        <v>12</v>
      </c>
      <c r="F512" s="9">
        <v>2.89</v>
      </c>
    </row>
    <row r="513" spans="1:6">
      <c r="A513" t="s">
        <v>6</v>
      </c>
      <c r="B513" t="s">
        <v>167</v>
      </c>
      <c r="C513" s="1" t="s">
        <v>214</v>
      </c>
      <c r="D513" s="7">
        <v>5330</v>
      </c>
      <c r="E513" t="s">
        <v>12</v>
      </c>
      <c r="F513" s="9">
        <v>2.46</v>
      </c>
    </row>
    <row r="514" spans="1:6">
      <c r="A514" t="s">
        <v>6</v>
      </c>
      <c r="B514" t="s">
        <v>167</v>
      </c>
      <c r="C514" s="1" t="s">
        <v>215</v>
      </c>
      <c r="D514" s="7">
        <v>6241</v>
      </c>
      <c r="E514" t="s">
        <v>12</v>
      </c>
      <c r="F514" s="9">
        <v>2.8</v>
      </c>
    </row>
    <row r="515" spans="1:6">
      <c r="A515" t="s">
        <v>6</v>
      </c>
      <c r="B515" t="s">
        <v>167</v>
      </c>
      <c r="C515" s="1" t="s">
        <v>183</v>
      </c>
      <c r="D515" s="7">
        <v>6296</v>
      </c>
      <c r="E515" t="s">
        <v>12</v>
      </c>
      <c r="F515" s="9">
        <v>2.72</v>
      </c>
    </row>
    <row r="516" spans="1:6">
      <c r="A516" t="s">
        <v>6</v>
      </c>
      <c r="B516" t="s">
        <v>167</v>
      </c>
      <c r="C516" s="1" t="s">
        <v>216</v>
      </c>
      <c r="D516" s="7">
        <v>5374</v>
      </c>
      <c r="E516" t="s">
        <v>12</v>
      </c>
      <c r="F516" s="9">
        <v>2.62</v>
      </c>
    </row>
    <row r="517" spans="1:6">
      <c r="A517" t="s">
        <v>6</v>
      </c>
      <c r="B517" t="s">
        <v>167</v>
      </c>
      <c r="C517" s="1" t="s">
        <v>217</v>
      </c>
      <c r="D517" s="7">
        <v>5696</v>
      </c>
      <c r="E517" t="s">
        <v>12</v>
      </c>
      <c r="F517" s="9">
        <v>2.5499999999999998</v>
      </c>
    </row>
    <row r="518" spans="1:6">
      <c r="A518" t="s">
        <v>6</v>
      </c>
      <c r="B518" t="s">
        <v>167</v>
      </c>
      <c r="C518" s="1" t="s">
        <v>218</v>
      </c>
      <c r="D518" s="7">
        <v>5700</v>
      </c>
      <c r="E518" t="s">
        <v>12</v>
      </c>
      <c r="F518" s="9">
        <v>2.68</v>
      </c>
    </row>
    <row r="519" spans="1:6">
      <c r="A519" t="s">
        <v>6</v>
      </c>
      <c r="B519" t="s">
        <v>167</v>
      </c>
      <c r="C519" s="1" t="s">
        <v>219</v>
      </c>
      <c r="D519" s="7">
        <v>5704</v>
      </c>
      <c r="E519" t="s">
        <v>12</v>
      </c>
      <c r="F519" s="9">
        <v>2.76</v>
      </c>
    </row>
    <row r="520" spans="1:6">
      <c r="A520" t="s">
        <v>6</v>
      </c>
      <c r="B520" t="s">
        <v>167</v>
      </c>
      <c r="C520" s="1" t="s">
        <v>184</v>
      </c>
      <c r="D520" s="7">
        <v>6046</v>
      </c>
      <c r="E520" t="s">
        <v>12</v>
      </c>
      <c r="F520" s="9">
        <v>2.38</v>
      </c>
    </row>
    <row r="521" spans="1:6">
      <c r="A521" t="s">
        <v>6</v>
      </c>
      <c r="B521" t="s">
        <v>220</v>
      </c>
      <c r="C521" s="3" t="s">
        <v>221</v>
      </c>
      <c r="D521" s="7">
        <v>225</v>
      </c>
      <c r="E521" s="2" t="s">
        <v>9</v>
      </c>
      <c r="F521" s="10">
        <v>4</v>
      </c>
    </row>
    <row r="522" spans="1:6">
      <c r="A522" t="s">
        <v>6</v>
      </c>
      <c r="B522" t="s">
        <v>220</v>
      </c>
      <c r="C522" s="3" t="s">
        <v>222</v>
      </c>
      <c r="D522" s="7">
        <v>229</v>
      </c>
      <c r="E522" s="2" t="s">
        <v>9</v>
      </c>
      <c r="F522" s="10">
        <v>4.0999999999999996</v>
      </c>
    </row>
    <row r="523" spans="1:6">
      <c r="A523" t="s">
        <v>6</v>
      </c>
      <c r="B523" t="s">
        <v>220</v>
      </c>
      <c r="C523" s="3" t="s">
        <v>223</v>
      </c>
      <c r="D523" s="7">
        <v>233</v>
      </c>
      <c r="E523" s="2" t="s">
        <v>9</v>
      </c>
      <c r="F523" s="10">
        <v>3.8</v>
      </c>
    </row>
    <row r="524" spans="1:6">
      <c r="A524" t="s">
        <v>6</v>
      </c>
      <c r="B524" t="s">
        <v>220</v>
      </c>
      <c r="C524" s="3" t="s">
        <v>224</v>
      </c>
      <c r="D524" s="7">
        <v>273</v>
      </c>
      <c r="E524" s="2" t="s">
        <v>9</v>
      </c>
      <c r="F524" s="10">
        <v>3.6</v>
      </c>
    </row>
    <row r="525" spans="1:6">
      <c r="A525" t="s">
        <v>6</v>
      </c>
      <c r="B525" t="s">
        <v>220</v>
      </c>
      <c r="C525" s="1" t="s">
        <v>225</v>
      </c>
      <c r="D525" s="7">
        <v>6029</v>
      </c>
      <c r="E525" t="s">
        <v>9</v>
      </c>
      <c r="F525" s="9">
        <v>3.21</v>
      </c>
    </row>
    <row r="526" spans="1:6">
      <c r="A526" t="s">
        <v>6</v>
      </c>
      <c r="B526" t="s">
        <v>220</v>
      </c>
      <c r="C526" s="1" t="s">
        <v>226</v>
      </c>
      <c r="D526" s="7">
        <v>2922</v>
      </c>
      <c r="E526" t="s">
        <v>9</v>
      </c>
      <c r="F526" s="9">
        <v>4</v>
      </c>
    </row>
    <row r="527" spans="1:6">
      <c r="A527" t="s">
        <v>6</v>
      </c>
      <c r="B527" t="s">
        <v>220</v>
      </c>
      <c r="C527" s="1" t="s">
        <v>227</v>
      </c>
      <c r="D527" s="7">
        <v>2926</v>
      </c>
      <c r="E527" t="s">
        <v>9</v>
      </c>
      <c r="F527" s="9">
        <v>4.0999999999999996</v>
      </c>
    </row>
    <row r="528" spans="1:6">
      <c r="A528" t="s">
        <v>6</v>
      </c>
      <c r="B528" t="s">
        <v>220</v>
      </c>
      <c r="C528" s="1" t="s">
        <v>228</v>
      </c>
      <c r="D528" s="7">
        <v>2982</v>
      </c>
      <c r="E528" t="s">
        <v>9</v>
      </c>
      <c r="F528" s="9">
        <v>3.9</v>
      </c>
    </row>
    <row r="529" spans="1:6">
      <c r="A529" t="s">
        <v>6</v>
      </c>
      <c r="B529" t="s">
        <v>220</v>
      </c>
      <c r="C529" s="1" t="s">
        <v>229</v>
      </c>
      <c r="D529" s="7">
        <v>2986</v>
      </c>
      <c r="E529" t="s">
        <v>9</v>
      </c>
      <c r="F529" s="9">
        <v>3.8</v>
      </c>
    </row>
    <row r="530" spans="1:6">
      <c r="A530" t="s">
        <v>6</v>
      </c>
      <c r="B530" t="s">
        <v>220</v>
      </c>
      <c r="C530" s="1" t="s">
        <v>230</v>
      </c>
      <c r="D530" s="7">
        <v>2990</v>
      </c>
      <c r="E530" t="s">
        <v>9</v>
      </c>
      <c r="F530" s="9">
        <v>3.6</v>
      </c>
    </row>
    <row r="531" spans="1:6">
      <c r="A531" t="s">
        <v>6</v>
      </c>
      <c r="B531" t="s">
        <v>220</v>
      </c>
      <c r="C531" s="1" t="s">
        <v>231</v>
      </c>
      <c r="D531" s="7">
        <v>2994</v>
      </c>
      <c r="E531" t="s">
        <v>9</v>
      </c>
      <c r="F531" s="9">
        <v>3.9</v>
      </c>
    </row>
    <row r="532" spans="1:6">
      <c r="A532" t="s">
        <v>6</v>
      </c>
      <c r="B532" t="s">
        <v>220</v>
      </c>
      <c r="C532" s="1" t="s">
        <v>232</v>
      </c>
      <c r="D532" s="7">
        <v>2998</v>
      </c>
      <c r="E532" t="s">
        <v>9</v>
      </c>
      <c r="F532" s="9">
        <v>3.9</v>
      </c>
    </row>
    <row r="533" spans="1:6">
      <c r="A533" t="s">
        <v>6</v>
      </c>
      <c r="B533" t="s">
        <v>220</v>
      </c>
      <c r="C533" s="1" t="s">
        <v>233</v>
      </c>
      <c r="D533" s="7">
        <v>3494</v>
      </c>
      <c r="E533" t="s">
        <v>9</v>
      </c>
      <c r="F533" s="9">
        <v>3.5</v>
      </c>
    </row>
    <row r="534" spans="1:6">
      <c r="A534" t="s">
        <v>6</v>
      </c>
      <c r="B534" t="s">
        <v>220</v>
      </c>
      <c r="C534" s="1" t="s">
        <v>234</v>
      </c>
      <c r="D534" s="7">
        <v>3978</v>
      </c>
      <c r="E534" t="s">
        <v>9</v>
      </c>
      <c r="F534" s="9">
        <v>3.8</v>
      </c>
    </row>
    <row r="535" spans="1:6">
      <c r="A535" t="s">
        <v>6</v>
      </c>
      <c r="B535" t="s">
        <v>220</v>
      </c>
      <c r="C535" s="1" t="s">
        <v>235</v>
      </c>
      <c r="D535" s="7">
        <v>3982</v>
      </c>
      <c r="E535" t="s">
        <v>9</v>
      </c>
      <c r="F535" s="9">
        <v>3.9</v>
      </c>
    </row>
    <row r="536" spans="1:6">
      <c r="A536" t="s">
        <v>6</v>
      </c>
      <c r="B536" t="s">
        <v>220</v>
      </c>
      <c r="C536" s="1" t="s">
        <v>236</v>
      </c>
      <c r="D536" s="7">
        <v>3930</v>
      </c>
      <c r="E536" t="s">
        <v>9</v>
      </c>
      <c r="F536" s="9">
        <v>4.0999999999999996</v>
      </c>
    </row>
    <row r="537" spans="1:6">
      <c r="A537" t="s">
        <v>6</v>
      </c>
      <c r="B537" t="s">
        <v>220</v>
      </c>
      <c r="C537" s="1" t="s">
        <v>237</v>
      </c>
      <c r="D537" s="7">
        <v>3934</v>
      </c>
      <c r="E537" t="s">
        <v>9</v>
      </c>
      <c r="F537" s="9">
        <v>4.0999999999999996</v>
      </c>
    </row>
    <row r="538" spans="1:6">
      <c r="A538" t="s">
        <v>6</v>
      </c>
      <c r="B538" t="s">
        <v>220</v>
      </c>
      <c r="C538" s="1" t="s">
        <v>238</v>
      </c>
      <c r="D538" s="7">
        <v>3946</v>
      </c>
      <c r="E538" t="s">
        <v>9</v>
      </c>
      <c r="F538" s="9">
        <v>4</v>
      </c>
    </row>
    <row r="539" spans="1:6">
      <c r="A539" t="s">
        <v>6</v>
      </c>
      <c r="B539" t="s">
        <v>220</v>
      </c>
      <c r="C539" s="3" t="s">
        <v>221</v>
      </c>
      <c r="D539" s="7">
        <v>223</v>
      </c>
      <c r="E539" s="2" t="s">
        <v>10</v>
      </c>
      <c r="F539" s="10">
        <v>36.1</v>
      </c>
    </row>
    <row r="540" spans="1:6">
      <c r="A540" t="s">
        <v>6</v>
      </c>
      <c r="B540" t="s">
        <v>220</v>
      </c>
      <c r="C540" s="3" t="s">
        <v>222</v>
      </c>
      <c r="D540" s="7">
        <v>227</v>
      </c>
      <c r="E540" s="2" t="s">
        <v>10</v>
      </c>
      <c r="F540" s="10">
        <v>35.5</v>
      </c>
    </row>
    <row r="541" spans="1:6">
      <c r="A541" t="s">
        <v>6</v>
      </c>
      <c r="B541" t="s">
        <v>220</v>
      </c>
      <c r="C541" s="3" t="s">
        <v>223</v>
      </c>
      <c r="D541" s="7">
        <v>231</v>
      </c>
      <c r="E541" s="2" t="s">
        <v>10</v>
      </c>
      <c r="F541" s="10">
        <v>36</v>
      </c>
    </row>
    <row r="542" spans="1:6">
      <c r="A542" t="s">
        <v>6</v>
      </c>
      <c r="B542" t="s">
        <v>220</v>
      </c>
      <c r="C542" s="3" t="s">
        <v>224</v>
      </c>
      <c r="D542" s="7">
        <v>271</v>
      </c>
      <c r="E542" s="2" t="s">
        <v>10</v>
      </c>
      <c r="F542" s="10">
        <v>25.1</v>
      </c>
    </row>
    <row r="543" spans="1:6">
      <c r="A543" t="s">
        <v>6</v>
      </c>
      <c r="B543" t="s">
        <v>220</v>
      </c>
      <c r="C543" s="1" t="s">
        <v>225</v>
      </c>
      <c r="D543" s="7">
        <v>6032</v>
      </c>
      <c r="E543" t="s">
        <v>10</v>
      </c>
      <c r="F543" s="9">
        <v>32.65</v>
      </c>
    </row>
    <row r="544" spans="1:6">
      <c r="A544" t="s">
        <v>6</v>
      </c>
      <c r="B544" t="s">
        <v>220</v>
      </c>
      <c r="C544" s="1" t="s">
        <v>226</v>
      </c>
      <c r="D544" s="7">
        <v>2923</v>
      </c>
      <c r="E544" t="s">
        <v>10</v>
      </c>
      <c r="F544" s="9">
        <v>29.5</v>
      </c>
    </row>
    <row r="545" spans="1:6">
      <c r="A545" t="s">
        <v>6</v>
      </c>
      <c r="B545" t="s">
        <v>220</v>
      </c>
      <c r="C545" s="1" t="s">
        <v>227</v>
      </c>
      <c r="D545" s="7">
        <v>2927</v>
      </c>
      <c r="E545" t="s">
        <v>10</v>
      </c>
      <c r="F545" s="9">
        <v>30</v>
      </c>
    </row>
    <row r="546" spans="1:6">
      <c r="A546" t="s">
        <v>6</v>
      </c>
      <c r="B546" t="s">
        <v>220</v>
      </c>
      <c r="C546" s="1" t="s">
        <v>228</v>
      </c>
      <c r="D546" s="7">
        <v>2983</v>
      </c>
      <c r="E546" t="s">
        <v>10</v>
      </c>
      <c r="F546" s="9">
        <v>27.7</v>
      </c>
    </row>
    <row r="547" spans="1:6">
      <c r="A547" t="s">
        <v>6</v>
      </c>
      <c r="B547" t="s">
        <v>220</v>
      </c>
      <c r="C547" s="1" t="s">
        <v>229</v>
      </c>
      <c r="D547" s="7">
        <v>2987</v>
      </c>
      <c r="E547" t="s">
        <v>10</v>
      </c>
      <c r="F547" s="9">
        <v>28.3</v>
      </c>
    </row>
    <row r="548" spans="1:6">
      <c r="A548" t="s">
        <v>6</v>
      </c>
      <c r="B548" t="s">
        <v>220</v>
      </c>
      <c r="C548" s="1" t="s">
        <v>230</v>
      </c>
      <c r="D548" s="7">
        <v>2991</v>
      </c>
      <c r="E548" t="s">
        <v>10</v>
      </c>
      <c r="F548" s="9">
        <v>29.5</v>
      </c>
    </row>
    <row r="549" spans="1:6">
      <c r="A549" t="s">
        <v>6</v>
      </c>
      <c r="B549" t="s">
        <v>220</v>
      </c>
      <c r="C549" s="1" t="s">
        <v>231</v>
      </c>
      <c r="D549" s="7">
        <v>2995</v>
      </c>
      <c r="E549" t="s">
        <v>10</v>
      </c>
      <c r="F549" s="9">
        <v>33.700000000000003</v>
      </c>
    </row>
    <row r="550" spans="1:6">
      <c r="A550" t="s">
        <v>6</v>
      </c>
      <c r="B550" t="s">
        <v>220</v>
      </c>
      <c r="C550" s="1" t="s">
        <v>232</v>
      </c>
      <c r="D550" s="7">
        <v>2999</v>
      </c>
      <c r="E550" t="s">
        <v>10</v>
      </c>
      <c r="F550" s="9">
        <v>29.8</v>
      </c>
    </row>
    <row r="551" spans="1:6">
      <c r="A551" t="s">
        <v>6</v>
      </c>
      <c r="B551" t="s">
        <v>220</v>
      </c>
      <c r="C551" s="1" t="s">
        <v>233</v>
      </c>
      <c r="D551" s="7">
        <v>3495</v>
      </c>
      <c r="E551" t="s">
        <v>10</v>
      </c>
      <c r="F551" s="9">
        <v>32.4</v>
      </c>
    </row>
    <row r="552" spans="1:6">
      <c r="A552" t="s">
        <v>6</v>
      </c>
      <c r="B552" t="s">
        <v>220</v>
      </c>
      <c r="C552" s="1" t="s">
        <v>234</v>
      </c>
      <c r="D552" s="7">
        <v>3979</v>
      </c>
      <c r="E552" t="s">
        <v>10</v>
      </c>
      <c r="F552" s="9">
        <v>28.7</v>
      </c>
    </row>
    <row r="553" spans="1:6">
      <c r="A553" t="s">
        <v>6</v>
      </c>
      <c r="B553" t="s">
        <v>220</v>
      </c>
      <c r="C553" s="1" t="s">
        <v>235</v>
      </c>
      <c r="D553" s="7">
        <v>3983</v>
      </c>
      <c r="E553" t="s">
        <v>10</v>
      </c>
      <c r="F553" s="9">
        <v>29.21</v>
      </c>
    </row>
    <row r="554" spans="1:6">
      <c r="A554" t="s">
        <v>6</v>
      </c>
      <c r="B554" t="s">
        <v>220</v>
      </c>
      <c r="C554" s="1" t="s">
        <v>236</v>
      </c>
      <c r="D554" s="7">
        <v>3931</v>
      </c>
      <c r="E554" t="s">
        <v>10</v>
      </c>
      <c r="F554" s="9">
        <v>32.4</v>
      </c>
    </row>
    <row r="555" spans="1:6">
      <c r="A555" t="s">
        <v>6</v>
      </c>
      <c r="B555" t="s">
        <v>220</v>
      </c>
      <c r="C555" s="1" t="s">
        <v>237</v>
      </c>
      <c r="D555" s="7">
        <v>3935</v>
      </c>
      <c r="E555" t="s">
        <v>10</v>
      </c>
      <c r="F555" s="9">
        <v>33</v>
      </c>
    </row>
    <row r="556" spans="1:6">
      <c r="A556" t="s">
        <v>6</v>
      </c>
      <c r="B556" t="s">
        <v>220</v>
      </c>
      <c r="C556" s="1" t="s">
        <v>238</v>
      </c>
      <c r="D556" s="7">
        <v>3947</v>
      </c>
      <c r="E556" t="s">
        <v>10</v>
      </c>
      <c r="F556" s="9">
        <v>32.299999999999997</v>
      </c>
    </row>
    <row r="557" spans="1:6">
      <c r="A557" t="s">
        <v>6</v>
      </c>
      <c r="B557" t="s">
        <v>220</v>
      </c>
      <c r="C557" s="3" t="s">
        <v>221</v>
      </c>
      <c r="D557" s="7">
        <v>224</v>
      </c>
      <c r="E557" s="2" t="s">
        <v>11</v>
      </c>
      <c r="F557" s="10">
        <v>10.199999999999999</v>
      </c>
    </row>
    <row r="558" spans="1:6">
      <c r="A558" t="s">
        <v>6</v>
      </c>
      <c r="B558" t="s">
        <v>220</v>
      </c>
      <c r="C558" s="3" t="s">
        <v>222</v>
      </c>
      <c r="D558" s="7">
        <v>228</v>
      </c>
      <c r="E558" s="2" t="s">
        <v>11</v>
      </c>
      <c r="F558" s="10">
        <v>10.5</v>
      </c>
    </row>
    <row r="559" spans="1:6">
      <c r="A559" t="s">
        <v>6</v>
      </c>
      <c r="B559" t="s">
        <v>220</v>
      </c>
      <c r="C559" s="3" t="s">
        <v>223</v>
      </c>
      <c r="D559" s="7">
        <v>232</v>
      </c>
      <c r="E559" s="2" t="s">
        <v>11</v>
      </c>
      <c r="F559" s="10">
        <v>10.6</v>
      </c>
    </row>
    <row r="560" spans="1:6">
      <c r="A560" t="s">
        <v>6</v>
      </c>
      <c r="B560" t="s">
        <v>220</v>
      </c>
      <c r="C560" s="3" t="s">
        <v>224</v>
      </c>
      <c r="D560" s="7">
        <v>272</v>
      </c>
      <c r="E560" s="2" t="s">
        <v>11</v>
      </c>
      <c r="F560" s="10">
        <v>10</v>
      </c>
    </row>
    <row r="561" spans="1:6">
      <c r="A561" t="s">
        <v>6</v>
      </c>
      <c r="B561" t="s">
        <v>220</v>
      </c>
      <c r="C561" s="1" t="s">
        <v>225</v>
      </c>
      <c r="D561" s="7">
        <v>6030</v>
      </c>
      <c r="E561" t="s">
        <v>11</v>
      </c>
      <c r="F561" s="9">
        <v>11.21</v>
      </c>
    </row>
    <row r="562" spans="1:6">
      <c r="A562" t="s">
        <v>6</v>
      </c>
      <c r="B562" t="s">
        <v>220</v>
      </c>
      <c r="C562" s="1" t="s">
        <v>226</v>
      </c>
      <c r="D562" s="7">
        <v>2921</v>
      </c>
      <c r="E562" t="s">
        <v>11</v>
      </c>
      <c r="F562" s="9">
        <v>11.1</v>
      </c>
    </row>
    <row r="563" spans="1:6">
      <c r="A563" t="s">
        <v>6</v>
      </c>
      <c r="B563" t="s">
        <v>220</v>
      </c>
      <c r="C563" s="1" t="s">
        <v>227</v>
      </c>
      <c r="D563" s="7">
        <v>2925</v>
      </c>
      <c r="E563" t="s">
        <v>11</v>
      </c>
      <c r="F563" s="9">
        <v>11.3</v>
      </c>
    </row>
    <row r="564" spans="1:6">
      <c r="A564" t="s">
        <v>6</v>
      </c>
      <c r="B564" t="s">
        <v>220</v>
      </c>
      <c r="C564" s="1" t="s">
        <v>228</v>
      </c>
      <c r="D564" s="7">
        <v>2981</v>
      </c>
      <c r="E564" t="s">
        <v>11</v>
      </c>
      <c r="F564" s="9">
        <v>10.4</v>
      </c>
    </row>
    <row r="565" spans="1:6">
      <c r="A565" t="s">
        <v>6</v>
      </c>
      <c r="B565" t="s">
        <v>220</v>
      </c>
      <c r="C565" s="1" t="s">
        <v>229</v>
      </c>
      <c r="D565" s="7">
        <v>2985</v>
      </c>
      <c r="E565" t="s">
        <v>11</v>
      </c>
      <c r="F565" s="9">
        <v>10.7</v>
      </c>
    </row>
    <row r="566" spans="1:6">
      <c r="A566" t="s">
        <v>6</v>
      </c>
      <c r="B566" t="s">
        <v>220</v>
      </c>
      <c r="C566" s="1" t="s">
        <v>230</v>
      </c>
      <c r="D566" s="7">
        <v>2989</v>
      </c>
      <c r="E566" t="s">
        <v>11</v>
      </c>
      <c r="F566" s="9">
        <v>10.5</v>
      </c>
    </row>
    <row r="567" spans="1:6">
      <c r="A567" t="s">
        <v>6</v>
      </c>
      <c r="B567" t="s">
        <v>220</v>
      </c>
      <c r="C567" s="1" t="s">
        <v>231</v>
      </c>
      <c r="D567" s="7">
        <v>2993</v>
      </c>
      <c r="E567" t="s">
        <v>11</v>
      </c>
      <c r="F567" s="9">
        <v>10.8</v>
      </c>
    </row>
    <row r="568" spans="1:6">
      <c r="A568" t="s">
        <v>6</v>
      </c>
      <c r="B568" t="s">
        <v>220</v>
      </c>
      <c r="C568" s="1" t="s">
        <v>232</v>
      </c>
      <c r="D568" s="7">
        <v>2997</v>
      </c>
      <c r="E568" t="s">
        <v>11</v>
      </c>
      <c r="F568" s="9">
        <v>11</v>
      </c>
    </row>
    <row r="569" spans="1:6">
      <c r="A569" t="s">
        <v>6</v>
      </c>
      <c r="B569" t="s">
        <v>220</v>
      </c>
      <c r="C569" s="1" t="s">
        <v>233</v>
      </c>
      <c r="D569" s="7">
        <v>3493</v>
      </c>
      <c r="E569" t="s">
        <v>11</v>
      </c>
      <c r="F569" s="9">
        <v>10.6</v>
      </c>
    </row>
    <row r="570" spans="1:6">
      <c r="A570" t="s">
        <v>6</v>
      </c>
      <c r="B570" t="s">
        <v>220</v>
      </c>
      <c r="C570" s="1" t="s">
        <v>234</v>
      </c>
      <c r="D570" s="7">
        <v>3977</v>
      </c>
      <c r="E570" t="s">
        <v>11</v>
      </c>
      <c r="F570" s="9">
        <v>11.35</v>
      </c>
    </row>
    <row r="571" spans="1:6">
      <c r="A571" t="s">
        <v>6</v>
      </c>
      <c r="B571" t="s">
        <v>220</v>
      </c>
      <c r="C571" s="1" t="s">
        <v>235</v>
      </c>
      <c r="D571" s="7">
        <v>3981</v>
      </c>
      <c r="E571" t="s">
        <v>11</v>
      </c>
      <c r="F571" s="9">
        <v>10.63</v>
      </c>
    </row>
    <row r="572" spans="1:6">
      <c r="A572" t="s">
        <v>6</v>
      </c>
      <c r="B572" t="s">
        <v>220</v>
      </c>
      <c r="C572" s="1" t="s">
        <v>236</v>
      </c>
      <c r="D572" s="7">
        <v>3929</v>
      </c>
      <c r="E572" t="s">
        <v>11</v>
      </c>
      <c r="F572" s="9">
        <v>11.6</v>
      </c>
    </row>
    <row r="573" spans="1:6">
      <c r="A573" t="s">
        <v>6</v>
      </c>
      <c r="B573" t="s">
        <v>220</v>
      </c>
      <c r="C573" s="1" t="s">
        <v>237</v>
      </c>
      <c r="D573" s="7">
        <v>3933</v>
      </c>
      <c r="E573" t="s">
        <v>11</v>
      </c>
      <c r="F573" s="9">
        <v>11.6</v>
      </c>
    </row>
    <row r="574" spans="1:6">
      <c r="A574" t="s">
        <v>6</v>
      </c>
      <c r="B574" t="s">
        <v>220</v>
      </c>
      <c r="C574" s="1" t="s">
        <v>238</v>
      </c>
      <c r="D574" s="7">
        <v>3945</v>
      </c>
      <c r="E574" t="s">
        <v>11</v>
      </c>
      <c r="F574" s="9">
        <v>11.5</v>
      </c>
    </row>
    <row r="575" spans="1:6">
      <c r="A575" t="s">
        <v>6</v>
      </c>
      <c r="B575" t="s">
        <v>220</v>
      </c>
      <c r="C575" s="1" t="s">
        <v>239</v>
      </c>
      <c r="D575" s="7">
        <v>5206</v>
      </c>
      <c r="E575" t="s">
        <v>12</v>
      </c>
      <c r="F575" s="9">
        <v>3.37</v>
      </c>
    </row>
    <row r="576" spans="1:6">
      <c r="A576" t="s">
        <v>6</v>
      </c>
      <c r="B576" t="s">
        <v>220</v>
      </c>
      <c r="C576" s="1" t="s">
        <v>240</v>
      </c>
      <c r="D576" s="7">
        <v>5186</v>
      </c>
      <c r="E576" t="s">
        <v>12</v>
      </c>
      <c r="F576" s="9">
        <v>3.41</v>
      </c>
    </row>
    <row r="577" spans="1:6">
      <c r="A577" t="s">
        <v>6</v>
      </c>
      <c r="B577" t="s">
        <v>220</v>
      </c>
      <c r="C577" s="1" t="s">
        <v>241</v>
      </c>
      <c r="D577" s="7">
        <v>5190</v>
      </c>
      <c r="E577" t="s">
        <v>12</v>
      </c>
      <c r="F577" s="9">
        <v>3.33</v>
      </c>
    </row>
    <row r="578" spans="1:6">
      <c r="A578" t="s">
        <v>6</v>
      </c>
      <c r="B578" t="s">
        <v>220</v>
      </c>
      <c r="C578" s="1" t="s">
        <v>242</v>
      </c>
      <c r="D578" s="7">
        <v>5194</v>
      </c>
      <c r="E578" t="s">
        <v>12</v>
      </c>
      <c r="F578" s="9">
        <v>3.01</v>
      </c>
    </row>
    <row r="579" spans="1:6">
      <c r="A579" t="s">
        <v>6</v>
      </c>
      <c r="B579" t="s">
        <v>220</v>
      </c>
      <c r="C579" s="1" t="s">
        <v>243</v>
      </c>
      <c r="D579" s="7">
        <v>5202</v>
      </c>
      <c r="E579" t="s">
        <v>12</v>
      </c>
      <c r="F579" s="9">
        <v>3.18</v>
      </c>
    </row>
    <row r="580" spans="1:6">
      <c r="A580" t="s">
        <v>6</v>
      </c>
      <c r="B580" t="s">
        <v>220</v>
      </c>
      <c r="C580" s="1" t="s">
        <v>244</v>
      </c>
      <c r="D580" s="7">
        <v>5198</v>
      </c>
      <c r="E580" t="s">
        <v>12</v>
      </c>
      <c r="F580" s="9">
        <v>3.43</v>
      </c>
    </row>
    <row r="581" spans="1:6">
      <c r="A581" t="s">
        <v>6</v>
      </c>
      <c r="B581" t="s">
        <v>220</v>
      </c>
      <c r="C581" s="1" t="s">
        <v>245</v>
      </c>
      <c r="D581" s="7">
        <v>5182</v>
      </c>
      <c r="E581" t="s">
        <v>12</v>
      </c>
      <c r="F581" s="9">
        <v>0.34</v>
      </c>
    </row>
    <row r="582" spans="1:6">
      <c r="A582" t="s">
        <v>6</v>
      </c>
      <c r="B582" t="s">
        <v>220</v>
      </c>
      <c r="C582" s="1" t="s">
        <v>246</v>
      </c>
      <c r="D582" s="7">
        <v>5210</v>
      </c>
      <c r="E582" t="s">
        <v>12</v>
      </c>
      <c r="F582" s="9">
        <v>3.65</v>
      </c>
    </row>
    <row r="583" spans="1:6">
      <c r="A583" t="s">
        <v>6</v>
      </c>
      <c r="B583" t="s">
        <v>220</v>
      </c>
      <c r="C583" s="1" t="s">
        <v>247</v>
      </c>
      <c r="D583" s="7">
        <v>5218</v>
      </c>
      <c r="E583" t="s">
        <v>12</v>
      </c>
      <c r="F583" s="9">
        <v>3.29</v>
      </c>
    </row>
    <row r="584" spans="1:6">
      <c r="A584" t="s">
        <v>6</v>
      </c>
      <c r="B584" t="s">
        <v>220</v>
      </c>
      <c r="C584" s="1" t="s">
        <v>225</v>
      </c>
      <c r="D584" s="7">
        <v>6031</v>
      </c>
      <c r="E584" t="s">
        <v>12</v>
      </c>
      <c r="F584" s="9">
        <v>3.43</v>
      </c>
    </row>
    <row r="585" spans="1:6">
      <c r="A585" t="s">
        <v>6</v>
      </c>
      <c r="B585" t="s">
        <v>220</v>
      </c>
      <c r="C585" s="1" t="s">
        <v>248</v>
      </c>
      <c r="D585" s="7">
        <v>5250</v>
      </c>
      <c r="E585" t="s">
        <v>12</v>
      </c>
      <c r="F585" s="9">
        <v>3.38</v>
      </c>
    </row>
    <row r="586" spans="1:6">
      <c r="A586" t="s">
        <v>6</v>
      </c>
      <c r="B586" t="s">
        <v>249</v>
      </c>
      <c r="C586" s="1" t="s">
        <v>250</v>
      </c>
      <c r="D586" s="7">
        <v>5308</v>
      </c>
      <c r="E586" t="s">
        <v>9</v>
      </c>
      <c r="F586" s="9">
        <v>2.89</v>
      </c>
    </row>
    <row r="587" spans="1:6">
      <c r="A587" t="s">
        <v>6</v>
      </c>
      <c r="B587" t="s">
        <v>249</v>
      </c>
      <c r="C587" s="1" t="s">
        <v>251</v>
      </c>
      <c r="D587" s="7">
        <v>6014</v>
      </c>
      <c r="E587" t="s">
        <v>9</v>
      </c>
      <c r="F587" s="9">
        <v>2.98</v>
      </c>
    </row>
    <row r="588" spans="1:6">
      <c r="A588" t="s">
        <v>6</v>
      </c>
      <c r="B588" t="s">
        <v>249</v>
      </c>
      <c r="C588" s="1" t="s">
        <v>252</v>
      </c>
      <c r="D588" s="7">
        <v>3970</v>
      </c>
      <c r="E588" t="s">
        <v>9</v>
      </c>
      <c r="F588" s="9">
        <v>3</v>
      </c>
    </row>
    <row r="589" spans="1:6">
      <c r="A589" t="s">
        <v>6</v>
      </c>
      <c r="B589" t="s">
        <v>249</v>
      </c>
      <c r="C589" s="1" t="s">
        <v>251</v>
      </c>
      <c r="D589" s="7">
        <v>6017</v>
      </c>
      <c r="E589" t="s">
        <v>10</v>
      </c>
      <c r="F589" s="9">
        <v>15.04</v>
      </c>
    </row>
    <row r="590" spans="1:6">
      <c r="A590" t="s">
        <v>6</v>
      </c>
      <c r="B590" t="s">
        <v>249</v>
      </c>
      <c r="C590" s="1" t="s">
        <v>252</v>
      </c>
      <c r="D590" s="7">
        <v>3971</v>
      </c>
      <c r="E590" t="s">
        <v>10</v>
      </c>
      <c r="F590" s="9">
        <v>9.8000000000000007</v>
      </c>
    </row>
    <row r="591" spans="1:6">
      <c r="A591" t="s">
        <v>6</v>
      </c>
      <c r="B591" t="s">
        <v>249</v>
      </c>
      <c r="C591" s="1" t="s">
        <v>250</v>
      </c>
      <c r="D591" s="7">
        <v>5309</v>
      </c>
      <c r="E591" t="s">
        <v>11</v>
      </c>
      <c r="F591" s="9">
        <v>8.49</v>
      </c>
    </row>
    <row r="592" spans="1:6">
      <c r="A592" t="s">
        <v>6</v>
      </c>
      <c r="B592" t="s">
        <v>249</v>
      </c>
      <c r="C592" s="1" t="s">
        <v>251</v>
      </c>
      <c r="D592" s="7">
        <v>6015</v>
      </c>
      <c r="E592" t="s">
        <v>11</v>
      </c>
      <c r="F592" s="9">
        <v>8.66</v>
      </c>
    </row>
    <row r="593" spans="1:6">
      <c r="A593" t="s">
        <v>6</v>
      </c>
      <c r="B593" t="s">
        <v>249</v>
      </c>
      <c r="C593" s="1" t="s">
        <v>252</v>
      </c>
      <c r="D593" s="7">
        <v>3969</v>
      </c>
      <c r="E593" t="s">
        <v>11</v>
      </c>
      <c r="F593" s="9">
        <v>8</v>
      </c>
    </row>
    <row r="594" spans="1:6">
      <c r="A594" t="s">
        <v>6</v>
      </c>
      <c r="B594" t="s">
        <v>249</v>
      </c>
      <c r="C594" s="1" t="s">
        <v>250</v>
      </c>
      <c r="D594" s="7">
        <v>5310</v>
      </c>
      <c r="E594" t="s">
        <v>12</v>
      </c>
      <c r="F594" s="9">
        <v>2.44</v>
      </c>
    </row>
    <row r="595" spans="1:6">
      <c r="A595" t="s">
        <v>6</v>
      </c>
      <c r="B595" t="s">
        <v>249</v>
      </c>
      <c r="C595" s="1" t="s">
        <v>251</v>
      </c>
      <c r="D595" s="7">
        <v>6016</v>
      </c>
      <c r="E595" t="s">
        <v>12</v>
      </c>
      <c r="F595" s="9">
        <v>2.56</v>
      </c>
    </row>
    <row r="596" spans="1:6">
      <c r="A596" t="s">
        <v>6</v>
      </c>
      <c r="B596" t="s">
        <v>253</v>
      </c>
      <c r="C596" s="3" t="s">
        <v>254</v>
      </c>
      <c r="D596" s="7">
        <v>145</v>
      </c>
      <c r="E596" s="2" t="s">
        <v>9</v>
      </c>
      <c r="F596" s="10">
        <v>4</v>
      </c>
    </row>
    <row r="597" spans="1:6">
      <c r="A597" t="s">
        <v>6</v>
      </c>
      <c r="B597" t="s">
        <v>253</v>
      </c>
      <c r="C597" s="1" t="s">
        <v>255</v>
      </c>
      <c r="D597" s="7">
        <v>5908</v>
      </c>
      <c r="E597" t="s">
        <v>9</v>
      </c>
      <c r="F597" s="9">
        <v>3.24</v>
      </c>
    </row>
    <row r="598" spans="1:6">
      <c r="A598" t="s">
        <v>6</v>
      </c>
      <c r="B598" t="s">
        <v>253</v>
      </c>
      <c r="C598" s="1" t="s">
        <v>256</v>
      </c>
      <c r="D598" s="7">
        <v>5912</v>
      </c>
      <c r="E598" t="s">
        <v>9</v>
      </c>
      <c r="F598" s="9">
        <v>2.87</v>
      </c>
    </row>
    <row r="599" spans="1:6">
      <c r="A599" t="s">
        <v>6</v>
      </c>
      <c r="B599" t="s">
        <v>253</v>
      </c>
      <c r="C599" s="1" t="s">
        <v>257</v>
      </c>
      <c r="D599" s="7">
        <v>5850</v>
      </c>
      <c r="E599" t="s">
        <v>9</v>
      </c>
      <c r="F599" s="9">
        <v>3.13</v>
      </c>
    </row>
    <row r="600" spans="1:6">
      <c r="A600" t="s">
        <v>6</v>
      </c>
      <c r="B600" t="s">
        <v>253</v>
      </c>
      <c r="C600" s="1" t="s">
        <v>258</v>
      </c>
      <c r="D600" s="7">
        <v>4038</v>
      </c>
      <c r="E600" t="s">
        <v>9</v>
      </c>
      <c r="F600" s="9">
        <v>3.4</v>
      </c>
    </row>
    <row r="601" spans="1:6">
      <c r="A601" t="s">
        <v>6</v>
      </c>
      <c r="B601" t="s">
        <v>253</v>
      </c>
      <c r="C601" s="1" t="s">
        <v>259</v>
      </c>
      <c r="D601" s="7">
        <v>4042</v>
      </c>
      <c r="E601" t="s">
        <v>9</v>
      </c>
      <c r="F601" s="9">
        <v>3.7</v>
      </c>
    </row>
    <row r="602" spans="1:6">
      <c r="A602" t="s">
        <v>6</v>
      </c>
      <c r="B602" t="s">
        <v>253</v>
      </c>
      <c r="C602" s="1" t="s">
        <v>260</v>
      </c>
      <c r="D602" s="7">
        <v>4022</v>
      </c>
      <c r="E602" t="s">
        <v>9</v>
      </c>
      <c r="F602" s="9">
        <v>3.2</v>
      </c>
    </row>
    <row r="603" spans="1:6">
      <c r="A603" t="s">
        <v>6</v>
      </c>
      <c r="B603" t="s">
        <v>253</v>
      </c>
      <c r="C603" s="1" t="s">
        <v>261</v>
      </c>
      <c r="D603" s="7">
        <v>4026</v>
      </c>
      <c r="E603" t="s">
        <v>9</v>
      </c>
      <c r="F603" s="9">
        <v>3.5</v>
      </c>
    </row>
    <row r="604" spans="1:6">
      <c r="A604" t="s">
        <v>6</v>
      </c>
      <c r="B604" t="s">
        <v>253</v>
      </c>
      <c r="C604" s="1" t="s">
        <v>262</v>
      </c>
      <c r="D604" s="7">
        <v>3674</v>
      </c>
      <c r="E604" t="s">
        <v>9</v>
      </c>
      <c r="F604" s="9">
        <v>3.4</v>
      </c>
    </row>
    <row r="605" spans="1:6">
      <c r="A605" t="s">
        <v>6</v>
      </c>
      <c r="B605" t="s">
        <v>253</v>
      </c>
      <c r="C605" s="1" t="s">
        <v>263</v>
      </c>
      <c r="D605" s="7">
        <v>3678</v>
      </c>
      <c r="E605" t="s">
        <v>9</v>
      </c>
      <c r="F605" s="9">
        <v>3.4</v>
      </c>
    </row>
    <row r="606" spans="1:6">
      <c r="A606" t="s">
        <v>6</v>
      </c>
      <c r="B606" t="s">
        <v>253</v>
      </c>
      <c r="C606" s="1" t="s">
        <v>264</v>
      </c>
      <c r="D606" s="7">
        <v>3682</v>
      </c>
      <c r="E606" t="s">
        <v>9</v>
      </c>
      <c r="F606" s="9">
        <v>3.4</v>
      </c>
    </row>
    <row r="607" spans="1:6">
      <c r="A607" t="s">
        <v>6</v>
      </c>
      <c r="B607" t="s">
        <v>253</v>
      </c>
      <c r="C607" s="1" t="s">
        <v>265</v>
      </c>
      <c r="D607" s="7">
        <v>4030</v>
      </c>
      <c r="E607" t="s">
        <v>9</v>
      </c>
      <c r="F607" s="9">
        <v>3.5</v>
      </c>
    </row>
    <row r="608" spans="1:6">
      <c r="A608" t="s">
        <v>6</v>
      </c>
      <c r="B608" t="s">
        <v>253</v>
      </c>
      <c r="C608" s="1" t="s">
        <v>266</v>
      </c>
      <c r="D608" s="7">
        <v>4034</v>
      </c>
      <c r="E608" t="s">
        <v>9</v>
      </c>
      <c r="F608" s="9">
        <v>3.5</v>
      </c>
    </row>
    <row r="609" spans="1:6">
      <c r="A609" t="s">
        <v>6</v>
      </c>
      <c r="B609" t="s">
        <v>253</v>
      </c>
      <c r="C609" s="1" t="s">
        <v>267</v>
      </c>
      <c r="D609" s="7">
        <v>3898</v>
      </c>
      <c r="E609" t="s">
        <v>9</v>
      </c>
      <c r="F609" s="9">
        <v>3.6</v>
      </c>
    </row>
    <row r="610" spans="1:6">
      <c r="A610" t="s">
        <v>6</v>
      </c>
      <c r="B610" t="s">
        <v>253</v>
      </c>
      <c r="C610" s="3" t="s">
        <v>254</v>
      </c>
      <c r="D610" s="7">
        <v>143</v>
      </c>
      <c r="E610" s="2" t="s">
        <v>10</v>
      </c>
      <c r="F610" s="10">
        <v>10.9</v>
      </c>
    </row>
    <row r="611" spans="1:6">
      <c r="A611" t="s">
        <v>6</v>
      </c>
      <c r="B611" t="s">
        <v>253</v>
      </c>
      <c r="C611" s="1" t="s">
        <v>258</v>
      </c>
      <c r="D611" s="7">
        <v>4039</v>
      </c>
      <c r="E611" t="s">
        <v>10</v>
      </c>
      <c r="F611" s="9">
        <v>8.3000000000000007</v>
      </c>
    </row>
    <row r="612" spans="1:6">
      <c r="A612" t="s">
        <v>6</v>
      </c>
      <c r="B612" t="s">
        <v>253</v>
      </c>
      <c r="C612" s="1" t="s">
        <v>259</v>
      </c>
      <c r="D612" s="7">
        <v>4043</v>
      </c>
      <c r="E612" t="s">
        <v>10</v>
      </c>
      <c r="F612" s="9">
        <v>8.8000000000000007</v>
      </c>
    </row>
    <row r="613" spans="1:6">
      <c r="A613" t="s">
        <v>6</v>
      </c>
      <c r="B613" t="s">
        <v>253</v>
      </c>
      <c r="C613" s="1" t="s">
        <v>260</v>
      </c>
      <c r="D613" s="7">
        <v>4023</v>
      </c>
      <c r="E613" t="s">
        <v>10</v>
      </c>
      <c r="F613" s="9">
        <v>7.8</v>
      </c>
    </row>
    <row r="614" spans="1:6">
      <c r="A614" t="s">
        <v>6</v>
      </c>
      <c r="B614" t="s">
        <v>253</v>
      </c>
      <c r="C614" s="1" t="s">
        <v>261</v>
      </c>
      <c r="D614" s="7">
        <v>4027</v>
      </c>
      <c r="E614" t="s">
        <v>10</v>
      </c>
      <c r="F614" s="9">
        <v>7.4</v>
      </c>
    </row>
    <row r="615" spans="1:6">
      <c r="A615" t="s">
        <v>6</v>
      </c>
      <c r="B615" t="s">
        <v>253</v>
      </c>
      <c r="C615" s="1" t="s">
        <v>262</v>
      </c>
      <c r="D615" s="7">
        <v>3675</v>
      </c>
      <c r="E615" t="s">
        <v>10</v>
      </c>
      <c r="F615" s="9">
        <v>12.1</v>
      </c>
    </row>
    <row r="616" spans="1:6">
      <c r="A616" t="s">
        <v>6</v>
      </c>
      <c r="B616" t="s">
        <v>253</v>
      </c>
      <c r="C616" s="1" t="s">
        <v>263</v>
      </c>
      <c r="D616" s="7">
        <v>3679</v>
      </c>
      <c r="E616" t="s">
        <v>10</v>
      </c>
      <c r="F616" s="9">
        <v>11.9</v>
      </c>
    </row>
    <row r="617" spans="1:6">
      <c r="A617" t="s">
        <v>6</v>
      </c>
      <c r="B617" t="s">
        <v>253</v>
      </c>
      <c r="C617" s="1" t="s">
        <v>264</v>
      </c>
      <c r="D617" s="7">
        <v>3683</v>
      </c>
      <c r="E617" t="s">
        <v>10</v>
      </c>
      <c r="F617" s="9">
        <v>11.2</v>
      </c>
    </row>
    <row r="618" spans="1:6">
      <c r="A618" t="s">
        <v>6</v>
      </c>
      <c r="B618" t="s">
        <v>253</v>
      </c>
      <c r="C618" s="1" t="s">
        <v>265</v>
      </c>
      <c r="D618" s="7">
        <v>4031</v>
      </c>
      <c r="E618" t="s">
        <v>10</v>
      </c>
      <c r="F618" s="9">
        <v>8.1</v>
      </c>
    </row>
    <row r="619" spans="1:6">
      <c r="A619" t="s">
        <v>6</v>
      </c>
      <c r="B619" t="s">
        <v>253</v>
      </c>
      <c r="C619" s="1" t="s">
        <v>266</v>
      </c>
      <c r="D619" s="7">
        <v>4035</v>
      </c>
      <c r="E619" t="s">
        <v>10</v>
      </c>
      <c r="F619" s="9">
        <v>7.6</v>
      </c>
    </row>
    <row r="620" spans="1:6">
      <c r="A620" t="s">
        <v>6</v>
      </c>
      <c r="B620" t="s">
        <v>253</v>
      </c>
      <c r="C620" s="1" t="s">
        <v>267</v>
      </c>
      <c r="D620" s="7">
        <v>3899</v>
      </c>
      <c r="E620" t="s">
        <v>10</v>
      </c>
      <c r="F620" s="9">
        <v>11.3</v>
      </c>
    </row>
    <row r="621" spans="1:6">
      <c r="A621" t="s">
        <v>6</v>
      </c>
      <c r="B621" t="s">
        <v>253</v>
      </c>
      <c r="C621" s="3" t="s">
        <v>254</v>
      </c>
      <c r="D621" s="7">
        <v>144</v>
      </c>
      <c r="E621" s="2" t="s">
        <v>11</v>
      </c>
      <c r="F621" s="10">
        <v>10</v>
      </c>
    </row>
    <row r="622" spans="1:6">
      <c r="A622" t="s">
        <v>6</v>
      </c>
      <c r="B622" t="s">
        <v>253</v>
      </c>
      <c r="C622" s="1" t="s">
        <v>255</v>
      </c>
      <c r="D622" s="7">
        <v>5909</v>
      </c>
      <c r="E622" t="s">
        <v>11</v>
      </c>
      <c r="F622" s="9">
        <v>9.77</v>
      </c>
    </row>
    <row r="623" spans="1:6">
      <c r="A623" t="s">
        <v>6</v>
      </c>
      <c r="B623" t="s">
        <v>253</v>
      </c>
      <c r="C623" s="1" t="s">
        <v>256</v>
      </c>
      <c r="D623" s="7">
        <v>5913</v>
      </c>
      <c r="E623" t="s">
        <v>11</v>
      </c>
      <c r="F623" s="9">
        <v>9.4700000000000006</v>
      </c>
    </row>
    <row r="624" spans="1:6">
      <c r="A624" t="s">
        <v>6</v>
      </c>
      <c r="B624" t="s">
        <v>253</v>
      </c>
      <c r="C624" s="1" t="s">
        <v>257</v>
      </c>
      <c r="D624" s="7">
        <v>5851</v>
      </c>
      <c r="E624" t="s">
        <v>11</v>
      </c>
      <c r="F624" s="9">
        <v>9.33</v>
      </c>
    </row>
    <row r="625" spans="1:6">
      <c r="A625" t="s">
        <v>6</v>
      </c>
      <c r="B625" t="s">
        <v>253</v>
      </c>
      <c r="C625" s="1" t="s">
        <v>258</v>
      </c>
      <c r="D625" s="7">
        <v>4037</v>
      </c>
      <c r="E625" t="s">
        <v>11</v>
      </c>
      <c r="F625" s="9">
        <v>9.5</v>
      </c>
    </row>
    <row r="626" spans="1:6">
      <c r="A626" t="s">
        <v>6</v>
      </c>
      <c r="B626" t="s">
        <v>253</v>
      </c>
      <c r="C626" s="1" t="s">
        <v>259</v>
      </c>
      <c r="D626" s="7">
        <v>4041</v>
      </c>
      <c r="E626" t="s">
        <v>11</v>
      </c>
      <c r="F626" s="9">
        <v>9.4</v>
      </c>
    </row>
    <row r="627" spans="1:6">
      <c r="A627" t="s">
        <v>6</v>
      </c>
      <c r="B627" t="s">
        <v>253</v>
      </c>
      <c r="C627" s="1" t="s">
        <v>260</v>
      </c>
      <c r="D627" s="7">
        <v>4021</v>
      </c>
      <c r="E627" t="s">
        <v>11</v>
      </c>
      <c r="F627" s="9">
        <v>9</v>
      </c>
    </row>
    <row r="628" spans="1:6">
      <c r="A628" t="s">
        <v>6</v>
      </c>
      <c r="B628" t="s">
        <v>253</v>
      </c>
      <c r="C628" s="1" t="s">
        <v>261</v>
      </c>
      <c r="D628" s="7">
        <v>4025</v>
      </c>
      <c r="E628" t="s">
        <v>11</v>
      </c>
      <c r="F628" s="9">
        <v>9.5</v>
      </c>
    </row>
    <row r="629" spans="1:6">
      <c r="A629" t="s">
        <v>6</v>
      </c>
      <c r="B629" t="s">
        <v>253</v>
      </c>
      <c r="C629" s="1" t="s">
        <v>262</v>
      </c>
      <c r="D629" s="7">
        <v>3673</v>
      </c>
      <c r="E629" t="s">
        <v>11</v>
      </c>
      <c r="F629" s="9">
        <v>9.4</v>
      </c>
    </row>
    <row r="630" spans="1:6">
      <c r="A630" t="s">
        <v>6</v>
      </c>
      <c r="B630" t="s">
        <v>253</v>
      </c>
      <c r="C630" s="1" t="s">
        <v>263</v>
      </c>
      <c r="D630" s="7">
        <v>3677</v>
      </c>
      <c r="E630" t="s">
        <v>11</v>
      </c>
      <c r="F630" s="9">
        <v>9.9</v>
      </c>
    </row>
    <row r="631" spans="1:6">
      <c r="A631" t="s">
        <v>6</v>
      </c>
      <c r="B631" t="s">
        <v>253</v>
      </c>
      <c r="C631" s="1" t="s">
        <v>264</v>
      </c>
      <c r="D631" s="7">
        <v>3681</v>
      </c>
      <c r="E631" t="s">
        <v>11</v>
      </c>
      <c r="F631" s="9">
        <v>9.8000000000000007</v>
      </c>
    </row>
    <row r="632" spans="1:6">
      <c r="A632" t="s">
        <v>6</v>
      </c>
      <c r="B632" t="s">
        <v>253</v>
      </c>
      <c r="C632" s="1" t="s">
        <v>265</v>
      </c>
      <c r="D632" s="7">
        <v>4029</v>
      </c>
      <c r="E632" t="s">
        <v>11</v>
      </c>
      <c r="F632" s="9">
        <v>9.5</v>
      </c>
    </row>
    <row r="633" spans="1:6">
      <c r="A633" t="s">
        <v>6</v>
      </c>
      <c r="B633" t="s">
        <v>253</v>
      </c>
      <c r="C633" s="1" t="s">
        <v>266</v>
      </c>
      <c r="D633" s="7">
        <v>4033</v>
      </c>
      <c r="E633" t="s">
        <v>11</v>
      </c>
      <c r="F633" s="9">
        <v>9.1</v>
      </c>
    </row>
    <row r="634" spans="1:6">
      <c r="A634" t="s">
        <v>6</v>
      </c>
      <c r="B634" t="s">
        <v>253</v>
      </c>
      <c r="C634" s="1" t="s">
        <v>267</v>
      </c>
      <c r="D634" s="7">
        <v>3897</v>
      </c>
      <c r="E634" t="s">
        <v>11</v>
      </c>
      <c r="F634" s="9">
        <v>9.6999999999999993</v>
      </c>
    </row>
    <row r="635" spans="1:6">
      <c r="A635" t="s">
        <v>6</v>
      </c>
      <c r="B635" t="s">
        <v>253</v>
      </c>
      <c r="C635" s="1" t="s">
        <v>255</v>
      </c>
      <c r="D635" s="7">
        <v>5910</v>
      </c>
      <c r="E635" t="s">
        <v>12</v>
      </c>
      <c r="F635" s="9">
        <v>2.99</v>
      </c>
    </row>
    <row r="636" spans="1:6">
      <c r="A636" t="s">
        <v>6</v>
      </c>
      <c r="B636" t="s">
        <v>253</v>
      </c>
      <c r="C636" s="1" t="s">
        <v>256</v>
      </c>
      <c r="D636" s="7">
        <v>5914</v>
      </c>
      <c r="E636" t="s">
        <v>12</v>
      </c>
      <c r="F636" s="9">
        <v>2.95</v>
      </c>
    </row>
    <row r="637" spans="1:6">
      <c r="A637" t="s">
        <v>6</v>
      </c>
      <c r="B637" t="s">
        <v>253</v>
      </c>
      <c r="C637" s="1" t="s">
        <v>268</v>
      </c>
      <c r="D637" s="7">
        <v>5840</v>
      </c>
      <c r="E637" t="s">
        <v>12</v>
      </c>
      <c r="F637" s="9">
        <v>2.93</v>
      </c>
    </row>
    <row r="638" spans="1:6">
      <c r="A638" t="s">
        <v>6</v>
      </c>
      <c r="B638" t="s">
        <v>253</v>
      </c>
      <c r="C638" s="1" t="s">
        <v>269</v>
      </c>
      <c r="D638" s="7">
        <v>5892</v>
      </c>
      <c r="E638" t="s">
        <v>12</v>
      </c>
      <c r="F638" s="9">
        <v>2.84</v>
      </c>
    </row>
    <row r="639" spans="1:6">
      <c r="A639" t="s">
        <v>6</v>
      </c>
      <c r="B639" t="s">
        <v>253</v>
      </c>
      <c r="C639" s="1" t="s">
        <v>257</v>
      </c>
      <c r="D639" s="7">
        <v>5852</v>
      </c>
      <c r="E639" t="s">
        <v>12</v>
      </c>
      <c r="F639" s="9">
        <v>2.89</v>
      </c>
    </row>
    <row r="640" spans="1:6">
      <c r="A640" t="s">
        <v>6</v>
      </c>
      <c r="B640" t="s">
        <v>270</v>
      </c>
      <c r="C640" s="1" t="s">
        <v>271</v>
      </c>
      <c r="D640" s="7">
        <v>5352</v>
      </c>
      <c r="E640" t="s">
        <v>9</v>
      </c>
      <c r="F640" s="9">
        <v>3.14</v>
      </c>
    </row>
    <row r="641" spans="1:6">
      <c r="A641" t="s">
        <v>6</v>
      </c>
      <c r="B641" t="s">
        <v>270</v>
      </c>
      <c r="C641" s="1" t="s">
        <v>272</v>
      </c>
      <c r="D641" s="7">
        <v>6009</v>
      </c>
      <c r="E641" t="s">
        <v>9</v>
      </c>
      <c r="F641" s="9">
        <v>2.85</v>
      </c>
    </row>
    <row r="642" spans="1:6">
      <c r="A642" t="s">
        <v>6</v>
      </c>
      <c r="B642" t="s">
        <v>270</v>
      </c>
      <c r="C642" s="1" t="s">
        <v>273</v>
      </c>
      <c r="D642" s="7">
        <v>5658</v>
      </c>
      <c r="E642" t="s">
        <v>9</v>
      </c>
      <c r="F642" s="9">
        <v>2.86</v>
      </c>
    </row>
    <row r="643" spans="1:6">
      <c r="A643" t="s">
        <v>6</v>
      </c>
      <c r="B643" t="s">
        <v>270</v>
      </c>
      <c r="C643" s="1" t="s">
        <v>274</v>
      </c>
      <c r="D643" s="7">
        <v>5989</v>
      </c>
      <c r="E643" t="s">
        <v>9</v>
      </c>
      <c r="F643" s="9">
        <v>2.7</v>
      </c>
    </row>
    <row r="644" spans="1:6">
      <c r="A644" t="s">
        <v>6</v>
      </c>
      <c r="B644" t="s">
        <v>270</v>
      </c>
      <c r="C644" s="1" t="s">
        <v>275</v>
      </c>
      <c r="D644" s="7">
        <v>5994</v>
      </c>
      <c r="E644" t="s">
        <v>9</v>
      </c>
      <c r="F644" s="9">
        <v>3.16</v>
      </c>
    </row>
    <row r="645" spans="1:6">
      <c r="A645" t="s">
        <v>6</v>
      </c>
      <c r="B645" t="s">
        <v>270</v>
      </c>
      <c r="C645" s="1" t="s">
        <v>276</v>
      </c>
      <c r="D645" s="7">
        <v>4138</v>
      </c>
      <c r="E645" t="s">
        <v>9</v>
      </c>
      <c r="F645" s="9">
        <v>3.5</v>
      </c>
    </row>
    <row r="646" spans="1:6">
      <c r="A646" t="s">
        <v>6</v>
      </c>
      <c r="B646" t="s">
        <v>270</v>
      </c>
      <c r="C646" s="1" t="s">
        <v>277</v>
      </c>
      <c r="D646" s="7">
        <v>4414</v>
      </c>
      <c r="E646" t="s">
        <v>9</v>
      </c>
      <c r="F646" s="9">
        <v>3.3</v>
      </c>
    </row>
    <row r="647" spans="1:6">
      <c r="A647" t="s">
        <v>6</v>
      </c>
      <c r="B647" t="s">
        <v>270</v>
      </c>
      <c r="C647" s="1" t="s">
        <v>272</v>
      </c>
      <c r="D647" s="7">
        <v>6012</v>
      </c>
      <c r="E647" t="s">
        <v>10</v>
      </c>
      <c r="F647" s="9">
        <v>9.77</v>
      </c>
    </row>
    <row r="648" spans="1:6">
      <c r="A648" t="s">
        <v>6</v>
      </c>
      <c r="B648" t="s">
        <v>270</v>
      </c>
      <c r="C648" s="1" t="s">
        <v>274</v>
      </c>
      <c r="D648" s="7">
        <v>5992</v>
      </c>
      <c r="E648" t="s">
        <v>10</v>
      </c>
      <c r="F648" s="9">
        <v>12.76</v>
      </c>
    </row>
    <row r="649" spans="1:6">
      <c r="A649" t="s">
        <v>6</v>
      </c>
      <c r="B649" t="s">
        <v>270</v>
      </c>
      <c r="C649" s="1" t="s">
        <v>275</v>
      </c>
      <c r="D649" s="7">
        <v>5997</v>
      </c>
      <c r="E649" t="s">
        <v>10</v>
      </c>
      <c r="F649" s="9">
        <v>12.93</v>
      </c>
    </row>
    <row r="650" spans="1:6">
      <c r="A650" t="s">
        <v>6</v>
      </c>
      <c r="B650" t="s">
        <v>270</v>
      </c>
      <c r="C650" s="1" t="s">
        <v>276</v>
      </c>
      <c r="D650" s="7">
        <v>4139</v>
      </c>
      <c r="E650" t="s">
        <v>10</v>
      </c>
      <c r="F650" s="9">
        <v>7.9</v>
      </c>
    </row>
    <row r="651" spans="1:6">
      <c r="A651" t="s">
        <v>6</v>
      </c>
      <c r="B651" t="s">
        <v>270</v>
      </c>
      <c r="C651" s="1" t="s">
        <v>277</v>
      </c>
      <c r="D651" s="7">
        <v>4415</v>
      </c>
      <c r="E651" t="s">
        <v>10</v>
      </c>
      <c r="F651" s="9">
        <v>6.6</v>
      </c>
    </row>
    <row r="652" spans="1:6">
      <c r="A652" t="s">
        <v>6</v>
      </c>
      <c r="B652" t="s">
        <v>270</v>
      </c>
      <c r="C652" s="1" t="s">
        <v>271</v>
      </c>
      <c r="D652" s="7">
        <v>5353</v>
      </c>
      <c r="E652" t="s">
        <v>11</v>
      </c>
      <c r="F652" s="9">
        <v>7.99</v>
      </c>
    </row>
    <row r="653" spans="1:6">
      <c r="A653" t="s">
        <v>6</v>
      </c>
      <c r="B653" t="s">
        <v>270</v>
      </c>
      <c r="C653" s="1" t="s">
        <v>272</v>
      </c>
      <c r="D653" s="7">
        <v>6010</v>
      </c>
      <c r="E653" t="s">
        <v>11</v>
      </c>
      <c r="F653" s="9">
        <v>8.6199999999999992</v>
      </c>
    </row>
    <row r="654" spans="1:6">
      <c r="A654" t="s">
        <v>6</v>
      </c>
      <c r="B654" t="s">
        <v>270</v>
      </c>
      <c r="C654" s="1" t="s">
        <v>273</v>
      </c>
      <c r="D654" s="7">
        <v>5659</v>
      </c>
      <c r="E654" t="s">
        <v>11</v>
      </c>
      <c r="F654" s="9">
        <v>8.61</v>
      </c>
    </row>
    <row r="655" spans="1:6">
      <c r="A655" t="s">
        <v>6</v>
      </c>
      <c r="B655" t="s">
        <v>270</v>
      </c>
      <c r="C655" s="1" t="s">
        <v>274</v>
      </c>
      <c r="D655" s="7">
        <v>5990</v>
      </c>
      <c r="E655" t="s">
        <v>11</v>
      </c>
      <c r="F655" s="9">
        <v>7.65</v>
      </c>
    </row>
    <row r="656" spans="1:6">
      <c r="A656" t="s">
        <v>6</v>
      </c>
      <c r="B656" t="s">
        <v>270</v>
      </c>
      <c r="C656" s="1" t="s">
        <v>275</v>
      </c>
      <c r="D656" s="7">
        <v>5995</v>
      </c>
      <c r="E656" t="s">
        <v>11</v>
      </c>
      <c r="F656" s="9">
        <v>8.25</v>
      </c>
    </row>
    <row r="657" spans="1:6">
      <c r="A657" t="s">
        <v>6</v>
      </c>
      <c r="B657" t="s">
        <v>270</v>
      </c>
      <c r="C657" s="1" t="s">
        <v>276</v>
      </c>
      <c r="D657" s="7">
        <v>4137</v>
      </c>
      <c r="E657" t="s">
        <v>11</v>
      </c>
      <c r="F657" s="9">
        <v>7.9</v>
      </c>
    </row>
    <row r="658" spans="1:6">
      <c r="A658" t="s">
        <v>6</v>
      </c>
      <c r="B658" t="s">
        <v>270</v>
      </c>
      <c r="C658" s="1" t="s">
        <v>277</v>
      </c>
      <c r="D658" s="7">
        <v>4413</v>
      </c>
      <c r="E658" t="s">
        <v>11</v>
      </c>
      <c r="F658" s="9">
        <v>7.5</v>
      </c>
    </row>
    <row r="659" spans="1:6">
      <c r="A659" t="s">
        <v>6</v>
      </c>
      <c r="B659" t="s">
        <v>270</v>
      </c>
      <c r="C659" s="1" t="s">
        <v>271</v>
      </c>
      <c r="D659" s="7">
        <v>5354</v>
      </c>
      <c r="E659" t="s">
        <v>12</v>
      </c>
      <c r="F659" s="9">
        <v>2.5499999999999998</v>
      </c>
    </row>
    <row r="660" spans="1:6">
      <c r="A660" t="s">
        <v>6</v>
      </c>
      <c r="B660" t="s">
        <v>270</v>
      </c>
      <c r="C660" s="1" t="s">
        <v>272</v>
      </c>
      <c r="D660" s="7">
        <v>6011</v>
      </c>
      <c r="E660" t="s">
        <v>12</v>
      </c>
      <c r="F660" s="9">
        <v>2.48</v>
      </c>
    </row>
    <row r="661" spans="1:6">
      <c r="A661" t="s">
        <v>6</v>
      </c>
      <c r="B661" t="s">
        <v>270</v>
      </c>
      <c r="C661" s="1" t="s">
        <v>273</v>
      </c>
      <c r="D661" s="7">
        <v>5660</v>
      </c>
      <c r="E661" t="s">
        <v>12</v>
      </c>
      <c r="F661" s="9">
        <v>2.4500000000000002</v>
      </c>
    </row>
    <row r="662" spans="1:6">
      <c r="A662" t="s">
        <v>6</v>
      </c>
      <c r="B662" t="s">
        <v>270</v>
      </c>
      <c r="C662" s="1" t="s">
        <v>274</v>
      </c>
      <c r="D662" s="7">
        <v>5991</v>
      </c>
      <c r="E662" t="s">
        <v>12</v>
      </c>
      <c r="F662" s="9">
        <v>2.5</v>
      </c>
    </row>
    <row r="663" spans="1:6">
      <c r="A663" t="s">
        <v>6</v>
      </c>
      <c r="B663" t="s">
        <v>270</v>
      </c>
      <c r="C663" s="1" t="s">
        <v>275</v>
      </c>
      <c r="D663" s="7">
        <v>5996</v>
      </c>
      <c r="E663" t="s">
        <v>12</v>
      </c>
      <c r="F663" s="9">
        <v>2.5</v>
      </c>
    </row>
    <row r="664" spans="1:6">
      <c r="A664" t="s">
        <v>6</v>
      </c>
      <c r="B664" t="s">
        <v>278</v>
      </c>
      <c r="C664" s="3" t="s">
        <v>279</v>
      </c>
      <c r="D664" s="7">
        <v>153</v>
      </c>
      <c r="E664" s="2" t="s">
        <v>9</v>
      </c>
      <c r="F664" s="10">
        <v>3.9</v>
      </c>
    </row>
    <row r="665" spans="1:6">
      <c r="A665" t="s">
        <v>6</v>
      </c>
      <c r="B665" t="s">
        <v>278</v>
      </c>
      <c r="C665" s="1" t="s">
        <v>280</v>
      </c>
      <c r="D665" s="7">
        <v>5920</v>
      </c>
      <c r="E665" t="s">
        <v>9</v>
      </c>
      <c r="F665" s="9">
        <v>3.02</v>
      </c>
    </row>
    <row r="666" spans="1:6">
      <c r="A666" t="s">
        <v>6</v>
      </c>
      <c r="B666" t="s">
        <v>278</v>
      </c>
      <c r="C666" s="1" t="s">
        <v>281</v>
      </c>
      <c r="D666" s="7">
        <v>3282</v>
      </c>
      <c r="E666" t="s">
        <v>9</v>
      </c>
      <c r="F666" s="9">
        <v>3.6</v>
      </c>
    </row>
    <row r="667" spans="1:6">
      <c r="A667" t="s">
        <v>6</v>
      </c>
      <c r="B667" t="s">
        <v>278</v>
      </c>
      <c r="C667" s="1" t="s">
        <v>282</v>
      </c>
      <c r="D667" s="7">
        <v>3374</v>
      </c>
      <c r="E667" t="s">
        <v>9</v>
      </c>
      <c r="F667" s="9">
        <v>3.4</v>
      </c>
    </row>
    <row r="668" spans="1:6">
      <c r="A668" t="s">
        <v>6</v>
      </c>
      <c r="B668" t="s">
        <v>278</v>
      </c>
      <c r="C668" s="1" t="s">
        <v>283</v>
      </c>
      <c r="D668" s="7">
        <v>3418</v>
      </c>
      <c r="E668" t="s">
        <v>9</v>
      </c>
      <c r="F668" s="9">
        <v>3.4</v>
      </c>
    </row>
    <row r="669" spans="1:6">
      <c r="A669" t="s">
        <v>6</v>
      </c>
      <c r="B669" t="s">
        <v>278</v>
      </c>
      <c r="C669" s="1" t="s">
        <v>284</v>
      </c>
      <c r="D669" s="7">
        <v>3450</v>
      </c>
      <c r="E669" t="s">
        <v>9</v>
      </c>
      <c r="F669" s="9">
        <v>3.6</v>
      </c>
    </row>
    <row r="670" spans="1:6">
      <c r="A670" t="s">
        <v>6</v>
      </c>
      <c r="B670" t="s">
        <v>278</v>
      </c>
      <c r="C670" s="1" t="s">
        <v>285</v>
      </c>
      <c r="D670" s="7">
        <v>3454</v>
      </c>
      <c r="E670" t="s">
        <v>9</v>
      </c>
      <c r="F670" s="9">
        <v>3.6</v>
      </c>
    </row>
    <row r="671" spans="1:6">
      <c r="A671" t="s">
        <v>6</v>
      </c>
      <c r="B671" t="s">
        <v>278</v>
      </c>
      <c r="C671" s="1" t="s">
        <v>286</v>
      </c>
      <c r="D671" s="7">
        <v>3462</v>
      </c>
      <c r="E671" t="s">
        <v>9</v>
      </c>
      <c r="F671" s="9">
        <v>3.2</v>
      </c>
    </row>
    <row r="672" spans="1:6">
      <c r="A672" t="s">
        <v>6</v>
      </c>
      <c r="B672" t="s">
        <v>278</v>
      </c>
      <c r="C672" s="1" t="s">
        <v>287</v>
      </c>
      <c r="D672" s="7">
        <v>3502</v>
      </c>
      <c r="E672" t="s">
        <v>9</v>
      </c>
      <c r="F672" s="9">
        <v>3.6</v>
      </c>
    </row>
    <row r="673" spans="1:6">
      <c r="A673" t="s">
        <v>6</v>
      </c>
      <c r="B673" t="s">
        <v>278</v>
      </c>
      <c r="C673" s="1" t="s">
        <v>288</v>
      </c>
      <c r="D673" s="7">
        <v>3570</v>
      </c>
      <c r="E673" t="s">
        <v>9</v>
      </c>
      <c r="F673" s="9">
        <v>3.5</v>
      </c>
    </row>
    <row r="674" spans="1:6">
      <c r="A674" t="s">
        <v>6</v>
      </c>
      <c r="B674" t="s">
        <v>278</v>
      </c>
      <c r="C674" s="1" t="s">
        <v>289</v>
      </c>
      <c r="D674" s="7">
        <v>3578</v>
      </c>
      <c r="E674" t="s">
        <v>9</v>
      </c>
      <c r="F674" s="9">
        <v>3.7</v>
      </c>
    </row>
    <row r="675" spans="1:6">
      <c r="A675" t="s">
        <v>6</v>
      </c>
      <c r="B675" t="s">
        <v>278</v>
      </c>
      <c r="C675" s="1" t="s">
        <v>290</v>
      </c>
      <c r="D675" s="7">
        <v>3594</v>
      </c>
      <c r="E675" t="s">
        <v>9</v>
      </c>
      <c r="F675" s="9">
        <v>3.7</v>
      </c>
    </row>
    <row r="676" spans="1:6">
      <c r="A676" t="s">
        <v>6</v>
      </c>
      <c r="B676" t="s">
        <v>278</v>
      </c>
      <c r="C676" s="1" t="s">
        <v>291</v>
      </c>
      <c r="D676" s="7">
        <v>3598</v>
      </c>
      <c r="E676" t="s">
        <v>9</v>
      </c>
      <c r="F676" s="9">
        <v>3.6</v>
      </c>
    </row>
    <row r="677" spans="1:6">
      <c r="A677" t="s">
        <v>6</v>
      </c>
      <c r="B677" t="s">
        <v>278</v>
      </c>
      <c r="C677" s="3" t="s">
        <v>279</v>
      </c>
      <c r="D677" s="7">
        <v>151</v>
      </c>
      <c r="E677" s="2" t="s">
        <v>10</v>
      </c>
      <c r="F677" s="10">
        <v>13.4</v>
      </c>
    </row>
    <row r="678" spans="1:6">
      <c r="A678" t="s">
        <v>6</v>
      </c>
      <c r="B678" t="s">
        <v>278</v>
      </c>
      <c r="C678" s="1" t="s">
        <v>281</v>
      </c>
      <c r="D678" s="7">
        <v>3283</v>
      </c>
      <c r="E678" t="s">
        <v>10</v>
      </c>
      <c r="F678" s="9">
        <v>10.4</v>
      </c>
    </row>
    <row r="679" spans="1:6">
      <c r="A679" t="s">
        <v>6</v>
      </c>
      <c r="B679" t="s">
        <v>278</v>
      </c>
      <c r="C679" s="1" t="s">
        <v>282</v>
      </c>
      <c r="D679" s="7">
        <v>3375</v>
      </c>
      <c r="E679" t="s">
        <v>10</v>
      </c>
      <c r="F679" s="9">
        <v>9.1999999999999993</v>
      </c>
    </row>
    <row r="680" spans="1:6">
      <c r="A680" t="s">
        <v>6</v>
      </c>
      <c r="B680" t="s">
        <v>278</v>
      </c>
      <c r="C680" s="1" t="s">
        <v>283</v>
      </c>
      <c r="D680" s="7">
        <v>3419</v>
      </c>
      <c r="E680" t="s">
        <v>10</v>
      </c>
      <c r="F680" s="9">
        <v>9.9</v>
      </c>
    </row>
    <row r="681" spans="1:6">
      <c r="A681" t="s">
        <v>6</v>
      </c>
      <c r="B681" t="s">
        <v>278</v>
      </c>
      <c r="C681" s="1" t="s">
        <v>284</v>
      </c>
      <c r="D681" s="7">
        <v>3451</v>
      </c>
      <c r="E681" t="s">
        <v>10</v>
      </c>
      <c r="F681" s="9">
        <v>9.9</v>
      </c>
    </row>
    <row r="682" spans="1:6">
      <c r="A682" t="s">
        <v>6</v>
      </c>
      <c r="B682" t="s">
        <v>278</v>
      </c>
      <c r="C682" s="1" t="s">
        <v>285</v>
      </c>
      <c r="D682" s="7">
        <v>3455</v>
      </c>
      <c r="E682" t="s">
        <v>10</v>
      </c>
      <c r="F682" s="9">
        <v>10.3</v>
      </c>
    </row>
    <row r="683" spans="1:6">
      <c r="A683" t="s">
        <v>6</v>
      </c>
      <c r="B683" t="s">
        <v>278</v>
      </c>
      <c r="C683" s="1" t="s">
        <v>286</v>
      </c>
      <c r="D683" s="7">
        <v>3463</v>
      </c>
      <c r="E683" t="s">
        <v>10</v>
      </c>
      <c r="F683" s="9">
        <v>10.3</v>
      </c>
    </row>
    <row r="684" spans="1:6">
      <c r="A684" t="s">
        <v>6</v>
      </c>
      <c r="B684" t="s">
        <v>278</v>
      </c>
      <c r="C684" s="1" t="s">
        <v>287</v>
      </c>
      <c r="D684" s="7">
        <v>3503</v>
      </c>
      <c r="E684" t="s">
        <v>10</v>
      </c>
      <c r="F684" s="9">
        <v>11</v>
      </c>
    </row>
    <row r="685" spans="1:6">
      <c r="A685" t="s">
        <v>6</v>
      </c>
      <c r="B685" t="s">
        <v>278</v>
      </c>
      <c r="C685" s="1" t="s">
        <v>288</v>
      </c>
      <c r="D685" s="7">
        <v>3571</v>
      </c>
      <c r="E685" t="s">
        <v>10</v>
      </c>
      <c r="F685" s="9">
        <v>11.8</v>
      </c>
    </row>
    <row r="686" spans="1:6">
      <c r="A686" t="s">
        <v>6</v>
      </c>
      <c r="B686" t="s">
        <v>278</v>
      </c>
      <c r="C686" s="1" t="s">
        <v>289</v>
      </c>
      <c r="D686" s="7">
        <v>3579</v>
      </c>
      <c r="E686" t="s">
        <v>10</v>
      </c>
      <c r="F686" s="9">
        <v>10.1</v>
      </c>
    </row>
    <row r="687" spans="1:6">
      <c r="A687" t="s">
        <v>6</v>
      </c>
      <c r="B687" t="s">
        <v>278</v>
      </c>
      <c r="C687" s="1" t="s">
        <v>290</v>
      </c>
      <c r="D687" s="7">
        <v>3595</v>
      </c>
      <c r="E687" t="s">
        <v>10</v>
      </c>
      <c r="F687" s="9">
        <v>11.2</v>
      </c>
    </row>
    <row r="688" spans="1:6">
      <c r="A688" t="s">
        <v>6</v>
      </c>
      <c r="B688" t="s">
        <v>278</v>
      </c>
      <c r="C688" s="1" t="s">
        <v>291</v>
      </c>
      <c r="D688" s="7">
        <v>3599</v>
      </c>
      <c r="E688" t="s">
        <v>10</v>
      </c>
      <c r="F688" s="9">
        <v>10.6</v>
      </c>
    </row>
    <row r="689" spans="1:6">
      <c r="A689" t="s">
        <v>6</v>
      </c>
      <c r="B689" t="s">
        <v>278</v>
      </c>
      <c r="C689" s="3" t="s">
        <v>279</v>
      </c>
      <c r="D689" s="7">
        <v>152</v>
      </c>
      <c r="E689" s="2" t="s">
        <v>11</v>
      </c>
      <c r="F689" s="10">
        <v>10</v>
      </c>
    </row>
    <row r="690" spans="1:6">
      <c r="A690" t="s">
        <v>6</v>
      </c>
      <c r="B690" t="s">
        <v>278</v>
      </c>
      <c r="C690" s="1" t="s">
        <v>280</v>
      </c>
      <c r="D690" s="7">
        <v>5921</v>
      </c>
      <c r="E690" t="s">
        <v>11</v>
      </c>
      <c r="F690" s="9">
        <v>8.31</v>
      </c>
    </row>
    <row r="691" spans="1:6">
      <c r="A691" t="s">
        <v>6</v>
      </c>
      <c r="B691" t="s">
        <v>278</v>
      </c>
      <c r="C691" s="1" t="s">
        <v>281</v>
      </c>
      <c r="D691" s="7">
        <v>3281</v>
      </c>
      <c r="E691" t="s">
        <v>11</v>
      </c>
      <c r="F691" s="9">
        <v>9.1</v>
      </c>
    </row>
    <row r="692" spans="1:6">
      <c r="A692" t="s">
        <v>6</v>
      </c>
      <c r="B692" t="s">
        <v>278</v>
      </c>
      <c r="C692" s="1" t="s">
        <v>282</v>
      </c>
      <c r="D692" s="7">
        <v>3373</v>
      </c>
      <c r="E692" t="s">
        <v>11</v>
      </c>
      <c r="F692" s="9">
        <v>9.4</v>
      </c>
    </row>
    <row r="693" spans="1:6">
      <c r="A693" t="s">
        <v>6</v>
      </c>
      <c r="B693" t="s">
        <v>278</v>
      </c>
      <c r="C693" s="1" t="s">
        <v>283</v>
      </c>
      <c r="D693" s="7">
        <v>3417</v>
      </c>
      <c r="E693" t="s">
        <v>11</v>
      </c>
      <c r="F693" s="9">
        <v>9.1999999999999993</v>
      </c>
    </row>
    <row r="694" spans="1:6">
      <c r="A694" t="s">
        <v>6</v>
      </c>
      <c r="B694" t="s">
        <v>278</v>
      </c>
      <c r="C694" s="1" t="s">
        <v>284</v>
      </c>
      <c r="D694" s="7">
        <v>3449</v>
      </c>
      <c r="E694" t="s">
        <v>11</v>
      </c>
      <c r="F694" s="9">
        <v>9.5</v>
      </c>
    </row>
    <row r="695" spans="1:6">
      <c r="A695" t="s">
        <v>6</v>
      </c>
      <c r="B695" t="s">
        <v>278</v>
      </c>
      <c r="C695" s="1" t="s">
        <v>285</v>
      </c>
      <c r="D695" s="7">
        <v>3453</v>
      </c>
      <c r="E695" t="s">
        <v>11</v>
      </c>
      <c r="F695" s="9">
        <v>9.1</v>
      </c>
    </row>
    <row r="696" spans="1:6">
      <c r="A696" t="s">
        <v>6</v>
      </c>
      <c r="B696" t="s">
        <v>278</v>
      </c>
      <c r="C696" s="1" t="s">
        <v>286</v>
      </c>
      <c r="D696" s="7">
        <v>3461</v>
      </c>
      <c r="E696" t="s">
        <v>11</v>
      </c>
      <c r="F696" s="9">
        <v>9.8000000000000007</v>
      </c>
    </row>
    <row r="697" spans="1:6">
      <c r="A697" t="s">
        <v>6</v>
      </c>
      <c r="B697" t="s">
        <v>278</v>
      </c>
      <c r="C697" s="1" t="s">
        <v>287</v>
      </c>
      <c r="D697" s="7">
        <v>3501</v>
      </c>
      <c r="E697" t="s">
        <v>11</v>
      </c>
      <c r="F697" s="9">
        <v>9.6</v>
      </c>
    </row>
    <row r="698" spans="1:6">
      <c r="A698" t="s">
        <v>6</v>
      </c>
      <c r="B698" t="s">
        <v>278</v>
      </c>
      <c r="C698" s="1" t="s">
        <v>288</v>
      </c>
      <c r="D698" s="7">
        <v>3569</v>
      </c>
      <c r="E698" t="s">
        <v>11</v>
      </c>
      <c r="F698" s="9">
        <v>9.8000000000000007</v>
      </c>
    </row>
    <row r="699" spans="1:6">
      <c r="A699" t="s">
        <v>6</v>
      </c>
      <c r="B699" t="s">
        <v>278</v>
      </c>
      <c r="C699" s="1" t="s">
        <v>289</v>
      </c>
      <c r="D699" s="7">
        <v>3577</v>
      </c>
      <c r="E699" t="s">
        <v>11</v>
      </c>
      <c r="F699" s="9">
        <v>10.1</v>
      </c>
    </row>
    <row r="700" spans="1:6">
      <c r="A700" t="s">
        <v>6</v>
      </c>
      <c r="B700" t="s">
        <v>278</v>
      </c>
      <c r="C700" s="1" t="s">
        <v>290</v>
      </c>
      <c r="D700" s="7">
        <v>3593</v>
      </c>
      <c r="E700" t="s">
        <v>11</v>
      </c>
      <c r="F700" s="9">
        <v>9.5</v>
      </c>
    </row>
    <row r="701" spans="1:6">
      <c r="A701" t="s">
        <v>6</v>
      </c>
      <c r="B701" t="s">
        <v>278</v>
      </c>
      <c r="C701" s="1" t="s">
        <v>291</v>
      </c>
      <c r="D701" s="7">
        <v>3597</v>
      </c>
      <c r="E701" t="s">
        <v>11</v>
      </c>
      <c r="F701" s="9">
        <v>9.6999999999999993</v>
      </c>
    </row>
    <row r="702" spans="1:6">
      <c r="A702" t="s">
        <v>6</v>
      </c>
      <c r="B702" t="s">
        <v>278</v>
      </c>
      <c r="C702" s="1" t="s">
        <v>280</v>
      </c>
      <c r="D702" s="7">
        <v>5922</v>
      </c>
      <c r="E702" t="s">
        <v>12</v>
      </c>
      <c r="F702" s="9">
        <v>2.4500000000000002</v>
      </c>
    </row>
    <row r="703" spans="1:6">
      <c r="A703" t="s">
        <v>6</v>
      </c>
      <c r="B703" t="s">
        <v>292</v>
      </c>
      <c r="C703" s="1" t="s">
        <v>293</v>
      </c>
      <c r="D703" s="7">
        <v>6179</v>
      </c>
      <c r="E703" t="s">
        <v>9</v>
      </c>
      <c r="F703" s="9">
        <v>2.73</v>
      </c>
    </row>
    <row r="704" spans="1:6">
      <c r="A704" t="s">
        <v>6</v>
      </c>
      <c r="B704" t="s">
        <v>292</v>
      </c>
      <c r="C704" s="1" t="s">
        <v>294</v>
      </c>
      <c r="D704" s="7">
        <v>6174</v>
      </c>
      <c r="E704" t="s">
        <v>9</v>
      </c>
      <c r="F704" s="9">
        <v>2.99</v>
      </c>
    </row>
    <row r="705" spans="1:6">
      <c r="A705" t="s">
        <v>6</v>
      </c>
      <c r="B705" t="s">
        <v>292</v>
      </c>
      <c r="C705" s="1" t="s">
        <v>295</v>
      </c>
      <c r="D705" s="7">
        <v>3026</v>
      </c>
      <c r="E705" t="s">
        <v>9</v>
      </c>
      <c r="F705" s="9">
        <v>3.5</v>
      </c>
    </row>
    <row r="706" spans="1:6">
      <c r="A706" t="s">
        <v>6</v>
      </c>
      <c r="B706" t="s">
        <v>292</v>
      </c>
      <c r="C706" s="1" t="s">
        <v>296</v>
      </c>
      <c r="D706" s="7">
        <v>3070</v>
      </c>
      <c r="E706" t="s">
        <v>9</v>
      </c>
      <c r="F706" s="9">
        <v>3.2</v>
      </c>
    </row>
    <row r="707" spans="1:6">
      <c r="A707" t="s">
        <v>6</v>
      </c>
      <c r="B707" t="s">
        <v>292</v>
      </c>
      <c r="C707" s="1" t="s">
        <v>297</v>
      </c>
      <c r="D707" s="7">
        <v>4142</v>
      </c>
      <c r="E707" t="s">
        <v>9</v>
      </c>
      <c r="F707" s="9">
        <v>3.5</v>
      </c>
    </row>
    <row r="708" spans="1:6">
      <c r="A708" t="s">
        <v>6</v>
      </c>
      <c r="B708" t="s">
        <v>292</v>
      </c>
      <c r="C708" s="1" t="s">
        <v>293</v>
      </c>
      <c r="D708" s="7">
        <v>6182</v>
      </c>
      <c r="E708" t="s">
        <v>10</v>
      </c>
      <c r="F708" s="9">
        <v>10.6</v>
      </c>
    </row>
    <row r="709" spans="1:6">
      <c r="A709" t="s">
        <v>6</v>
      </c>
      <c r="B709" t="s">
        <v>292</v>
      </c>
      <c r="C709" s="1" t="s">
        <v>294</v>
      </c>
      <c r="D709" s="7">
        <v>6177</v>
      </c>
      <c r="E709" t="s">
        <v>10</v>
      </c>
      <c r="F709" s="9">
        <v>11.14</v>
      </c>
    </row>
    <row r="710" spans="1:6">
      <c r="A710" t="s">
        <v>6</v>
      </c>
      <c r="B710" t="s">
        <v>292</v>
      </c>
      <c r="C710" s="1" t="s">
        <v>295</v>
      </c>
      <c r="D710" s="7">
        <v>3027</v>
      </c>
      <c r="E710" t="s">
        <v>10</v>
      </c>
      <c r="F710" s="9">
        <v>10.3</v>
      </c>
    </row>
    <row r="711" spans="1:6">
      <c r="A711" t="s">
        <v>6</v>
      </c>
      <c r="B711" t="s">
        <v>292</v>
      </c>
      <c r="C711" s="1" t="s">
        <v>296</v>
      </c>
      <c r="D711" s="7">
        <v>3071</v>
      </c>
      <c r="E711" t="s">
        <v>10</v>
      </c>
      <c r="F711" s="9">
        <v>9.8000000000000007</v>
      </c>
    </row>
    <row r="712" spans="1:6">
      <c r="A712" t="s">
        <v>6</v>
      </c>
      <c r="B712" t="s">
        <v>292</v>
      </c>
      <c r="C712" s="1" t="s">
        <v>297</v>
      </c>
      <c r="D712" s="7">
        <v>4143</v>
      </c>
      <c r="E712" t="s">
        <v>10</v>
      </c>
      <c r="F712" s="9">
        <v>7.4</v>
      </c>
    </row>
    <row r="713" spans="1:6">
      <c r="A713" t="s">
        <v>6</v>
      </c>
      <c r="B713" t="s">
        <v>292</v>
      </c>
      <c r="C713" s="1" t="s">
        <v>293</v>
      </c>
      <c r="D713" s="7">
        <v>6180</v>
      </c>
      <c r="E713" t="s">
        <v>11</v>
      </c>
      <c r="F713" s="9">
        <v>9.16</v>
      </c>
    </row>
    <row r="714" spans="1:6">
      <c r="A714" t="s">
        <v>6</v>
      </c>
      <c r="B714" t="s">
        <v>292</v>
      </c>
      <c r="C714" s="1" t="s">
        <v>294</v>
      </c>
      <c r="D714" s="7">
        <v>6175</v>
      </c>
      <c r="E714" t="s">
        <v>11</v>
      </c>
      <c r="F714" s="9">
        <v>9.07</v>
      </c>
    </row>
    <row r="715" spans="1:6">
      <c r="A715" t="s">
        <v>6</v>
      </c>
      <c r="B715" t="s">
        <v>292</v>
      </c>
      <c r="C715" s="1" t="s">
        <v>295</v>
      </c>
      <c r="D715" s="7">
        <v>3025</v>
      </c>
      <c r="E715" t="s">
        <v>11</v>
      </c>
      <c r="F715" s="9">
        <v>9</v>
      </c>
    </row>
    <row r="716" spans="1:6">
      <c r="A716" t="s">
        <v>6</v>
      </c>
      <c r="B716" t="s">
        <v>292</v>
      </c>
      <c r="C716" s="1" t="s">
        <v>296</v>
      </c>
      <c r="D716" s="7">
        <v>3069</v>
      </c>
      <c r="E716" t="s">
        <v>11</v>
      </c>
      <c r="F716" s="9">
        <v>7.8</v>
      </c>
    </row>
    <row r="717" spans="1:6">
      <c r="A717" t="s">
        <v>6</v>
      </c>
      <c r="B717" t="s">
        <v>292</v>
      </c>
      <c r="C717" s="1" t="s">
        <v>297</v>
      </c>
      <c r="D717" s="7">
        <v>4141</v>
      </c>
      <c r="E717" t="s">
        <v>11</v>
      </c>
      <c r="F717" s="9">
        <v>8.5</v>
      </c>
    </row>
    <row r="718" spans="1:6">
      <c r="A718" t="s">
        <v>6</v>
      </c>
      <c r="B718" t="s">
        <v>292</v>
      </c>
      <c r="C718" s="1" t="s">
        <v>293</v>
      </c>
      <c r="D718" s="7">
        <v>6181</v>
      </c>
      <c r="E718" t="s">
        <v>12</v>
      </c>
      <c r="F718" s="9">
        <v>2.74</v>
      </c>
    </row>
    <row r="719" spans="1:6">
      <c r="A719" t="s">
        <v>6</v>
      </c>
      <c r="B719" t="s">
        <v>292</v>
      </c>
      <c r="C719" s="1" t="s">
        <v>294</v>
      </c>
      <c r="D719" s="7">
        <v>6176</v>
      </c>
      <c r="E719" t="s">
        <v>12</v>
      </c>
      <c r="F719" s="9">
        <v>2.77</v>
      </c>
    </row>
    <row r="720" spans="1:6">
      <c r="A720" t="s">
        <v>6</v>
      </c>
      <c r="B720" t="s">
        <v>298</v>
      </c>
      <c r="C720" s="1" t="s">
        <v>299</v>
      </c>
      <c r="D720" s="7">
        <v>5742</v>
      </c>
      <c r="E720" t="s">
        <v>9</v>
      </c>
      <c r="F720" s="9">
        <v>3.18</v>
      </c>
    </row>
    <row r="721" spans="1:6">
      <c r="A721" t="s">
        <v>6</v>
      </c>
      <c r="B721" t="s">
        <v>298</v>
      </c>
      <c r="C721" s="1" t="s">
        <v>300</v>
      </c>
      <c r="D721" s="7">
        <v>4054</v>
      </c>
      <c r="E721" t="s">
        <v>9</v>
      </c>
      <c r="F721" s="9">
        <v>3.6</v>
      </c>
    </row>
    <row r="722" spans="1:6">
      <c r="A722" t="s">
        <v>6</v>
      </c>
      <c r="B722" t="s">
        <v>298</v>
      </c>
      <c r="C722" s="1" t="s">
        <v>300</v>
      </c>
      <c r="D722" s="7">
        <v>4055</v>
      </c>
      <c r="E722" t="s">
        <v>10</v>
      </c>
      <c r="F722" s="9">
        <v>6.7</v>
      </c>
    </row>
    <row r="723" spans="1:6">
      <c r="A723" t="s">
        <v>6</v>
      </c>
      <c r="B723" t="s">
        <v>298</v>
      </c>
      <c r="C723" s="1" t="s">
        <v>299</v>
      </c>
      <c r="D723" s="7">
        <v>5743</v>
      </c>
      <c r="E723" t="s">
        <v>11</v>
      </c>
      <c r="F723" s="9">
        <v>9.4</v>
      </c>
    </row>
    <row r="724" spans="1:6">
      <c r="A724" t="s">
        <v>6</v>
      </c>
      <c r="B724" t="s">
        <v>298</v>
      </c>
      <c r="C724" s="1" t="s">
        <v>300</v>
      </c>
      <c r="D724" s="7">
        <v>4053</v>
      </c>
      <c r="E724" t="s">
        <v>11</v>
      </c>
      <c r="F724" s="9">
        <v>8.6999999999999993</v>
      </c>
    </row>
    <row r="725" spans="1:6">
      <c r="A725" t="s">
        <v>6</v>
      </c>
      <c r="B725" t="s">
        <v>298</v>
      </c>
      <c r="C725" s="1" t="s">
        <v>299</v>
      </c>
      <c r="D725" s="7">
        <v>5744</v>
      </c>
      <c r="E725" t="s">
        <v>12</v>
      </c>
      <c r="F725" s="9">
        <v>2.72</v>
      </c>
    </row>
    <row r="726" spans="1:6">
      <c r="A726" t="s">
        <v>6</v>
      </c>
      <c r="B726" t="s">
        <v>301</v>
      </c>
      <c r="C726" s="3" t="s">
        <v>302</v>
      </c>
      <c r="D726" s="7">
        <v>293</v>
      </c>
      <c r="E726" s="2" t="s">
        <v>9</v>
      </c>
      <c r="F726" s="10">
        <v>3.1</v>
      </c>
    </row>
    <row r="727" spans="1:6">
      <c r="A727" t="s">
        <v>6</v>
      </c>
      <c r="B727" t="s">
        <v>301</v>
      </c>
      <c r="C727" s="3" t="s">
        <v>303</v>
      </c>
      <c r="D727" s="7">
        <v>345</v>
      </c>
      <c r="E727" s="2" t="s">
        <v>9</v>
      </c>
      <c r="F727" s="10">
        <v>3.6</v>
      </c>
    </row>
    <row r="728" spans="1:6">
      <c r="A728" t="s">
        <v>6</v>
      </c>
      <c r="B728" t="s">
        <v>301</v>
      </c>
      <c r="C728" s="3" t="s">
        <v>304</v>
      </c>
      <c r="D728" s="7">
        <v>349</v>
      </c>
      <c r="E728" s="2" t="s">
        <v>9</v>
      </c>
      <c r="F728" s="10">
        <v>3.6</v>
      </c>
    </row>
    <row r="729" spans="1:6">
      <c r="A729" t="s">
        <v>6</v>
      </c>
      <c r="B729" s="6" t="s">
        <v>301</v>
      </c>
      <c r="C729" s="3" t="s">
        <v>305</v>
      </c>
      <c r="D729" s="7">
        <v>165</v>
      </c>
      <c r="E729" s="2" t="s">
        <v>9</v>
      </c>
      <c r="F729" s="10">
        <v>3.6</v>
      </c>
    </row>
    <row r="730" spans="1:6">
      <c r="A730" t="s">
        <v>6</v>
      </c>
      <c r="B730" s="6" t="s">
        <v>301</v>
      </c>
      <c r="C730" s="1" t="s">
        <v>305</v>
      </c>
      <c r="D730" s="7">
        <v>4202</v>
      </c>
      <c r="E730" t="s">
        <v>9</v>
      </c>
      <c r="F730" s="9">
        <v>3.3</v>
      </c>
    </row>
    <row r="731" spans="1:6">
      <c r="A731" t="s">
        <v>6</v>
      </c>
      <c r="B731" t="s">
        <v>301</v>
      </c>
      <c r="C731" s="1" t="s">
        <v>306</v>
      </c>
      <c r="D731" s="7">
        <v>4070</v>
      </c>
      <c r="E731" t="s">
        <v>9</v>
      </c>
      <c r="F731" s="9">
        <v>3.3</v>
      </c>
    </row>
    <row r="732" spans="1:6">
      <c r="A732" t="s">
        <v>6</v>
      </c>
      <c r="B732" t="s">
        <v>301</v>
      </c>
      <c r="C732" s="1" t="s">
        <v>307</v>
      </c>
      <c r="D732" s="7">
        <v>4074</v>
      </c>
      <c r="E732" t="s">
        <v>9</v>
      </c>
      <c r="F732" s="9">
        <v>3.3</v>
      </c>
    </row>
    <row r="733" spans="1:6">
      <c r="A733" t="s">
        <v>6</v>
      </c>
      <c r="B733" s="6" t="s">
        <v>301</v>
      </c>
      <c r="C733" s="3" t="s">
        <v>308</v>
      </c>
      <c r="D733" s="7">
        <v>421</v>
      </c>
      <c r="E733" s="2" t="s">
        <v>9</v>
      </c>
      <c r="F733" s="10">
        <v>3.4</v>
      </c>
    </row>
    <row r="734" spans="1:6">
      <c r="A734" t="s">
        <v>6</v>
      </c>
      <c r="B734" s="6" t="s">
        <v>301</v>
      </c>
      <c r="C734" s="1" t="s">
        <v>308</v>
      </c>
      <c r="D734" s="7">
        <v>4046</v>
      </c>
      <c r="E734" t="s">
        <v>9</v>
      </c>
      <c r="F734" s="9">
        <v>3.1</v>
      </c>
    </row>
    <row r="735" spans="1:6">
      <c r="A735" t="s">
        <v>6</v>
      </c>
      <c r="B735" s="6" t="s">
        <v>301</v>
      </c>
      <c r="C735" s="5" t="s">
        <v>309</v>
      </c>
      <c r="D735" s="7">
        <v>389</v>
      </c>
      <c r="E735" s="2" t="s">
        <v>9</v>
      </c>
      <c r="F735" s="10">
        <v>3.3</v>
      </c>
    </row>
    <row r="736" spans="1:6">
      <c r="A736" t="s">
        <v>6</v>
      </c>
      <c r="B736" s="6" t="s">
        <v>301</v>
      </c>
      <c r="C736" s="5" t="s">
        <v>310</v>
      </c>
      <c r="D736" s="7">
        <v>393</v>
      </c>
      <c r="E736" s="2" t="s">
        <v>9</v>
      </c>
      <c r="F736" s="10">
        <v>3.1</v>
      </c>
    </row>
    <row r="737" spans="1:6">
      <c r="A737" t="s">
        <v>6</v>
      </c>
      <c r="B737" t="s">
        <v>301</v>
      </c>
      <c r="C737" s="1" t="s">
        <v>310</v>
      </c>
      <c r="D737" s="7">
        <v>4058</v>
      </c>
      <c r="E737" t="s">
        <v>9</v>
      </c>
      <c r="F737" s="9">
        <v>3.3</v>
      </c>
    </row>
    <row r="738" spans="1:6">
      <c r="A738" t="s">
        <v>6</v>
      </c>
      <c r="B738" t="s">
        <v>301</v>
      </c>
      <c r="C738" s="1" t="s">
        <v>311</v>
      </c>
      <c r="D738" s="7">
        <v>5324</v>
      </c>
      <c r="E738" t="s">
        <v>9</v>
      </c>
      <c r="F738" s="9">
        <v>3.31</v>
      </c>
    </row>
    <row r="739" spans="1:6">
      <c r="A739" t="s">
        <v>6</v>
      </c>
      <c r="B739" t="s">
        <v>301</v>
      </c>
      <c r="C739" s="1" t="s">
        <v>312</v>
      </c>
      <c r="D739" s="7">
        <v>5509</v>
      </c>
      <c r="E739" t="s">
        <v>9</v>
      </c>
      <c r="F739" s="9">
        <v>2.83</v>
      </c>
    </row>
    <row r="740" spans="1:6">
      <c r="A740" t="s">
        <v>6</v>
      </c>
      <c r="B740" t="s">
        <v>301</v>
      </c>
      <c r="C740" s="1" t="s">
        <v>313</v>
      </c>
      <c r="D740" s="7">
        <v>5497</v>
      </c>
      <c r="E740" t="s">
        <v>9</v>
      </c>
      <c r="F740" s="9">
        <v>2.87</v>
      </c>
    </row>
    <row r="741" spans="1:6">
      <c r="A741" t="s">
        <v>6</v>
      </c>
      <c r="B741" t="s">
        <v>301</v>
      </c>
      <c r="C741" s="1" t="s">
        <v>314</v>
      </c>
      <c r="D741" s="7">
        <v>5501</v>
      </c>
      <c r="E741" t="s">
        <v>9</v>
      </c>
      <c r="F741" s="9">
        <v>2.98</v>
      </c>
    </row>
    <row r="742" spans="1:6">
      <c r="A742" t="s">
        <v>6</v>
      </c>
      <c r="B742" t="s">
        <v>301</v>
      </c>
      <c r="C742" s="1" t="s">
        <v>315</v>
      </c>
      <c r="D742" s="7">
        <v>5541</v>
      </c>
      <c r="E742" t="s">
        <v>9</v>
      </c>
      <c r="F742" s="9">
        <v>2.78</v>
      </c>
    </row>
    <row r="743" spans="1:6">
      <c r="A743" t="s">
        <v>6</v>
      </c>
      <c r="B743" t="s">
        <v>301</v>
      </c>
      <c r="C743" s="1" t="s">
        <v>316</v>
      </c>
      <c r="D743" s="7">
        <v>5428</v>
      </c>
      <c r="E743" t="s">
        <v>9</v>
      </c>
      <c r="F743" s="9">
        <v>2.6</v>
      </c>
    </row>
    <row r="744" spans="1:6">
      <c r="A744" t="s">
        <v>6</v>
      </c>
      <c r="B744" t="s">
        <v>301</v>
      </c>
      <c r="C744" s="1" t="s">
        <v>317</v>
      </c>
      <c r="D744" s="7">
        <v>4398</v>
      </c>
      <c r="E744" t="s">
        <v>9</v>
      </c>
      <c r="F744" s="9">
        <v>3.5</v>
      </c>
    </row>
    <row r="745" spans="1:6">
      <c r="A745" t="s">
        <v>6</v>
      </c>
      <c r="B745" t="s">
        <v>301</v>
      </c>
      <c r="C745" s="1" t="s">
        <v>318</v>
      </c>
      <c r="D745" s="7">
        <v>4406</v>
      </c>
      <c r="E745" t="s">
        <v>9</v>
      </c>
      <c r="F745" s="9">
        <v>3.6</v>
      </c>
    </row>
    <row r="746" spans="1:6">
      <c r="A746" t="s">
        <v>6</v>
      </c>
      <c r="B746" t="s">
        <v>301</v>
      </c>
      <c r="C746" s="1" t="s">
        <v>319</v>
      </c>
      <c r="D746" s="7">
        <v>3142</v>
      </c>
      <c r="E746" t="s">
        <v>9</v>
      </c>
      <c r="F746" s="9">
        <v>3.5</v>
      </c>
    </row>
    <row r="747" spans="1:6">
      <c r="A747" t="s">
        <v>6</v>
      </c>
      <c r="B747" t="s">
        <v>301</v>
      </c>
      <c r="C747" s="1" t="s">
        <v>320</v>
      </c>
      <c r="D747" s="7">
        <v>3146</v>
      </c>
      <c r="E747" t="s">
        <v>9</v>
      </c>
      <c r="F747" s="9">
        <v>3.2</v>
      </c>
    </row>
    <row r="748" spans="1:6">
      <c r="A748" t="s">
        <v>6</v>
      </c>
      <c r="B748" t="s">
        <v>301</v>
      </c>
      <c r="C748" s="1" t="s">
        <v>321</v>
      </c>
      <c r="D748" s="7">
        <v>3150</v>
      </c>
      <c r="E748" t="s">
        <v>9</v>
      </c>
      <c r="F748" s="9">
        <v>3.2</v>
      </c>
    </row>
    <row r="749" spans="1:6">
      <c r="A749" t="s">
        <v>6</v>
      </c>
      <c r="B749" t="s">
        <v>301</v>
      </c>
      <c r="C749" s="1" t="s">
        <v>322</v>
      </c>
      <c r="D749" s="7">
        <v>3154</v>
      </c>
      <c r="E749" t="s">
        <v>9</v>
      </c>
      <c r="F749" s="9">
        <v>3.2</v>
      </c>
    </row>
    <row r="750" spans="1:6">
      <c r="A750" t="s">
        <v>6</v>
      </c>
      <c r="B750" t="s">
        <v>301</v>
      </c>
      <c r="C750" s="1" t="s">
        <v>323</v>
      </c>
      <c r="D750" s="7">
        <v>3158</v>
      </c>
      <c r="E750" t="s">
        <v>9</v>
      </c>
      <c r="F750" s="9">
        <v>3.2</v>
      </c>
    </row>
    <row r="751" spans="1:6">
      <c r="A751" t="s">
        <v>6</v>
      </c>
      <c r="B751" t="s">
        <v>301</v>
      </c>
      <c r="C751" s="1" t="s">
        <v>324</v>
      </c>
      <c r="D751" s="7">
        <v>4298</v>
      </c>
      <c r="E751" t="s">
        <v>9</v>
      </c>
      <c r="F751" s="9">
        <v>3.5</v>
      </c>
    </row>
    <row r="752" spans="1:6">
      <c r="A752" t="s">
        <v>6</v>
      </c>
      <c r="B752" t="s">
        <v>301</v>
      </c>
      <c r="C752" s="1" t="s">
        <v>325</v>
      </c>
      <c r="D752" s="7">
        <v>4302</v>
      </c>
      <c r="E752" t="s">
        <v>9</v>
      </c>
      <c r="F752" s="9">
        <v>3.5</v>
      </c>
    </row>
    <row r="753" spans="1:6">
      <c r="A753" t="s">
        <v>6</v>
      </c>
      <c r="B753" t="s">
        <v>301</v>
      </c>
      <c r="C753" s="1" t="s">
        <v>326</v>
      </c>
      <c r="D753" s="7">
        <v>4410</v>
      </c>
      <c r="E753" t="s">
        <v>9</v>
      </c>
      <c r="F753" s="9">
        <v>3.3</v>
      </c>
    </row>
    <row r="754" spans="1:6">
      <c r="A754" t="s">
        <v>6</v>
      </c>
      <c r="B754" t="s">
        <v>301</v>
      </c>
      <c r="C754" s="1" t="s">
        <v>327</v>
      </c>
      <c r="D754" s="7">
        <v>4306</v>
      </c>
      <c r="E754" t="s">
        <v>9</v>
      </c>
      <c r="F754" s="9">
        <v>3.7</v>
      </c>
    </row>
    <row r="755" spans="1:6">
      <c r="A755" t="s">
        <v>6</v>
      </c>
      <c r="B755" t="s">
        <v>301</v>
      </c>
      <c r="C755" s="1" t="s">
        <v>328</v>
      </c>
      <c r="D755" s="7">
        <v>4078</v>
      </c>
      <c r="E755" t="s">
        <v>9</v>
      </c>
      <c r="F755" s="9">
        <v>2.9</v>
      </c>
    </row>
    <row r="756" spans="1:6">
      <c r="A756" t="s">
        <v>6</v>
      </c>
      <c r="B756" t="s">
        <v>301</v>
      </c>
      <c r="C756" s="1" t="s">
        <v>329</v>
      </c>
      <c r="D756" s="7">
        <v>4310</v>
      </c>
      <c r="E756" t="s">
        <v>9</v>
      </c>
      <c r="F756" s="9">
        <v>3.4</v>
      </c>
    </row>
    <row r="757" spans="1:6">
      <c r="A757" t="s">
        <v>6</v>
      </c>
      <c r="B757" t="s">
        <v>301</v>
      </c>
      <c r="C757" s="1" t="s">
        <v>330</v>
      </c>
      <c r="D757" s="7">
        <v>4314</v>
      </c>
      <c r="E757" t="s">
        <v>9</v>
      </c>
      <c r="F757" s="9">
        <v>3.5</v>
      </c>
    </row>
    <row r="758" spans="1:6">
      <c r="A758" t="s">
        <v>6</v>
      </c>
      <c r="B758" t="s">
        <v>301</v>
      </c>
      <c r="C758" s="1" t="s">
        <v>331</v>
      </c>
      <c r="D758" s="7">
        <v>4318</v>
      </c>
      <c r="E758" t="s">
        <v>9</v>
      </c>
      <c r="F758" s="9">
        <v>3.3</v>
      </c>
    </row>
    <row r="759" spans="1:6">
      <c r="A759" t="s">
        <v>6</v>
      </c>
      <c r="B759" t="s">
        <v>301</v>
      </c>
      <c r="C759" s="1" t="s">
        <v>332</v>
      </c>
      <c r="D759" s="7">
        <v>4334</v>
      </c>
      <c r="E759" t="s">
        <v>9</v>
      </c>
      <c r="F759" s="9">
        <v>3.8</v>
      </c>
    </row>
    <row r="760" spans="1:6">
      <c r="A760" t="s">
        <v>6</v>
      </c>
      <c r="B760" t="s">
        <v>301</v>
      </c>
      <c r="C760" s="1" t="s">
        <v>333</v>
      </c>
      <c r="D760" s="7">
        <v>4322</v>
      </c>
      <c r="E760" t="s">
        <v>9</v>
      </c>
      <c r="F760" s="9">
        <v>3.3</v>
      </c>
    </row>
    <row r="761" spans="1:6">
      <c r="A761" t="s">
        <v>6</v>
      </c>
      <c r="B761" t="s">
        <v>301</v>
      </c>
      <c r="C761" s="1" t="s">
        <v>334</v>
      </c>
      <c r="D761" s="7">
        <v>4326</v>
      </c>
      <c r="E761" t="s">
        <v>9</v>
      </c>
      <c r="F761" s="9">
        <v>3.6</v>
      </c>
    </row>
    <row r="762" spans="1:6">
      <c r="A762" t="s">
        <v>6</v>
      </c>
      <c r="B762" t="s">
        <v>301</v>
      </c>
      <c r="C762" s="1" t="s">
        <v>335</v>
      </c>
      <c r="D762" s="7">
        <v>4330</v>
      </c>
      <c r="E762" t="s">
        <v>9</v>
      </c>
      <c r="F762" s="9">
        <v>3.5</v>
      </c>
    </row>
    <row r="763" spans="1:6">
      <c r="A763" t="s">
        <v>6</v>
      </c>
      <c r="B763" t="s">
        <v>301</v>
      </c>
      <c r="C763" s="1" t="s">
        <v>336</v>
      </c>
      <c r="D763" s="7">
        <v>4418</v>
      </c>
      <c r="E763" t="s">
        <v>9</v>
      </c>
      <c r="F763" s="9">
        <v>3.4</v>
      </c>
    </row>
    <row r="764" spans="1:6">
      <c r="A764" t="s">
        <v>6</v>
      </c>
      <c r="B764" t="s">
        <v>301</v>
      </c>
      <c r="C764" s="1" t="s">
        <v>337</v>
      </c>
      <c r="D764" s="7">
        <v>3938</v>
      </c>
      <c r="E764" t="s">
        <v>9</v>
      </c>
      <c r="F764" s="9">
        <v>3.3</v>
      </c>
    </row>
    <row r="765" spans="1:6">
      <c r="A765" t="s">
        <v>6</v>
      </c>
      <c r="B765" t="s">
        <v>301</v>
      </c>
      <c r="C765" s="1" t="s">
        <v>338</v>
      </c>
      <c r="D765" s="7">
        <v>4422</v>
      </c>
      <c r="E765" t="s">
        <v>9</v>
      </c>
      <c r="F765" s="9">
        <v>3.5</v>
      </c>
    </row>
    <row r="766" spans="1:6">
      <c r="A766" t="s">
        <v>6</v>
      </c>
      <c r="B766" t="s">
        <v>301</v>
      </c>
      <c r="C766" s="1" t="s">
        <v>339</v>
      </c>
      <c r="D766" s="7">
        <v>4426</v>
      </c>
      <c r="E766" t="s">
        <v>9</v>
      </c>
      <c r="F766" s="9">
        <v>3.3</v>
      </c>
    </row>
    <row r="767" spans="1:6">
      <c r="A767" t="s">
        <v>6</v>
      </c>
      <c r="B767" t="s">
        <v>301</v>
      </c>
      <c r="C767" s="3" t="s">
        <v>302</v>
      </c>
      <c r="D767" s="7">
        <v>291</v>
      </c>
      <c r="E767" s="2" t="s">
        <v>10</v>
      </c>
      <c r="F767" s="10">
        <v>11.5</v>
      </c>
    </row>
    <row r="768" spans="1:6">
      <c r="A768" t="s">
        <v>6</v>
      </c>
      <c r="B768" t="s">
        <v>301</v>
      </c>
      <c r="C768" s="3" t="s">
        <v>303</v>
      </c>
      <c r="D768" s="7">
        <v>343</v>
      </c>
      <c r="E768" s="2" t="s">
        <v>10</v>
      </c>
      <c r="F768" s="10">
        <v>11.3</v>
      </c>
    </row>
    <row r="769" spans="1:6">
      <c r="A769" t="s">
        <v>6</v>
      </c>
      <c r="B769" t="s">
        <v>301</v>
      </c>
      <c r="C769" s="3" t="s">
        <v>304</v>
      </c>
      <c r="D769" s="7">
        <v>347</v>
      </c>
      <c r="E769" s="2" t="s">
        <v>10</v>
      </c>
      <c r="F769" s="10">
        <v>11.5</v>
      </c>
    </row>
    <row r="770" spans="1:6">
      <c r="A770" t="s">
        <v>6</v>
      </c>
      <c r="B770" s="6" t="s">
        <v>301</v>
      </c>
      <c r="C770" s="3" t="s">
        <v>305</v>
      </c>
      <c r="D770" s="7">
        <v>163</v>
      </c>
      <c r="E770" s="2" t="s">
        <v>10</v>
      </c>
      <c r="F770" s="10">
        <v>9.6999999999999993</v>
      </c>
    </row>
    <row r="771" spans="1:6">
      <c r="A771" t="s">
        <v>6</v>
      </c>
      <c r="B771" s="6" t="s">
        <v>301</v>
      </c>
      <c r="C771" s="1" t="s">
        <v>305</v>
      </c>
      <c r="D771" s="7">
        <v>4203</v>
      </c>
      <c r="E771" t="s">
        <v>10</v>
      </c>
      <c r="F771" s="9">
        <v>5.8</v>
      </c>
    </row>
    <row r="772" spans="1:6">
      <c r="A772" t="s">
        <v>6</v>
      </c>
      <c r="B772" t="s">
        <v>301</v>
      </c>
      <c r="C772" s="1" t="s">
        <v>306</v>
      </c>
      <c r="D772" s="7">
        <v>4071</v>
      </c>
      <c r="E772" t="s">
        <v>10</v>
      </c>
      <c r="F772" s="9">
        <v>7.8</v>
      </c>
    </row>
    <row r="773" spans="1:6">
      <c r="A773" t="s">
        <v>6</v>
      </c>
      <c r="B773" t="s">
        <v>301</v>
      </c>
      <c r="C773" s="1" t="s">
        <v>307</v>
      </c>
      <c r="D773" s="7">
        <v>4075</v>
      </c>
      <c r="E773" t="s">
        <v>10</v>
      </c>
      <c r="F773" s="9">
        <v>8.8000000000000007</v>
      </c>
    </row>
    <row r="774" spans="1:6">
      <c r="A774" t="s">
        <v>6</v>
      </c>
      <c r="B774" s="6" t="s">
        <v>301</v>
      </c>
      <c r="C774" s="3" t="s">
        <v>308</v>
      </c>
      <c r="D774" s="7">
        <v>419</v>
      </c>
      <c r="E774" s="2" t="s">
        <v>10</v>
      </c>
      <c r="F774" s="10">
        <v>16.100000000000001</v>
      </c>
    </row>
    <row r="775" spans="1:6">
      <c r="A775" t="s">
        <v>6</v>
      </c>
      <c r="B775" s="6" t="s">
        <v>301</v>
      </c>
      <c r="C775" s="1" t="s">
        <v>308</v>
      </c>
      <c r="D775" s="7">
        <v>4047</v>
      </c>
      <c r="E775" t="s">
        <v>10</v>
      </c>
      <c r="F775" s="9">
        <v>7.2</v>
      </c>
    </row>
    <row r="776" spans="1:6">
      <c r="A776" t="s">
        <v>6</v>
      </c>
      <c r="B776" s="6" t="s">
        <v>301</v>
      </c>
      <c r="C776" s="5" t="s">
        <v>309</v>
      </c>
      <c r="D776" s="7">
        <v>387</v>
      </c>
      <c r="E776" s="2" t="s">
        <v>10</v>
      </c>
      <c r="F776" s="10">
        <v>10.7</v>
      </c>
    </row>
    <row r="777" spans="1:6">
      <c r="A777" t="s">
        <v>6</v>
      </c>
      <c r="B777" s="6" t="s">
        <v>301</v>
      </c>
      <c r="C777" s="5" t="s">
        <v>310</v>
      </c>
      <c r="D777" s="7">
        <v>391</v>
      </c>
      <c r="E777" s="2" t="s">
        <v>10</v>
      </c>
      <c r="F777" s="10">
        <v>10.4</v>
      </c>
    </row>
    <row r="778" spans="1:6">
      <c r="A778" t="s">
        <v>6</v>
      </c>
      <c r="B778" t="s">
        <v>301</v>
      </c>
      <c r="C778" s="1" t="s">
        <v>310</v>
      </c>
      <c r="D778" s="7">
        <v>4059</v>
      </c>
      <c r="E778" t="s">
        <v>10</v>
      </c>
      <c r="F778" s="9">
        <v>7.4</v>
      </c>
    </row>
    <row r="779" spans="1:6">
      <c r="A779" t="s">
        <v>6</v>
      </c>
      <c r="B779" t="s">
        <v>301</v>
      </c>
      <c r="C779" s="1" t="s">
        <v>317</v>
      </c>
      <c r="D779" s="7">
        <v>4399</v>
      </c>
      <c r="E779" t="s">
        <v>10</v>
      </c>
      <c r="F779" s="9">
        <v>5.8</v>
      </c>
    </row>
    <row r="780" spans="1:6">
      <c r="A780" t="s">
        <v>6</v>
      </c>
      <c r="B780" t="s">
        <v>301</v>
      </c>
      <c r="C780" s="1" t="s">
        <v>318</v>
      </c>
      <c r="D780" s="7">
        <v>4407</v>
      </c>
      <c r="E780" t="s">
        <v>10</v>
      </c>
      <c r="F780" s="9">
        <v>6.9</v>
      </c>
    </row>
    <row r="781" spans="1:6">
      <c r="A781" t="s">
        <v>6</v>
      </c>
      <c r="B781" t="s">
        <v>301</v>
      </c>
      <c r="C781" s="1" t="s">
        <v>319</v>
      </c>
      <c r="D781" s="7">
        <v>3143</v>
      </c>
      <c r="E781" t="s">
        <v>10</v>
      </c>
      <c r="F781" s="9">
        <v>10.3</v>
      </c>
    </row>
    <row r="782" spans="1:6">
      <c r="A782" t="s">
        <v>6</v>
      </c>
      <c r="B782" t="s">
        <v>301</v>
      </c>
      <c r="C782" s="1" t="s">
        <v>320</v>
      </c>
      <c r="D782" s="7">
        <v>3147</v>
      </c>
      <c r="E782" t="s">
        <v>10</v>
      </c>
      <c r="F782" s="9">
        <v>10.4</v>
      </c>
    </row>
    <row r="783" spans="1:6">
      <c r="A783" t="s">
        <v>6</v>
      </c>
      <c r="B783" t="s">
        <v>301</v>
      </c>
      <c r="C783" s="1" t="s">
        <v>321</v>
      </c>
      <c r="D783" s="7">
        <v>3151</v>
      </c>
      <c r="E783" t="s">
        <v>10</v>
      </c>
      <c r="F783" s="9">
        <v>10</v>
      </c>
    </row>
    <row r="784" spans="1:6">
      <c r="A784" t="s">
        <v>6</v>
      </c>
      <c r="B784" t="s">
        <v>301</v>
      </c>
      <c r="C784" s="1" t="s">
        <v>322</v>
      </c>
      <c r="D784" s="7">
        <v>3155</v>
      </c>
      <c r="E784" t="s">
        <v>10</v>
      </c>
      <c r="F784" s="9">
        <v>10.3</v>
      </c>
    </row>
    <row r="785" spans="1:6">
      <c r="A785" t="s">
        <v>6</v>
      </c>
      <c r="B785" t="s">
        <v>301</v>
      </c>
      <c r="C785" s="1" t="s">
        <v>323</v>
      </c>
      <c r="D785" s="7">
        <v>3159</v>
      </c>
      <c r="E785" t="s">
        <v>10</v>
      </c>
      <c r="F785" s="9">
        <v>9.6999999999999993</v>
      </c>
    </row>
    <row r="786" spans="1:6">
      <c r="A786" t="s">
        <v>6</v>
      </c>
      <c r="B786" t="s">
        <v>301</v>
      </c>
      <c r="C786" s="1" t="s">
        <v>324</v>
      </c>
      <c r="D786" s="7">
        <v>4299</v>
      </c>
      <c r="E786" t="s">
        <v>10</v>
      </c>
      <c r="F786" s="9">
        <v>6.1</v>
      </c>
    </row>
    <row r="787" spans="1:6">
      <c r="A787" t="s">
        <v>6</v>
      </c>
      <c r="B787" t="s">
        <v>301</v>
      </c>
      <c r="C787" s="1" t="s">
        <v>325</v>
      </c>
      <c r="D787" s="7">
        <v>4303</v>
      </c>
      <c r="E787" t="s">
        <v>10</v>
      </c>
      <c r="F787" s="9">
        <v>6.3</v>
      </c>
    </row>
    <row r="788" spans="1:6">
      <c r="A788" t="s">
        <v>6</v>
      </c>
      <c r="B788" t="s">
        <v>301</v>
      </c>
      <c r="C788" s="1" t="s">
        <v>326</v>
      </c>
      <c r="D788" s="7">
        <v>4411</v>
      </c>
      <c r="E788" t="s">
        <v>10</v>
      </c>
      <c r="F788" s="9">
        <v>6.6</v>
      </c>
    </row>
    <row r="789" spans="1:6">
      <c r="A789" t="s">
        <v>6</v>
      </c>
      <c r="B789" t="s">
        <v>301</v>
      </c>
      <c r="C789" s="1" t="s">
        <v>327</v>
      </c>
      <c r="D789" s="7">
        <v>4307</v>
      </c>
      <c r="E789" t="s">
        <v>10</v>
      </c>
      <c r="F789" s="9">
        <v>7.8</v>
      </c>
    </row>
    <row r="790" spans="1:6">
      <c r="A790" t="s">
        <v>6</v>
      </c>
      <c r="B790" t="s">
        <v>301</v>
      </c>
      <c r="C790" s="1" t="s">
        <v>328</v>
      </c>
      <c r="D790" s="7">
        <v>4079</v>
      </c>
      <c r="E790" t="s">
        <v>10</v>
      </c>
      <c r="F790" s="9">
        <v>7</v>
      </c>
    </row>
    <row r="791" spans="1:6">
      <c r="A791" t="s">
        <v>6</v>
      </c>
      <c r="B791" t="s">
        <v>301</v>
      </c>
      <c r="C791" s="1" t="s">
        <v>329</v>
      </c>
      <c r="D791" s="7">
        <v>4311</v>
      </c>
      <c r="E791" t="s">
        <v>10</v>
      </c>
      <c r="F791" s="9">
        <v>7.2</v>
      </c>
    </row>
    <row r="792" spans="1:6">
      <c r="A792" t="s">
        <v>6</v>
      </c>
      <c r="B792" t="s">
        <v>301</v>
      </c>
      <c r="C792" s="1" t="s">
        <v>330</v>
      </c>
      <c r="D792" s="7">
        <v>4315</v>
      </c>
      <c r="E792" t="s">
        <v>10</v>
      </c>
      <c r="F792" s="9">
        <v>6.5</v>
      </c>
    </row>
    <row r="793" spans="1:6">
      <c r="A793" t="s">
        <v>6</v>
      </c>
      <c r="B793" t="s">
        <v>301</v>
      </c>
      <c r="C793" s="1" t="s">
        <v>331</v>
      </c>
      <c r="D793" s="7">
        <v>4319</v>
      </c>
      <c r="E793" t="s">
        <v>10</v>
      </c>
      <c r="F793" s="9">
        <v>6.6</v>
      </c>
    </row>
    <row r="794" spans="1:6">
      <c r="A794" t="s">
        <v>6</v>
      </c>
      <c r="B794" t="s">
        <v>301</v>
      </c>
      <c r="C794" s="1" t="s">
        <v>332</v>
      </c>
      <c r="D794" s="7">
        <v>4335</v>
      </c>
      <c r="E794" t="s">
        <v>10</v>
      </c>
      <c r="F794" s="9">
        <v>6.5</v>
      </c>
    </row>
    <row r="795" spans="1:6">
      <c r="A795" t="s">
        <v>6</v>
      </c>
      <c r="B795" t="s">
        <v>301</v>
      </c>
      <c r="C795" s="1" t="s">
        <v>333</v>
      </c>
      <c r="D795" s="7">
        <v>4323</v>
      </c>
      <c r="E795" t="s">
        <v>10</v>
      </c>
      <c r="F795" s="9">
        <v>7.4</v>
      </c>
    </row>
    <row r="796" spans="1:6">
      <c r="A796" t="s">
        <v>6</v>
      </c>
      <c r="B796" t="s">
        <v>301</v>
      </c>
      <c r="C796" s="1" t="s">
        <v>334</v>
      </c>
      <c r="D796" s="7">
        <v>4327</v>
      </c>
      <c r="E796" t="s">
        <v>10</v>
      </c>
      <c r="F796" s="9">
        <v>7</v>
      </c>
    </row>
    <row r="797" spans="1:6">
      <c r="A797" t="s">
        <v>6</v>
      </c>
      <c r="B797" t="s">
        <v>301</v>
      </c>
      <c r="C797" s="1" t="s">
        <v>335</v>
      </c>
      <c r="D797" s="7">
        <v>4331</v>
      </c>
      <c r="E797" t="s">
        <v>10</v>
      </c>
      <c r="F797" s="9">
        <v>6.7</v>
      </c>
    </row>
    <row r="798" spans="1:6">
      <c r="A798" t="s">
        <v>6</v>
      </c>
      <c r="B798" t="s">
        <v>301</v>
      </c>
      <c r="C798" s="1" t="s">
        <v>336</v>
      </c>
      <c r="D798" s="7">
        <v>4419</v>
      </c>
      <c r="E798" t="s">
        <v>10</v>
      </c>
      <c r="F798" s="9">
        <v>5.8</v>
      </c>
    </row>
    <row r="799" spans="1:6">
      <c r="A799" t="s">
        <v>6</v>
      </c>
      <c r="B799" t="s">
        <v>301</v>
      </c>
      <c r="C799" s="1" t="s">
        <v>337</v>
      </c>
      <c r="D799" s="7">
        <v>3939</v>
      </c>
      <c r="E799" t="s">
        <v>10</v>
      </c>
      <c r="F799" s="9">
        <v>10.9</v>
      </c>
    </row>
    <row r="800" spans="1:6">
      <c r="A800" t="s">
        <v>6</v>
      </c>
      <c r="B800" t="s">
        <v>301</v>
      </c>
      <c r="C800" s="1" t="s">
        <v>338</v>
      </c>
      <c r="D800" s="7">
        <v>4423</v>
      </c>
      <c r="E800" t="s">
        <v>10</v>
      </c>
      <c r="F800" s="9">
        <v>6.5</v>
      </c>
    </row>
    <row r="801" spans="1:6">
      <c r="A801" t="s">
        <v>6</v>
      </c>
      <c r="B801" t="s">
        <v>301</v>
      </c>
      <c r="C801" s="1" t="s">
        <v>339</v>
      </c>
      <c r="D801" s="7">
        <v>4427</v>
      </c>
      <c r="E801" t="s">
        <v>10</v>
      </c>
      <c r="F801" s="9">
        <v>7.2</v>
      </c>
    </row>
    <row r="802" spans="1:6">
      <c r="A802" t="s">
        <v>6</v>
      </c>
      <c r="B802" t="s">
        <v>301</v>
      </c>
      <c r="C802" s="3" t="s">
        <v>302</v>
      </c>
      <c r="D802" s="7">
        <v>292</v>
      </c>
      <c r="E802" s="2" t="s">
        <v>11</v>
      </c>
      <c r="F802" s="10">
        <v>8.1</v>
      </c>
    </row>
    <row r="803" spans="1:6">
      <c r="A803" t="s">
        <v>6</v>
      </c>
      <c r="B803" t="s">
        <v>301</v>
      </c>
      <c r="C803" s="3" t="s">
        <v>303</v>
      </c>
      <c r="D803" s="7">
        <v>344</v>
      </c>
      <c r="E803" s="2" t="s">
        <v>11</v>
      </c>
      <c r="F803" s="10">
        <v>8.6</v>
      </c>
    </row>
    <row r="804" spans="1:6">
      <c r="A804" t="s">
        <v>6</v>
      </c>
      <c r="B804" t="s">
        <v>301</v>
      </c>
      <c r="C804" s="3" t="s">
        <v>304</v>
      </c>
      <c r="D804" s="7">
        <v>348</v>
      </c>
      <c r="E804" s="2" t="s">
        <v>11</v>
      </c>
      <c r="F804" s="10">
        <v>8.9</v>
      </c>
    </row>
    <row r="805" spans="1:6">
      <c r="A805" t="s">
        <v>6</v>
      </c>
      <c r="B805" s="6" t="s">
        <v>301</v>
      </c>
      <c r="C805" s="3" t="s">
        <v>305</v>
      </c>
      <c r="D805" s="7">
        <v>164</v>
      </c>
      <c r="E805" s="2" t="s">
        <v>11</v>
      </c>
      <c r="F805" s="10">
        <v>8</v>
      </c>
    </row>
    <row r="806" spans="1:6">
      <c r="A806" t="s">
        <v>6</v>
      </c>
      <c r="B806" s="6" t="s">
        <v>301</v>
      </c>
      <c r="C806" s="1" t="s">
        <v>305</v>
      </c>
      <c r="D806" s="7">
        <v>4201</v>
      </c>
      <c r="E806" t="s">
        <v>11</v>
      </c>
      <c r="F806" s="9">
        <v>8.1</v>
      </c>
    </row>
    <row r="807" spans="1:6">
      <c r="A807" t="s">
        <v>6</v>
      </c>
      <c r="B807" t="s">
        <v>301</v>
      </c>
      <c r="C807" s="1" t="s">
        <v>306</v>
      </c>
      <c r="D807" s="7">
        <v>4069</v>
      </c>
      <c r="E807" t="s">
        <v>11</v>
      </c>
      <c r="F807" s="9">
        <v>9.4</v>
      </c>
    </row>
    <row r="808" spans="1:6">
      <c r="A808" t="s">
        <v>6</v>
      </c>
      <c r="B808" t="s">
        <v>301</v>
      </c>
      <c r="C808" s="1" t="s">
        <v>307</v>
      </c>
      <c r="D808" s="7">
        <v>4073</v>
      </c>
      <c r="E808" t="s">
        <v>11</v>
      </c>
      <c r="F808" s="9">
        <v>8.8000000000000007</v>
      </c>
    </row>
    <row r="809" spans="1:6">
      <c r="A809" t="s">
        <v>6</v>
      </c>
      <c r="B809" s="6" t="s">
        <v>301</v>
      </c>
      <c r="C809" s="3" t="s">
        <v>308</v>
      </c>
      <c r="D809" s="7">
        <v>420</v>
      </c>
      <c r="E809" s="2" t="s">
        <v>11</v>
      </c>
      <c r="F809" s="10">
        <v>9.1999999999999993</v>
      </c>
    </row>
    <row r="810" spans="1:6">
      <c r="A810" t="s">
        <v>6</v>
      </c>
      <c r="B810" s="6" t="s">
        <v>301</v>
      </c>
      <c r="C810" s="1" t="s">
        <v>308</v>
      </c>
      <c r="D810" s="7">
        <v>4045</v>
      </c>
      <c r="E810" t="s">
        <v>11</v>
      </c>
      <c r="F810" s="9">
        <v>7.5</v>
      </c>
    </row>
    <row r="811" spans="1:6">
      <c r="A811" t="s">
        <v>6</v>
      </c>
      <c r="B811" s="6" t="s">
        <v>301</v>
      </c>
      <c r="C811" s="5" t="s">
        <v>309</v>
      </c>
      <c r="D811" s="7">
        <v>388</v>
      </c>
      <c r="E811" s="2" t="s">
        <v>11</v>
      </c>
      <c r="F811" s="10">
        <v>8.4</v>
      </c>
    </row>
    <row r="812" spans="1:6">
      <c r="A812" t="s">
        <v>6</v>
      </c>
      <c r="B812" s="6" t="s">
        <v>301</v>
      </c>
      <c r="C812" s="5" t="s">
        <v>310</v>
      </c>
      <c r="D812" s="7">
        <v>392</v>
      </c>
      <c r="E812" s="2" t="s">
        <v>11</v>
      </c>
      <c r="F812" s="10">
        <v>8.1</v>
      </c>
    </row>
    <row r="813" spans="1:6">
      <c r="A813" t="s">
        <v>6</v>
      </c>
      <c r="B813" t="s">
        <v>301</v>
      </c>
      <c r="C813" s="1" t="s">
        <v>310</v>
      </c>
      <c r="D813" s="7">
        <v>4057</v>
      </c>
      <c r="E813" t="s">
        <v>11</v>
      </c>
      <c r="F813" s="9">
        <v>8.3000000000000007</v>
      </c>
    </row>
    <row r="814" spans="1:6">
      <c r="A814" t="s">
        <v>6</v>
      </c>
      <c r="B814" t="s">
        <v>301</v>
      </c>
      <c r="C814" s="1" t="s">
        <v>311</v>
      </c>
      <c r="D814" s="7">
        <v>5325</v>
      </c>
      <c r="E814" t="s">
        <v>11</v>
      </c>
      <c r="F814" s="9">
        <v>8.9600000000000009</v>
      </c>
    </row>
    <row r="815" spans="1:6">
      <c r="A815" t="s">
        <v>6</v>
      </c>
      <c r="B815" t="s">
        <v>301</v>
      </c>
      <c r="C815" s="1" t="s">
        <v>312</v>
      </c>
      <c r="D815" s="7">
        <v>5510</v>
      </c>
      <c r="E815" t="s">
        <v>11</v>
      </c>
      <c r="F815" s="9">
        <v>8.6300000000000008</v>
      </c>
    </row>
    <row r="816" spans="1:6">
      <c r="A816" t="s">
        <v>6</v>
      </c>
      <c r="B816" t="s">
        <v>301</v>
      </c>
      <c r="C816" s="1" t="s">
        <v>313</v>
      </c>
      <c r="D816" s="7">
        <v>5498</v>
      </c>
      <c r="E816" t="s">
        <v>11</v>
      </c>
      <c r="F816" s="9">
        <v>9.18</v>
      </c>
    </row>
    <row r="817" spans="1:6">
      <c r="A817" t="s">
        <v>6</v>
      </c>
      <c r="B817" t="s">
        <v>301</v>
      </c>
      <c r="C817" s="1" t="s">
        <v>314</v>
      </c>
      <c r="D817" s="7">
        <v>5502</v>
      </c>
      <c r="E817" t="s">
        <v>11</v>
      </c>
      <c r="F817" s="9">
        <v>8.3699999999999992</v>
      </c>
    </row>
    <row r="818" spans="1:6">
      <c r="A818" t="s">
        <v>6</v>
      </c>
      <c r="B818" t="s">
        <v>301</v>
      </c>
      <c r="C818" s="1" t="s">
        <v>315</v>
      </c>
      <c r="D818" s="7">
        <v>5542</v>
      </c>
      <c r="E818" t="s">
        <v>11</v>
      </c>
      <c r="F818" s="9">
        <v>8.01</v>
      </c>
    </row>
    <row r="819" spans="1:6">
      <c r="A819" t="s">
        <v>6</v>
      </c>
      <c r="B819" t="s">
        <v>301</v>
      </c>
      <c r="C819" s="1" t="s">
        <v>316</v>
      </c>
      <c r="D819" s="7">
        <v>5429</v>
      </c>
      <c r="E819" t="s">
        <v>11</v>
      </c>
      <c r="F819" s="9">
        <v>8.4</v>
      </c>
    </row>
    <row r="820" spans="1:6">
      <c r="A820" t="s">
        <v>6</v>
      </c>
      <c r="B820" t="s">
        <v>301</v>
      </c>
      <c r="C820" s="1" t="s">
        <v>317</v>
      </c>
      <c r="D820" s="7">
        <v>4397</v>
      </c>
      <c r="E820" t="s">
        <v>11</v>
      </c>
      <c r="F820" s="9">
        <v>8.1999999999999993</v>
      </c>
    </row>
    <row r="821" spans="1:6">
      <c r="A821" t="s">
        <v>6</v>
      </c>
      <c r="B821" t="s">
        <v>301</v>
      </c>
      <c r="C821" s="1" t="s">
        <v>318</v>
      </c>
      <c r="D821" s="7">
        <v>4405</v>
      </c>
      <c r="E821" t="s">
        <v>11</v>
      </c>
      <c r="F821" s="9">
        <v>7.9</v>
      </c>
    </row>
    <row r="822" spans="1:6">
      <c r="A822" t="s">
        <v>6</v>
      </c>
      <c r="B822" t="s">
        <v>301</v>
      </c>
      <c r="C822" s="1" t="s">
        <v>319</v>
      </c>
      <c r="D822" s="7">
        <v>3141</v>
      </c>
      <c r="E822" t="s">
        <v>11</v>
      </c>
      <c r="F822" s="9">
        <v>8.9</v>
      </c>
    </row>
    <row r="823" spans="1:6">
      <c r="A823" t="s">
        <v>6</v>
      </c>
      <c r="B823" t="s">
        <v>301</v>
      </c>
      <c r="C823" s="1" t="s">
        <v>320</v>
      </c>
      <c r="D823" s="7">
        <v>3145</v>
      </c>
      <c r="E823" t="s">
        <v>11</v>
      </c>
      <c r="F823" s="9">
        <v>9</v>
      </c>
    </row>
    <row r="824" spans="1:6">
      <c r="A824" t="s">
        <v>6</v>
      </c>
      <c r="B824" t="s">
        <v>301</v>
      </c>
      <c r="C824" s="1" t="s">
        <v>321</v>
      </c>
      <c r="D824" s="7">
        <v>3149</v>
      </c>
      <c r="E824" t="s">
        <v>11</v>
      </c>
      <c r="F824" s="9">
        <v>8</v>
      </c>
    </row>
    <row r="825" spans="1:6">
      <c r="A825" t="s">
        <v>6</v>
      </c>
      <c r="B825" t="s">
        <v>301</v>
      </c>
      <c r="C825" s="1" t="s">
        <v>322</v>
      </c>
      <c r="D825" s="7">
        <v>3153</v>
      </c>
      <c r="E825" t="s">
        <v>11</v>
      </c>
      <c r="F825" s="9">
        <v>9.3000000000000007</v>
      </c>
    </row>
    <row r="826" spans="1:6">
      <c r="A826" t="s">
        <v>6</v>
      </c>
      <c r="B826" t="s">
        <v>301</v>
      </c>
      <c r="C826" s="1" t="s">
        <v>323</v>
      </c>
      <c r="D826" s="7">
        <v>3157</v>
      </c>
      <c r="E826" t="s">
        <v>11</v>
      </c>
      <c r="F826" s="9">
        <v>9.1999999999999993</v>
      </c>
    </row>
    <row r="827" spans="1:6">
      <c r="A827" t="s">
        <v>6</v>
      </c>
      <c r="B827" t="s">
        <v>301</v>
      </c>
      <c r="C827" s="1" t="s">
        <v>324</v>
      </c>
      <c r="D827" s="7">
        <v>4297</v>
      </c>
      <c r="E827" t="s">
        <v>11</v>
      </c>
      <c r="F827" s="9">
        <v>8.1</v>
      </c>
    </row>
    <row r="828" spans="1:6">
      <c r="A828" t="s">
        <v>6</v>
      </c>
      <c r="B828" t="s">
        <v>301</v>
      </c>
      <c r="C828" s="1" t="s">
        <v>325</v>
      </c>
      <c r="D828" s="7">
        <v>4301</v>
      </c>
      <c r="E828" t="s">
        <v>11</v>
      </c>
      <c r="F828" s="9">
        <v>8.1</v>
      </c>
    </row>
    <row r="829" spans="1:6">
      <c r="A829" t="s">
        <v>6</v>
      </c>
      <c r="B829" t="s">
        <v>301</v>
      </c>
      <c r="C829" s="1" t="s">
        <v>326</v>
      </c>
      <c r="D829" s="7">
        <v>4409</v>
      </c>
      <c r="E829" t="s">
        <v>11</v>
      </c>
      <c r="F829" s="9">
        <v>8.3000000000000007</v>
      </c>
    </row>
    <row r="830" spans="1:6">
      <c r="A830" t="s">
        <v>6</v>
      </c>
      <c r="B830" t="s">
        <v>301</v>
      </c>
      <c r="C830" s="1" t="s">
        <v>327</v>
      </c>
      <c r="D830" s="7">
        <v>4305</v>
      </c>
      <c r="E830" t="s">
        <v>11</v>
      </c>
      <c r="F830" s="9">
        <v>7.9</v>
      </c>
    </row>
    <row r="831" spans="1:6">
      <c r="A831" t="s">
        <v>6</v>
      </c>
      <c r="B831" t="s">
        <v>301</v>
      </c>
      <c r="C831" s="1" t="s">
        <v>328</v>
      </c>
      <c r="D831" s="7">
        <v>4077</v>
      </c>
      <c r="E831" t="s">
        <v>11</v>
      </c>
      <c r="F831" s="9">
        <v>7.2</v>
      </c>
    </row>
    <row r="832" spans="1:6">
      <c r="A832" t="s">
        <v>6</v>
      </c>
      <c r="B832" t="s">
        <v>301</v>
      </c>
      <c r="C832" s="1" t="s">
        <v>329</v>
      </c>
      <c r="D832" s="7">
        <v>4309</v>
      </c>
      <c r="E832" t="s">
        <v>11</v>
      </c>
      <c r="F832" s="9">
        <v>8.4</v>
      </c>
    </row>
    <row r="833" spans="1:6">
      <c r="A833" t="s">
        <v>6</v>
      </c>
      <c r="B833" t="s">
        <v>301</v>
      </c>
      <c r="C833" s="1" t="s">
        <v>330</v>
      </c>
      <c r="D833" s="7">
        <v>4313</v>
      </c>
      <c r="E833" t="s">
        <v>11</v>
      </c>
      <c r="F833" s="9">
        <v>7.8</v>
      </c>
    </row>
    <row r="834" spans="1:6">
      <c r="A834" t="s">
        <v>6</v>
      </c>
      <c r="B834" t="s">
        <v>301</v>
      </c>
      <c r="C834" s="1" t="s">
        <v>331</v>
      </c>
      <c r="D834" s="7">
        <v>4317</v>
      </c>
      <c r="E834" t="s">
        <v>11</v>
      </c>
      <c r="F834" s="9">
        <v>8.4</v>
      </c>
    </row>
    <row r="835" spans="1:6">
      <c r="A835" t="s">
        <v>6</v>
      </c>
      <c r="B835" t="s">
        <v>301</v>
      </c>
      <c r="C835" s="1" t="s">
        <v>332</v>
      </c>
      <c r="D835" s="7">
        <v>4333</v>
      </c>
      <c r="E835" t="s">
        <v>11</v>
      </c>
      <c r="F835" s="9">
        <v>8.3000000000000007</v>
      </c>
    </row>
    <row r="836" spans="1:6">
      <c r="A836" t="s">
        <v>6</v>
      </c>
      <c r="B836" t="s">
        <v>301</v>
      </c>
      <c r="C836" s="1" t="s">
        <v>333</v>
      </c>
      <c r="D836" s="7">
        <v>4321</v>
      </c>
      <c r="E836" t="s">
        <v>11</v>
      </c>
      <c r="F836" s="9">
        <v>8</v>
      </c>
    </row>
    <row r="837" spans="1:6">
      <c r="A837" t="s">
        <v>6</v>
      </c>
      <c r="B837" t="s">
        <v>301</v>
      </c>
      <c r="C837" s="1" t="s">
        <v>334</v>
      </c>
      <c r="D837" s="7">
        <v>4325</v>
      </c>
      <c r="E837" t="s">
        <v>11</v>
      </c>
      <c r="F837" s="9">
        <v>8.5</v>
      </c>
    </row>
    <row r="838" spans="1:6">
      <c r="A838" t="s">
        <v>6</v>
      </c>
      <c r="B838" t="s">
        <v>301</v>
      </c>
      <c r="C838" s="1" t="s">
        <v>335</v>
      </c>
      <c r="D838" s="7">
        <v>4329</v>
      </c>
      <c r="E838" t="s">
        <v>11</v>
      </c>
      <c r="F838" s="9">
        <v>8.6</v>
      </c>
    </row>
    <row r="839" spans="1:6">
      <c r="A839" t="s">
        <v>6</v>
      </c>
      <c r="B839" t="s">
        <v>301</v>
      </c>
      <c r="C839" s="1" t="s">
        <v>336</v>
      </c>
      <c r="D839" s="7">
        <v>4417</v>
      </c>
      <c r="E839" t="s">
        <v>11</v>
      </c>
      <c r="F839" s="9">
        <v>8</v>
      </c>
    </row>
    <row r="840" spans="1:6">
      <c r="A840" t="s">
        <v>6</v>
      </c>
      <c r="B840" t="s">
        <v>301</v>
      </c>
      <c r="C840" s="1" t="s">
        <v>337</v>
      </c>
      <c r="D840" s="7">
        <v>3937</v>
      </c>
      <c r="E840" t="s">
        <v>11</v>
      </c>
      <c r="F840" s="9">
        <v>9.3000000000000007</v>
      </c>
    </row>
    <row r="841" spans="1:6">
      <c r="A841" t="s">
        <v>6</v>
      </c>
      <c r="B841" t="s">
        <v>301</v>
      </c>
      <c r="C841" s="1" t="s">
        <v>338</v>
      </c>
      <c r="D841" s="7">
        <v>4421</v>
      </c>
      <c r="E841" t="s">
        <v>11</v>
      </c>
      <c r="F841" s="9">
        <v>7.7</v>
      </c>
    </row>
    <row r="842" spans="1:6">
      <c r="A842" t="s">
        <v>6</v>
      </c>
      <c r="B842" t="s">
        <v>301</v>
      </c>
      <c r="C842" s="1" t="s">
        <v>339</v>
      </c>
      <c r="D842" s="7">
        <v>4425</v>
      </c>
      <c r="E842" t="s">
        <v>11</v>
      </c>
      <c r="F842" s="9">
        <v>8.1999999999999993</v>
      </c>
    </row>
    <row r="843" spans="1:6">
      <c r="A843" t="s">
        <v>6</v>
      </c>
      <c r="B843" t="s">
        <v>301</v>
      </c>
      <c r="C843" s="1" t="s">
        <v>311</v>
      </c>
      <c r="D843" s="7">
        <v>5326</v>
      </c>
      <c r="E843" t="s">
        <v>12</v>
      </c>
      <c r="F843" s="9">
        <v>2.71</v>
      </c>
    </row>
    <row r="844" spans="1:6">
      <c r="A844" t="s">
        <v>6</v>
      </c>
      <c r="B844" t="s">
        <v>301</v>
      </c>
      <c r="C844" s="1" t="s">
        <v>312</v>
      </c>
      <c r="D844" s="7">
        <v>5511</v>
      </c>
      <c r="E844" t="s">
        <v>12</v>
      </c>
      <c r="F844" s="9">
        <v>2.68</v>
      </c>
    </row>
    <row r="845" spans="1:6">
      <c r="A845" t="s">
        <v>6</v>
      </c>
      <c r="B845" t="s">
        <v>301</v>
      </c>
      <c r="C845" s="1" t="s">
        <v>340</v>
      </c>
      <c r="D845" s="7">
        <v>5619</v>
      </c>
      <c r="E845" t="s">
        <v>12</v>
      </c>
      <c r="F845" s="9">
        <v>2.74</v>
      </c>
    </row>
    <row r="846" spans="1:6">
      <c r="A846" t="s">
        <v>6</v>
      </c>
      <c r="B846" t="s">
        <v>301</v>
      </c>
      <c r="C846" s="1" t="s">
        <v>341</v>
      </c>
      <c r="D846" s="7">
        <v>5664</v>
      </c>
      <c r="E846" t="s">
        <v>12</v>
      </c>
      <c r="F846" s="9">
        <v>2.71</v>
      </c>
    </row>
    <row r="847" spans="1:6">
      <c r="A847" t="s">
        <v>6</v>
      </c>
      <c r="B847" t="s">
        <v>301</v>
      </c>
      <c r="C847" s="1" t="s">
        <v>342</v>
      </c>
      <c r="D847" s="7">
        <v>5559</v>
      </c>
      <c r="E847" t="s">
        <v>12</v>
      </c>
      <c r="F847" s="9">
        <v>2.69</v>
      </c>
    </row>
    <row r="848" spans="1:6">
      <c r="A848" t="s">
        <v>6</v>
      </c>
      <c r="B848" t="s">
        <v>301</v>
      </c>
      <c r="C848" s="1" t="s">
        <v>343</v>
      </c>
      <c r="D848" s="7">
        <v>5495</v>
      </c>
      <c r="E848" t="s">
        <v>12</v>
      </c>
      <c r="F848" s="9">
        <v>2.54</v>
      </c>
    </row>
    <row r="849" spans="1:6">
      <c r="A849" t="s">
        <v>6</v>
      </c>
      <c r="B849" t="s">
        <v>301</v>
      </c>
      <c r="C849" s="1" t="s">
        <v>313</v>
      </c>
      <c r="D849" s="7">
        <v>5499</v>
      </c>
      <c r="E849" t="s">
        <v>12</v>
      </c>
      <c r="F849" s="9">
        <v>2.7</v>
      </c>
    </row>
    <row r="850" spans="1:6">
      <c r="A850" t="s">
        <v>6</v>
      </c>
      <c r="B850" t="s">
        <v>301</v>
      </c>
      <c r="C850" s="1" t="s">
        <v>314</v>
      </c>
      <c r="D850" s="7">
        <v>5503</v>
      </c>
      <c r="E850" t="s">
        <v>12</v>
      </c>
      <c r="F850" s="9">
        <v>2.4</v>
      </c>
    </row>
    <row r="851" spans="1:6">
      <c r="A851" t="s">
        <v>6</v>
      </c>
      <c r="B851" t="s">
        <v>301</v>
      </c>
      <c r="C851" s="1" t="s">
        <v>315</v>
      </c>
      <c r="D851" s="7">
        <v>5543</v>
      </c>
      <c r="E851" t="s">
        <v>12</v>
      </c>
      <c r="F851" s="9">
        <v>2.4300000000000002</v>
      </c>
    </row>
    <row r="852" spans="1:6">
      <c r="A852" t="s">
        <v>6</v>
      </c>
      <c r="B852" t="s">
        <v>301</v>
      </c>
      <c r="C852" s="1" t="s">
        <v>344</v>
      </c>
      <c r="D852" s="7">
        <v>5603</v>
      </c>
      <c r="E852" t="s">
        <v>12</v>
      </c>
      <c r="F852" s="9">
        <v>2.56</v>
      </c>
    </row>
    <row r="853" spans="1:6">
      <c r="A853" t="s">
        <v>6</v>
      </c>
      <c r="B853" t="s">
        <v>301</v>
      </c>
      <c r="C853" s="1" t="s">
        <v>316</v>
      </c>
      <c r="D853" s="7">
        <v>5430</v>
      </c>
      <c r="E853" t="s">
        <v>12</v>
      </c>
      <c r="F853" s="9">
        <v>2.5499999999999998</v>
      </c>
    </row>
    <row r="854" spans="1:6">
      <c r="A854" t="s">
        <v>6</v>
      </c>
      <c r="B854" t="s">
        <v>301</v>
      </c>
      <c r="C854" s="1" t="s">
        <v>345</v>
      </c>
      <c r="D854" s="7">
        <v>5302</v>
      </c>
      <c r="E854" t="s">
        <v>12</v>
      </c>
      <c r="F854" s="9">
        <v>2.64</v>
      </c>
    </row>
    <row r="855" spans="1:6">
      <c r="A855" t="s">
        <v>6</v>
      </c>
      <c r="B855" t="s">
        <v>301</v>
      </c>
      <c r="C855" s="1" t="s">
        <v>346</v>
      </c>
      <c r="D855" s="7">
        <v>5820</v>
      </c>
      <c r="E855" t="s">
        <v>12</v>
      </c>
      <c r="F855" s="9">
        <v>2.69</v>
      </c>
    </row>
    <row r="856" spans="1:6">
      <c r="A856" t="s">
        <v>6</v>
      </c>
      <c r="B856" t="s">
        <v>301</v>
      </c>
      <c r="C856" s="1" t="s">
        <v>347</v>
      </c>
      <c r="D856" s="7">
        <v>5824</v>
      </c>
      <c r="E856" t="s">
        <v>12</v>
      </c>
      <c r="F856" s="9">
        <v>2.62</v>
      </c>
    </row>
    <row r="857" spans="1:6">
      <c r="A857" t="s">
        <v>6</v>
      </c>
      <c r="B857" t="s">
        <v>301</v>
      </c>
      <c r="C857" s="1" t="s">
        <v>348</v>
      </c>
      <c r="D857" s="7">
        <v>5708</v>
      </c>
      <c r="E857" t="s">
        <v>12</v>
      </c>
      <c r="F857" s="9">
        <v>2.83</v>
      </c>
    </row>
    <row r="858" spans="1:6">
      <c r="A858" t="s">
        <v>6</v>
      </c>
      <c r="B858" t="s">
        <v>301</v>
      </c>
      <c r="C858" s="1" t="s">
        <v>349</v>
      </c>
      <c r="D858" s="7">
        <v>5796</v>
      </c>
      <c r="E858" t="s">
        <v>12</v>
      </c>
      <c r="F858" s="9">
        <v>2.67</v>
      </c>
    </row>
    <row r="859" spans="1:6">
      <c r="A859" t="s">
        <v>6</v>
      </c>
      <c r="B859" t="s">
        <v>350</v>
      </c>
      <c r="C859" s="3" t="s">
        <v>351</v>
      </c>
      <c r="D859" s="7">
        <v>177</v>
      </c>
      <c r="E859" s="2" t="s">
        <v>9</v>
      </c>
      <c r="F859" s="10">
        <v>3.5</v>
      </c>
    </row>
    <row r="860" spans="1:6">
      <c r="A860" t="s">
        <v>6</v>
      </c>
      <c r="B860" t="s">
        <v>350</v>
      </c>
      <c r="C860" s="3" t="s">
        <v>352</v>
      </c>
      <c r="D860" s="7">
        <v>281</v>
      </c>
      <c r="E860" s="2" t="s">
        <v>9</v>
      </c>
      <c r="F860" s="10">
        <v>3.2</v>
      </c>
    </row>
    <row r="861" spans="1:6">
      <c r="A861" t="s">
        <v>6</v>
      </c>
      <c r="B861" t="s">
        <v>350</v>
      </c>
      <c r="C861" s="3" t="s">
        <v>353</v>
      </c>
      <c r="D861" s="7">
        <v>285</v>
      </c>
      <c r="E861" s="2" t="s">
        <v>9</v>
      </c>
      <c r="F861" s="10">
        <v>2.9</v>
      </c>
    </row>
    <row r="862" spans="1:6">
      <c r="A862" t="s">
        <v>6</v>
      </c>
      <c r="B862" t="s">
        <v>350</v>
      </c>
      <c r="C862" s="3" t="s">
        <v>354</v>
      </c>
      <c r="D862" s="7">
        <v>289</v>
      </c>
      <c r="E862" s="2" t="s">
        <v>9</v>
      </c>
      <c r="F862" s="10">
        <v>3.4</v>
      </c>
    </row>
    <row r="863" spans="1:6">
      <c r="A863" t="s">
        <v>6</v>
      </c>
      <c r="B863" t="s">
        <v>350</v>
      </c>
      <c r="C863" s="1" t="s">
        <v>355</v>
      </c>
      <c r="D863" s="7">
        <v>4062</v>
      </c>
      <c r="E863" t="s">
        <v>9</v>
      </c>
      <c r="F863" s="9">
        <v>2.9</v>
      </c>
    </row>
    <row r="864" spans="1:6">
      <c r="A864" t="s">
        <v>6</v>
      </c>
      <c r="B864" t="s">
        <v>350</v>
      </c>
      <c r="C864" s="1" t="s">
        <v>356</v>
      </c>
      <c r="D864" s="7">
        <v>3130</v>
      </c>
      <c r="E864" t="s">
        <v>9</v>
      </c>
      <c r="F864" s="9">
        <v>3.1</v>
      </c>
    </row>
    <row r="865" spans="1:6">
      <c r="A865" t="s">
        <v>6</v>
      </c>
      <c r="B865" t="s">
        <v>350</v>
      </c>
      <c r="C865" s="1" t="s">
        <v>357</v>
      </c>
      <c r="D865" s="7">
        <v>3206</v>
      </c>
      <c r="E865" t="s">
        <v>9</v>
      </c>
      <c r="F865" s="9">
        <v>3</v>
      </c>
    </row>
    <row r="866" spans="1:6">
      <c r="A866" t="s">
        <v>6</v>
      </c>
      <c r="B866" t="s">
        <v>350</v>
      </c>
      <c r="C866" s="1" t="s">
        <v>358</v>
      </c>
      <c r="D866" s="7">
        <v>3210</v>
      </c>
      <c r="E866" t="s">
        <v>9</v>
      </c>
      <c r="F866" s="9">
        <v>3</v>
      </c>
    </row>
    <row r="867" spans="1:6">
      <c r="A867" t="s">
        <v>6</v>
      </c>
      <c r="B867" t="s">
        <v>350</v>
      </c>
      <c r="C867" s="1" t="s">
        <v>359</v>
      </c>
      <c r="D867" s="7">
        <v>4126</v>
      </c>
      <c r="E867" t="s">
        <v>9</v>
      </c>
      <c r="F867" s="9">
        <v>2.7</v>
      </c>
    </row>
    <row r="868" spans="1:6">
      <c r="A868" t="s">
        <v>6</v>
      </c>
      <c r="B868" t="s">
        <v>350</v>
      </c>
      <c r="C868" s="1" t="s">
        <v>360</v>
      </c>
      <c r="D868" s="7">
        <v>4130</v>
      </c>
      <c r="E868" t="s">
        <v>9</v>
      </c>
      <c r="F868" s="9">
        <v>2.9</v>
      </c>
    </row>
    <row r="869" spans="1:6">
      <c r="A869" t="s">
        <v>6</v>
      </c>
      <c r="B869" t="s">
        <v>350</v>
      </c>
      <c r="C869" s="1" t="s">
        <v>361</v>
      </c>
      <c r="D869" s="7">
        <v>4134</v>
      </c>
      <c r="E869" t="s">
        <v>9</v>
      </c>
      <c r="F869" s="9">
        <v>3</v>
      </c>
    </row>
    <row r="870" spans="1:6">
      <c r="A870" t="s">
        <v>6</v>
      </c>
      <c r="B870" t="s">
        <v>350</v>
      </c>
      <c r="C870" s="1" t="s">
        <v>362</v>
      </c>
      <c r="D870" s="7">
        <v>3670</v>
      </c>
      <c r="E870" t="s">
        <v>9</v>
      </c>
      <c r="F870" s="9">
        <v>2.8</v>
      </c>
    </row>
    <row r="871" spans="1:6">
      <c r="A871" t="s">
        <v>6</v>
      </c>
      <c r="B871" t="s">
        <v>350</v>
      </c>
      <c r="C871" s="1" t="s">
        <v>363</v>
      </c>
      <c r="D871" s="7">
        <v>4122</v>
      </c>
      <c r="E871" t="s">
        <v>9</v>
      </c>
      <c r="F871" s="9">
        <v>3</v>
      </c>
    </row>
    <row r="872" spans="1:6">
      <c r="A872" t="s">
        <v>6</v>
      </c>
      <c r="B872" t="s">
        <v>350</v>
      </c>
      <c r="C872" s="1" t="s">
        <v>364</v>
      </c>
      <c r="D872" s="7">
        <v>4166</v>
      </c>
      <c r="E872" t="s">
        <v>9</v>
      </c>
      <c r="F872" s="9">
        <v>3.1</v>
      </c>
    </row>
    <row r="873" spans="1:6">
      <c r="A873" t="s">
        <v>6</v>
      </c>
      <c r="B873" t="s">
        <v>350</v>
      </c>
      <c r="C873" s="3" t="s">
        <v>351</v>
      </c>
      <c r="D873" s="7">
        <v>175</v>
      </c>
      <c r="E873" s="2" t="s">
        <v>10</v>
      </c>
      <c r="F873" s="10">
        <v>10.3</v>
      </c>
    </row>
    <row r="874" spans="1:6">
      <c r="A874" t="s">
        <v>6</v>
      </c>
      <c r="B874" t="s">
        <v>350</v>
      </c>
      <c r="C874" s="3" t="s">
        <v>352</v>
      </c>
      <c r="D874" s="7">
        <v>279</v>
      </c>
      <c r="E874" s="2" t="s">
        <v>10</v>
      </c>
      <c r="F874" s="10">
        <v>11.1</v>
      </c>
    </row>
    <row r="875" spans="1:6">
      <c r="A875" t="s">
        <v>6</v>
      </c>
      <c r="B875" t="s">
        <v>350</v>
      </c>
      <c r="C875" s="3" t="s">
        <v>353</v>
      </c>
      <c r="D875" s="7">
        <v>283</v>
      </c>
      <c r="E875" s="2" t="s">
        <v>10</v>
      </c>
      <c r="F875" s="10">
        <v>11.5</v>
      </c>
    </row>
    <row r="876" spans="1:6">
      <c r="A876" t="s">
        <v>6</v>
      </c>
      <c r="B876" t="s">
        <v>350</v>
      </c>
      <c r="C876" s="3" t="s">
        <v>354</v>
      </c>
      <c r="D876" s="7">
        <v>287</v>
      </c>
      <c r="E876" s="2" t="s">
        <v>10</v>
      </c>
      <c r="F876" s="10">
        <v>11.9</v>
      </c>
    </row>
    <row r="877" spans="1:6">
      <c r="A877" t="s">
        <v>6</v>
      </c>
      <c r="B877" t="s">
        <v>350</v>
      </c>
      <c r="C877" s="1" t="s">
        <v>355</v>
      </c>
      <c r="D877" s="7">
        <v>4063</v>
      </c>
      <c r="E877" t="s">
        <v>10</v>
      </c>
      <c r="F877" s="9">
        <v>8.9</v>
      </c>
    </row>
    <row r="878" spans="1:6">
      <c r="A878" t="s">
        <v>6</v>
      </c>
      <c r="B878" t="s">
        <v>350</v>
      </c>
      <c r="C878" s="1" t="s">
        <v>356</v>
      </c>
      <c r="D878" s="7">
        <v>3131</v>
      </c>
      <c r="E878" t="s">
        <v>10</v>
      </c>
      <c r="F878" s="9">
        <v>9.6999999999999993</v>
      </c>
    </row>
    <row r="879" spans="1:6">
      <c r="A879" t="s">
        <v>6</v>
      </c>
      <c r="B879" t="s">
        <v>350</v>
      </c>
      <c r="C879" s="1" t="s">
        <v>357</v>
      </c>
      <c r="D879" s="7">
        <v>3207</v>
      </c>
      <c r="E879" t="s">
        <v>10</v>
      </c>
      <c r="F879" s="9">
        <v>9.5</v>
      </c>
    </row>
    <row r="880" spans="1:6">
      <c r="A880" t="s">
        <v>6</v>
      </c>
      <c r="B880" t="s">
        <v>350</v>
      </c>
      <c r="C880" s="1" t="s">
        <v>358</v>
      </c>
      <c r="D880" s="7">
        <v>3211</v>
      </c>
      <c r="E880" t="s">
        <v>10</v>
      </c>
      <c r="F880" s="9">
        <v>11</v>
      </c>
    </row>
    <row r="881" spans="1:6">
      <c r="A881" t="s">
        <v>6</v>
      </c>
      <c r="B881" t="s">
        <v>350</v>
      </c>
      <c r="C881" s="1" t="s">
        <v>359</v>
      </c>
      <c r="D881" s="7">
        <v>4127</v>
      </c>
      <c r="E881" t="s">
        <v>10</v>
      </c>
      <c r="F881" s="9">
        <v>7</v>
      </c>
    </row>
    <row r="882" spans="1:6">
      <c r="A882" t="s">
        <v>6</v>
      </c>
      <c r="B882" t="s">
        <v>350</v>
      </c>
      <c r="C882" s="1" t="s">
        <v>360</v>
      </c>
      <c r="D882" s="7">
        <v>4131</v>
      </c>
      <c r="E882" t="s">
        <v>10</v>
      </c>
      <c r="F882" s="9">
        <v>7.6</v>
      </c>
    </row>
    <row r="883" spans="1:6">
      <c r="A883" t="s">
        <v>6</v>
      </c>
      <c r="B883" t="s">
        <v>350</v>
      </c>
      <c r="C883" s="1" t="s">
        <v>361</v>
      </c>
      <c r="D883" s="7">
        <v>4135</v>
      </c>
      <c r="E883" t="s">
        <v>10</v>
      </c>
      <c r="F883" s="9">
        <v>6.3</v>
      </c>
    </row>
    <row r="884" spans="1:6">
      <c r="A884" t="s">
        <v>6</v>
      </c>
      <c r="B884" t="s">
        <v>350</v>
      </c>
      <c r="C884" s="1" t="s">
        <v>362</v>
      </c>
      <c r="D884" s="7">
        <v>3671</v>
      </c>
      <c r="E884" t="s">
        <v>10</v>
      </c>
      <c r="F884" s="9">
        <v>12.4</v>
      </c>
    </row>
    <row r="885" spans="1:6">
      <c r="A885" t="s">
        <v>6</v>
      </c>
      <c r="B885" t="s">
        <v>350</v>
      </c>
      <c r="C885" s="1" t="s">
        <v>363</v>
      </c>
      <c r="D885" s="7">
        <v>4123</v>
      </c>
      <c r="E885" t="s">
        <v>10</v>
      </c>
      <c r="F885" s="9">
        <v>7.8</v>
      </c>
    </row>
    <row r="886" spans="1:6">
      <c r="A886" t="s">
        <v>6</v>
      </c>
      <c r="B886" t="s">
        <v>350</v>
      </c>
      <c r="C886" s="1" t="s">
        <v>364</v>
      </c>
      <c r="D886" s="7">
        <v>4167</v>
      </c>
      <c r="E886" t="s">
        <v>10</v>
      </c>
      <c r="F886" s="9">
        <v>8</v>
      </c>
    </row>
    <row r="887" spans="1:6">
      <c r="A887" t="s">
        <v>6</v>
      </c>
      <c r="B887" t="s">
        <v>350</v>
      </c>
      <c r="C887" s="3" t="s">
        <v>351</v>
      </c>
      <c r="D887" s="7">
        <v>176</v>
      </c>
      <c r="E887" s="2" t="s">
        <v>11</v>
      </c>
      <c r="F887" s="10">
        <v>8.1</v>
      </c>
    </row>
    <row r="888" spans="1:6">
      <c r="A888" t="s">
        <v>6</v>
      </c>
      <c r="B888" t="s">
        <v>350</v>
      </c>
      <c r="C888" s="3" t="s">
        <v>352</v>
      </c>
      <c r="D888" s="7">
        <v>280</v>
      </c>
      <c r="E888" s="2" t="s">
        <v>11</v>
      </c>
      <c r="F888" s="10">
        <v>7.2</v>
      </c>
    </row>
    <row r="889" spans="1:6">
      <c r="A889" t="s">
        <v>6</v>
      </c>
      <c r="B889" t="s">
        <v>350</v>
      </c>
      <c r="C889" s="3" t="s">
        <v>353</v>
      </c>
      <c r="D889" s="7">
        <v>284</v>
      </c>
      <c r="E889" s="2" t="s">
        <v>11</v>
      </c>
      <c r="F889" s="10">
        <v>7.6</v>
      </c>
    </row>
    <row r="890" spans="1:6">
      <c r="A890" t="s">
        <v>6</v>
      </c>
      <c r="B890" t="s">
        <v>350</v>
      </c>
      <c r="C890" s="3" t="s">
        <v>354</v>
      </c>
      <c r="D890" s="7">
        <v>288</v>
      </c>
      <c r="E890" s="2" t="s">
        <v>11</v>
      </c>
      <c r="F890" s="10">
        <v>7.6</v>
      </c>
    </row>
    <row r="891" spans="1:6">
      <c r="A891" t="s">
        <v>6</v>
      </c>
      <c r="B891" t="s">
        <v>350</v>
      </c>
      <c r="C891" s="1" t="s">
        <v>355</v>
      </c>
      <c r="D891" s="7">
        <v>4061</v>
      </c>
      <c r="E891" t="s">
        <v>11</v>
      </c>
      <c r="F891" s="9">
        <v>7.5</v>
      </c>
    </row>
    <row r="892" spans="1:6">
      <c r="A892" t="s">
        <v>6</v>
      </c>
      <c r="B892" t="s">
        <v>350</v>
      </c>
      <c r="C892" s="1" t="s">
        <v>356</v>
      </c>
      <c r="D892" s="7">
        <v>3129</v>
      </c>
      <c r="E892" t="s">
        <v>11</v>
      </c>
      <c r="F892" s="9">
        <v>7.5</v>
      </c>
    </row>
    <row r="893" spans="1:6">
      <c r="A893" t="s">
        <v>6</v>
      </c>
      <c r="B893" t="s">
        <v>350</v>
      </c>
      <c r="C893" s="1" t="s">
        <v>357</v>
      </c>
      <c r="D893" s="7">
        <v>3205</v>
      </c>
      <c r="E893" t="s">
        <v>11</v>
      </c>
      <c r="F893" s="9">
        <v>8.1999999999999993</v>
      </c>
    </row>
    <row r="894" spans="1:6">
      <c r="A894" t="s">
        <v>6</v>
      </c>
      <c r="B894" t="s">
        <v>350</v>
      </c>
      <c r="C894" s="1" t="s">
        <v>358</v>
      </c>
      <c r="D894" s="7">
        <v>3209</v>
      </c>
      <c r="E894" t="s">
        <v>11</v>
      </c>
      <c r="F894" s="9">
        <v>7.6</v>
      </c>
    </row>
    <row r="895" spans="1:6">
      <c r="A895" t="s">
        <v>6</v>
      </c>
      <c r="B895" t="s">
        <v>350</v>
      </c>
      <c r="C895" s="1" t="s">
        <v>359</v>
      </c>
      <c r="D895" s="7">
        <v>4125</v>
      </c>
      <c r="E895" t="s">
        <v>11</v>
      </c>
      <c r="F895" s="9">
        <v>7.7</v>
      </c>
    </row>
    <row r="896" spans="1:6">
      <c r="A896" t="s">
        <v>6</v>
      </c>
      <c r="B896" t="s">
        <v>350</v>
      </c>
      <c r="C896" s="1" t="s">
        <v>360</v>
      </c>
      <c r="D896" s="7">
        <v>4129</v>
      </c>
      <c r="E896" t="s">
        <v>11</v>
      </c>
      <c r="F896" s="9">
        <v>7.2</v>
      </c>
    </row>
    <row r="897" spans="1:6">
      <c r="A897" t="s">
        <v>6</v>
      </c>
      <c r="B897" t="s">
        <v>350</v>
      </c>
      <c r="C897" s="1" t="s">
        <v>361</v>
      </c>
      <c r="D897" s="7">
        <v>4133</v>
      </c>
      <c r="E897" t="s">
        <v>11</v>
      </c>
      <c r="F897" s="9">
        <v>7.6</v>
      </c>
    </row>
    <row r="898" spans="1:6">
      <c r="A898" t="s">
        <v>6</v>
      </c>
      <c r="B898" t="s">
        <v>350</v>
      </c>
      <c r="C898" s="1" t="s">
        <v>362</v>
      </c>
      <c r="D898" s="7">
        <v>3669</v>
      </c>
      <c r="E898" t="s">
        <v>11</v>
      </c>
      <c r="F898" s="9">
        <v>7.5</v>
      </c>
    </row>
    <row r="899" spans="1:6">
      <c r="A899" t="s">
        <v>6</v>
      </c>
      <c r="B899" t="s">
        <v>350</v>
      </c>
      <c r="C899" s="1" t="s">
        <v>363</v>
      </c>
      <c r="D899" s="7">
        <v>4121</v>
      </c>
      <c r="E899" t="s">
        <v>11</v>
      </c>
      <c r="F899" s="9">
        <v>7.6</v>
      </c>
    </row>
    <row r="900" spans="1:6">
      <c r="A900" t="s">
        <v>6</v>
      </c>
      <c r="B900" t="s">
        <v>350</v>
      </c>
      <c r="C900" s="1" t="s">
        <v>364</v>
      </c>
      <c r="D900" s="7">
        <v>4165</v>
      </c>
      <c r="E900" t="s">
        <v>11</v>
      </c>
      <c r="F900" s="9">
        <v>7.7</v>
      </c>
    </row>
    <row r="901" spans="1:6">
      <c r="A901" t="s">
        <v>6</v>
      </c>
      <c r="B901" t="s">
        <v>350</v>
      </c>
      <c r="C901" s="1" t="s">
        <v>365</v>
      </c>
      <c r="D901" s="7">
        <v>5571</v>
      </c>
      <c r="E901" t="s">
        <v>12</v>
      </c>
      <c r="F901" s="9">
        <v>2.4900000000000002</v>
      </c>
    </row>
    <row r="902" spans="1:6">
      <c r="A902" t="s">
        <v>6</v>
      </c>
      <c r="B902" t="s">
        <v>350</v>
      </c>
      <c r="C902" s="1" t="s">
        <v>366</v>
      </c>
      <c r="D902" s="7">
        <v>5575</v>
      </c>
      <c r="E902" t="s">
        <v>12</v>
      </c>
      <c r="F902" s="9">
        <v>2.36</v>
      </c>
    </row>
    <row r="903" spans="1:6">
      <c r="A903" t="s">
        <v>6</v>
      </c>
      <c r="B903" t="s">
        <v>350</v>
      </c>
      <c r="C903" s="1" t="s">
        <v>367</v>
      </c>
      <c r="D903" s="7">
        <v>5579</v>
      </c>
      <c r="E903" t="s">
        <v>12</v>
      </c>
      <c r="F903" s="9">
        <v>2.46</v>
      </c>
    </row>
    <row r="904" spans="1:6">
      <c r="A904" t="s">
        <v>6</v>
      </c>
      <c r="B904" t="s">
        <v>350</v>
      </c>
      <c r="C904" s="1" t="s">
        <v>368</v>
      </c>
      <c r="D904" s="7">
        <v>5583</v>
      </c>
      <c r="E904" t="s">
        <v>12</v>
      </c>
      <c r="F904" s="9">
        <v>2.42</v>
      </c>
    </row>
    <row r="905" spans="1:6">
      <c r="A905" t="s">
        <v>6</v>
      </c>
      <c r="B905" t="s">
        <v>350</v>
      </c>
      <c r="C905" s="1" t="s">
        <v>369</v>
      </c>
      <c r="D905" s="7">
        <v>5563</v>
      </c>
      <c r="E905" t="s">
        <v>12</v>
      </c>
      <c r="F905" s="9">
        <v>2.4300000000000002</v>
      </c>
    </row>
    <row r="906" spans="1:6">
      <c r="A906" t="s">
        <v>6</v>
      </c>
      <c r="B906" t="s">
        <v>350</v>
      </c>
      <c r="C906" s="1" t="s">
        <v>370</v>
      </c>
      <c r="D906" s="7">
        <v>5547</v>
      </c>
      <c r="E906" t="s">
        <v>12</v>
      </c>
      <c r="F906" s="9">
        <v>2.48</v>
      </c>
    </row>
    <row r="907" spans="1:6">
      <c r="A907" t="s">
        <v>6</v>
      </c>
      <c r="B907" t="s">
        <v>350</v>
      </c>
      <c r="C907" s="1" t="s">
        <v>371</v>
      </c>
      <c r="D907" s="7">
        <v>5623</v>
      </c>
      <c r="E907" t="s">
        <v>12</v>
      </c>
      <c r="F907" s="9">
        <v>2.65</v>
      </c>
    </row>
    <row r="908" spans="1:6">
      <c r="A908" t="s">
        <v>6</v>
      </c>
      <c r="B908" t="s">
        <v>350</v>
      </c>
      <c r="C908" s="1" t="s">
        <v>372</v>
      </c>
      <c r="D908" s="7">
        <v>5611</v>
      </c>
      <c r="E908" t="s">
        <v>12</v>
      </c>
      <c r="F908" s="9">
        <v>2.29</v>
      </c>
    </row>
    <row r="909" spans="1:6">
      <c r="A909" t="s">
        <v>6</v>
      </c>
      <c r="B909" t="s">
        <v>350</v>
      </c>
      <c r="C909" s="1" t="s">
        <v>373</v>
      </c>
      <c r="D909" s="7">
        <v>5599</v>
      </c>
      <c r="E909" t="s">
        <v>12</v>
      </c>
      <c r="F909" s="9">
        <v>2.33</v>
      </c>
    </row>
    <row r="910" spans="1:6">
      <c r="A910" t="s">
        <v>6</v>
      </c>
      <c r="B910" t="s">
        <v>350</v>
      </c>
      <c r="C910" s="1" t="s">
        <v>374</v>
      </c>
      <c r="D910" s="7">
        <v>5382</v>
      </c>
      <c r="E910" t="s">
        <v>12</v>
      </c>
      <c r="F910" s="9">
        <v>2.5299999999999998</v>
      </c>
    </row>
    <row r="911" spans="1:6">
      <c r="A911" t="s">
        <v>6</v>
      </c>
      <c r="B911" t="s">
        <v>350</v>
      </c>
      <c r="C911" s="1" t="s">
        <v>375</v>
      </c>
      <c r="D911" s="7">
        <v>5386</v>
      </c>
      <c r="E911" t="s">
        <v>12</v>
      </c>
      <c r="F911" s="9">
        <v>2.46</v>
      </c>
    </row>
    <row r="912" spans="1:6">
      <c r="A912" t="s">
        <v>6</v>
      </c>
      <c r="B912" t="s">
        <v>350</v>
      </c>
      <c r="C912" s="1" t="s">
        <v>376</v>
      </c>
      <c r="D912" s="7">
        <v>5390</v>
      </c>
      <c r="E912" t="s">
        <v>12</v>
      </c>
      <c r="F912" s="9">
        <v>2.16</v>
      </c>
    </row>
    <row r="913" spans="1:6">
      <c r="A913" t="s">
        <v>6</v>
      </c>
      <c r="B913" t="s">
        <v>350</v>
      </c>
      <c r="C913" s="1" t="s">
        <v>377</v>
      </c>
      <c r="D913" s="7">
        <v>5394</v>
      </c>
      <c r="E913" t="s">
        <v>12</v>
      </c>
      <c r="F913" s="9">
        <v>2.41</v>
      </c>
    </row>
    <row r="914" spans="1:6">
      <c r="A914" t="s">
        <v>6</v>
      </c>
      <c r="B914" t="s">
        <v>350</v>
      </c>
      <c r="C914" s="1" t="s">
        <v>378</v>
      </c>
      <c r="D914" s="7">
        <v>5398</v>
      </c>
      <c r="E914" t="s">
        <v>12</v>
      </c>
      <c r="F914" s="9">
        <v>2.56</v>
      </c>
    </row>
    <row r="915" spans="1:6">
      <c r="A915" t="s">
        <v>6</v>
      </c>
      <c r="B915" t="s">
        <v>350</v>
      </c>
      <c r="C915" s="1" t="s">
        <v>379</v>
      </c>
      <c r="D915" s="7">
        <v>5266</v>
      </c>
      <c r="E915" t="s">
        <v>12</v>
      </c>
      <c r="F915" s="9">
        <v>2.38</v>
      </c>
    </row>
    <row r="916" spans="1:6">
      <c r="A916" t="s">
        <v>6</v>
      </c>
      <c r="B916" t="s">
        <v>380</v>
      </c>
      <c r="C916" s="1" t="s">
        <v>381</v>
      </c>
      <c r="D916" s="7">
        <v>5834</v>
      </c>
      <c r="E916" t="s">
        <v>9</v>
      </c>
      <c r="F916" s="9">
        <v>2.88</v>
      </c>
    </row>
    <row r="917" spans="1:6">
      <c r="A917" t="s">
        <v>6</v>
      </c>
      <c r="B917" t="s">
        <v>380</v>
      </c>
      <c r="C917" s="1" t="s">
        <v>381</v>
      </c>
      <c r="D917" s="7">
        <v>5835</v>
      </c>
      <c r="E917" t="s">
        <v>11</v>
      </c>
      <c r="F917" s="9">
        <v>8.6999999999999993</v>
      </c>
    </row>
    <row r="918" spans="1:6">
      <c r="A918" t="s">
        <v>6</v>
      </c>
      <c r="B918" t="s">
        <v>380</v>
      </c>
      <c r="C918" s="1" t="s">
        <v>381</v>
      </c>
      <c r="D918" s="7">
        <v>5836</v>
      </c>
      <c r="E918" t="s">
        <v>12</v>
      </c>
      <c r="F918" s="9">
        <v>2.4900000000000002</v>
      </c>
    </row>
    <row r="919" spans="1:6">
      <c r="A919" t="s">
        <v>6</v>
      </c>
      <c r="B919" t="s">
        <v>382</v>
      </c>
      <c r="C919" s="3" t="s">
        <v>383</v>
      </c>
      <c r="D919" s="7">
        <v>277</v>
      </c>
      <c r="E919" s="2" t="s">
        <v>9</v>
      </c>
      <c r="F919" s="10">
        <v>3.9</v>
      </c>
    </row>
    <row r="920" spans="1:6">
      <c r="A920" t="s">
        <v>6</v>
      </c>
      <c r="B920" s="6" t="s">
        <v>382</v>
      </c>
      <c r="C920" s="3" t="s">
        <v>384</v>
      </c>
      <c r="D920" s="7">
        <v>313</v>
      </c>
      <c r="E920" s="2" t="s">
        <v>9</v>
      </c>
      <c r="F920" s="10">
        <v>3.6</v>
      </c>
    </row>
    <row r="921" spans="1:6">
      <c r="A921" t="s">
        <v>6</v>
      </c>
      <c r="B921" s="6" t="s">
        <v>382</v>
      </c>
      <c r="C921" s="3" t="s">
        <v>385</v>
      </c>
      <c r="D921" s="7">
        <v>317</v>
      </c>
      <c r="E921" s="2" t="s">
        <v>9</v>
      </c>
      <c r="F921" s="10">
        <v>4</v>
      </c>
    </row>
    <row r="922" spans="1:6">
      <c r="A922" t="s">
        <v>6</v>
      </c>
      <c r="B922" s="6" t="s">
        <v>382</v>
      </c>
      <c r="C922" s="3" t="s">
        <v>386</v>
      </c>
      <c r="D922" s="7">
        <v>325</v>
      </c>
      <c r="E922" s="2" t="s">
        <v>9</v>
      </c>
      <c r="F922" s="10">
        <v>3.6</v>
      </c>
    </row>
    <row r="923" spans="1:6">
      <c r="A923" t="s">
        <v>6</v>
      </c>
      <c r="B923" t="s">
        <v>382</v>
      </c>
      <c r="C923" s="1" t="s">
        <v>387</v>
      </c>
      <c r="D923" s="7">
        <v>3986</v>
      </c>
      <c r="E923" t="s">
        <v>9</v>
      </c>
      <c r="F923" s="9">
        <v>3.84</v>
      </c>
    </row>
    <row r="924" spans="1:6">
      <c r="A924" t="s">
        <v>6</v>
      </c>
      <c r="B924" t="s">
        <v>382</v>
      </c>
      <c r="C924" s="1" t="s">
        <v>388</v>
      </c>
      <c r="D924" s="7">
        <v>3990</v>
      </c>
      <c r="E924" t="s">
        <v>9</v>
      </c>
      <c r="F924" s="9">
        <v>3.6</v>
      </c>
    </row>
    <row r="925" spans="1:6">
      <c r="A925" t="s">
        <v>6</v>
      </c>
      <c r="B925" t="s">
        <v>382</v>
      </c>
      <c r="C925" s="1" t="s">
        <v>389</v>
      </c>
      <c r="D925" s="7">
        <v>3994</v>
      </c>
      <c r="E925" t="s">
        <v>9</v>
      </c>
      <c r="F925" s="9">
        <v>3.55</v>
      </c>
    </row>
    <row r="926" spans="1:6">
      <c r="A926" t="s">
        <v>6</v>
      </c>
      <c r="B926" t="s">
        <v>382</v>
      </c>
      <c r="C926" s="1" t="s">
        <v>390</v>
      </c>
      <c r="D926" s="7">
        <v>3998</v>
      </c>
      <c r="E926" t="s">
        <v>9</v>
      </c>
      <c r="F926" s="9">
        <v>3.66</v>
      </c>
    </row>
    <row r="927" spans="1:6">
      <c r="A927" t="s">
        <v>6</v>
      </c>
      <c r="B927" t="s">
        <v>382</v>
      </c>
      <c r="C927" s="1" t="s">
        <v>391</v>
      </c>
      <c r="D927" s="7">
        <v>4002</v>
      </c>
      <c r="E927" t="s">
        <v>9</v>
      </c>
      <c r="F927" s="9">
        <v>3.63</v>
      </c>
    </row>
    <row r="928" spans="1:6">
      <c r="A928" t="s">
        <v>6</v>
      </c>
      <c r="B928" t="s">
        <v>382</v>
      </c>
      <c r="C928" s="1" t="s">
        <v>392</v>
      </c>
      <c r="D928" s="7">
        <v>4006</v>
      </c>
      <c r="E928" t="s">
        <v>9</v>
      </c>
      <c r="F928" s="9">
        <v>3.4</v>
      </c>
    </row>
    <row r="929" spans="1:6">
      <c r="A929" t="s">
        <v>6</v>
      </c>
      <c r="B929" t="s">
        <v>382</v>
      </c>
      <c r="C929" s="1" t="s">
        <v>393</v>
      </c>
      <c r="D929" s="7">
        <v>4010</v>
      </c>
      <c r="E929" t="s">
        <v>9</v>
      </c>
      <c r="F929" s="9">
        <v>3.7</v>
      </c>
    </row>
    <row r="930" spans="1:6">
      <c r="A930" t="s">
        <v>6</v>
      </c>
      <c r="B930" t="s">
        <v>382</v>
      </c>
      <c r="C930" s="1" t="s">
        <v>394</v>
      </c>
      <c r="D930" s="7">
        <v>4014</v>
      </c>
      <c r="E930" t="s">
        <v>9</v>
      </c>
      <c r="F930" s="9">
        <v>3.8</v>
      </c>
    </row>
    <row r="931" spans="1:6">
      <c r="A931" t="s">
        <v>6</v>
      </c>
      <c r="B931" t="s">
        <v>382</v>
      </c>
      <c r="C931" s="1" t="s">
        <v>395</v>
      </c>
      <c r="D931" s="7">
        <v>4018</v>
      </c>
      <c r="E931" t="s">
        <v>9</v>
      </c>
      <c r="F931" s="9">
        <v>3.6</v>
      </c>
    </row>
    <row r="932" spans="1:6">
      <c r="A932" t="s">
        <v>6</v>
      </c>
      <c r="B932" t="s">
        <v>382</v>
      </c>
      <c r="C932" s="1" t="s">
        <v>396</v>
      </c>
      <c r="D932" s="7">
        <v>6323</v>
      </c>
      <c r="E932" t="s">
        <v>9</v>
      </c>
      <c r="F932" s="9">
        <v>3.4</v>
      </c>
    </row>
    <row r="933" spans="1:6">
      <c r="A933" t="s">
        <v>6</v>
      </c>
      <c r="B933" t="s">
        <v>382</v>
      </c>
      <c r="C933" s="1" t="s">
        <v>397</v>
      </c>
      <c r="D933" s="7">
        <v>6328</v>
      </c>
      <c r="E933" t="s">
        <v>9</v>
      </c>
      <c r="F933" s="9">
        <v>3.89</v>
      </c>
    </row>
    <row r="934" spans="1:6">
      <c r="A934" t="s">
        <v>6</v>
      </c>
      <c r="B934" t="s">
        <v>382</v>
      </c>
      <c r="C934" s="1" t="s">
        <v>398</v>
      </c>
      <c r="D934" s="7">
        <v>6289</v>
      </c>
      <c r="E934" t="s">
        <v>9</v>
      </c>
      <c r="F934" s="9">
        <v>3.1</v>
      </c>
    </row>
    <row r="935" spans="1:6">
      <c r="A935" t="s">
        <v>6</v>
      </c>
      <c r="B935" t="s">
        <v>382</v>
      </c>
      <c r="C935" s="1" t="s">
        <v>399</v>
      </c>
      <c r="D935" s="7">
        <v>6269</v>
      </c>
      <c r="E935" t="s">
        <v>9</v>
      </c>
      <c r="F935" s="9">
        <v>3.68</v>
      </c>
    </row>
    <row r="936" spans="1:6">
      <c r="A936" t="s">
        <v>6</v>
      </c>
      <c r="B936" t="s">
        <v>382</v>
      </c>
      <c r="C936" s="1" t="s">
        <v>400</v>
      </c>
      <c r="D936" s="7">
        <v>6279</v>
      </c>
      <c r="E936" t="s">
        <v>9</v>
      </c>
      <c r="F936" s="9">
        <v>3.24</v>
      </c>
    </row>
    <row r="937" spans="1:6">
      <c r="A937" t="s">
        <v>6</v>
      </c>
      <c r="B937" t="s">
        <v>382</v>
      </c>
      <c r="C937" s="1" t="s">
        <v>401</v>
      </c>
      <c r="D937" s="7">
        <v>5452</v>
      </c>
      <c r="E937" t="s">
        <v>9</v>
      </c>
      <c r="F937" s="9">
        <v>2.9</v>
      </c>
    </row>
    <row r="938" spans="1:6">
      <c r="A938" t="s">
        <v>6</v>
      </c>
      <c r="B938" t="s">
        <v>382</v>
      </c>
      <c r="C938" s="1" t="s">
        <v>402</v>
      </c>
      <c r="D938" s="7">
        <v>2934</v>
      </c>
      <c r="E938" t="s">
        <v>9</v>
      </c>
      <c r="F938" s="9">
        <v>3.3</v>
      </c>
    </row>
    <row r="939" spans="1:6">
      <c r="A939" t="s">
        <v>6</v>
      </c>
      <c r="B939" t="s">
        <v>382</v>
      </c>
      <c r="C939" s="1" t="s">
        <v>403</v>
      </c>
      <c r="D939" s="7">
        <v>2946</v>
      </c>
      <c r="E939" t="s">
        <v>9</v>
      </c>
      <c r="F939" s="9">
        <v>3.3</v>
      </c>
    </row>
    <row r="940" spans="1:6">
      <c r="A940" t="s">
        <v>6</v>
      </c>
      <c r="B940" t="s">
        <v>382</v>
      </c>
      <c r="C940" s="1" t="s">
        <v>404</v>
      </c>
      <c r="D940" s="7">
        <v>2950</v>
      </c>
      <c r="E940" t="s">
        <v>9</v>
      </c>
      <c r="F940" s="9">
        <v>3.6</v>
      </c>
    </row>
    <row r="941" spans="1:6">
      <c r="A941" t="s">
        <v>6</v>
      </c>
      <c r="B941" t="s">
        <v>382</v>
      </c>
      <c r="C941" s="1" t="s">
        <v>405</v>
      </c>
      <c r="D941" s="7">
        <v>2954</v>
      </c>
      <c r="E941" t="s">
        <v>9</v>
      </c>
      <c r="F941" s="9">
        <v>3.4</v>
      </c>
    </row>
    <row r="942" spans="1:6">
      <c r="A942" t="s">
        <v>6</v>
      </c>
      <c r="B942" t="s">
        <v>382</v>
      </c>
      <c r="C942" s="1" t="s">
        <v>406</v>
      </c>
      <c r="D942" s="7">
        <v>2958</v>
      </c>
      <c r="E942" t="s">
        <v>9</v>
      </c>
      <c r="F942" s="9">
        <v>3.3</v>
      </c>
    </row>
    <row r="943" spans="1:6">
      <c r="A943" t="s">
        <v>6</v>
      </c>
      <c r="B943" t="s">
        <v>382</v>
      </c>
      <c r="C943" s="1" t="s">
        <v>407</v>
      </c>
      <c r="D943" s="7">
        <v>2962</v>
      </c>
      <c r="E943" t="s">
        <v>9</v>
      </c>
      <c r="F943" s="9">
        <v>3.4</v>
      </c>
    </row>
    <row r="944" spans="1:6">
      <c r="A944" t="s">
        <v>6</v>
      </c>
      <c r="B944" t="s">
        <v>382</v>
      </c>
      <c r="C944" s="1" t="s">
        <v>408</v>
      </c>
      <c r="D944" s="7">
        <v>2966</v>
      </c>
      <c r="E944" t="s">
        <v>9</v>
      </c>
      <c r="F944" s="9">
        <v>3.4</v>
      </c>
    </row>
    <row r="945" spans="1:6">
      <c r="A945" t="s">
        <v>6</v>
      </c>
      <c r="B945" t="s">
        <v>382</v>
      </c>
      <c r="C945" s="1" t="s">
        <v>409</v>
      </c>
      <c r="D945" s="7">
        <v>3094</v>
      </c>
      <c r="E945" t="s">
        <v>9</v>
      </c>
      <c r="F945" s="9">
        <v>3.6</v>
      </c>
    </row>
    <row r="946" spans="1:6">
      <c r="A946" t="s">
        <v>6</v>
      </c>
      <c r="B946" t="s">
        <v>382</v>
      </c>
      <c r="C946" s="1" t="s">
        <v>410</v>
      </c>
      <c r="D946" s="7">
        <v>3098</v>
      </c>
      <c r="E946" t="s">
        <v>9</v>
      </c>
      <c r="F946" s="9">
        <v>3.7</v>
      </c>
    </row>
    <row r="947" spans="1:6">
      <c r="A947" t="s">
        <v>6</v>
      </c>
      <c r="B947" t="s">
        <v>382</v>
      </c>
      <c r="C947" s="1" t="s">
        <v>411</v>
      </c>
      <c r="D947" s="7">
        <v>3102</v>
      </c>
      <c r="E947" t="s">
        <v>9</v>
      </c>
      <c r="F947" s="9">
        <v>3.5</v>
      </c>
    </row>
    <row r="948" spans="1:6">
      <c r="A948" t="s">
        <v>6</v>
      </c>
      <c r="B948" t="s">
        <v>382</v>
      </c>
      <c r="C948" s="1" t="s">
        <v>412</v>
      </c>
      <c r="D948" s="7">
        <v>3106</v>
      </c>
      <c r="E948" t="s">
        <v>9</v>
      </c>
      <c r="F948" s="9">
        <v>3.3</v>
      </c>
    </row>
    <row r="949" spans="1:6">
      <c r="A949" t="s">
        <v>6</v>
      </c>
      <c r="B949" t="s">
        <v>382</v>
      </c>
      <c r="C949" s="1" t="s">
        <v>413</v>
      </c>
      <c r="D949" s="7">
        <v>3110</v>
      </c>
      <c r="E949" t="s">
        <v>9</v>
      </c>
      <c r="F949" s="9">
        <v>3.5</v>
      </c>
    </row>
    <row r="950" spans="1:6">
      <c r="A950" t="s">
        <v>6</v>
      </c>
      <c r="B950" t="s">
        <v>382</v>
      </c>
      <c r="C950" s="1" t="s">
        <v>414</v>
      </c>
      <c r="D950" s="7">
        <v>3114</v>
      </c>
      <c r="E950" t="s">
        <v>9</v>
      </c>
      <c r="F950" s="9">
        <v>3.6</v>
      </c>
    </row>
    <row r="951" spans="1:6">
      <c r="A951" t="s">
        <v>6</v>
      </c>
      <c r="B951" t="s">
        <v>382</v>
      </c>
      <c r="C951" s="1" t="s">
        <v>415</v>
      </c>
      <c r="D951" s="7">
        <v>3162</v>
      </c>
      <c r="E951" t="s">
        <v>9</v>
      </c>
      <c r="F951" s="9">
        <v>3.4</v>
      </c>
    </row>
    <row r="952" spans="1:6">
      <c r="A952" t="s">
        <v>6</v>
      </c>
      <c r="B952" t="s">
        <v>382</v>
      </c>
      <c r="C952" s="1" t="s">
        <v>416</v>
      </c>
      <c r="D952" s="7">
        <v>3166</v>
      </c>
      <c r="E952" t="s">
        <v>9</v>
      </c>
      <c r="F952" s="9">
        <v>3.6</v>
      </c>
    </row>
    <row r="953" spans="1:6">
      <c r="A953" t="s">
        <v>6</v>
      </c>
      <c r="B953" t="s">
        <v>382</v>
      </c>
      <c r="C953" s="1" t="s">
        <v>417</v>
      </c>
      <c r="D953" s="7">
        <v>3506</v>
      </c>
      <c r="E953" t="s">
        <v>9</v>
      </c>
      <c r="F953" s="9">
        <v>3.2</v>
      </c>
    </row>
    <row r="954" spans="1:6">
      <c r="A954" t="s">
        <v>6</v>
      </c>
      <c r="B954" t="s">
        <v>382</v>
      </c>
      <c r="C954" s="1" t="s">
        <v>418</v>
      </c>
      <c r="D954" s="7">
        <v>3510</v>
      </c>
      <c r="E954" t="s">
        <v>9</v>
      </c>
      <c r="F954" s="9">
        <v>3.2</v>
      </c>
    </row>
    <row r="955" spans="1:6">
      <c r="A955" t="s">
        <v>6</v>
      </c>
      <c r="B955" t="s">
        <v>382</v>
      </c>
      <c r="C955" s="1" t="s">
        <v>419</v>
      </c>
      <c r="D955" s="7">
        <v>3514</v>
      </c>
      <c r="E955" t="s">
        <v>9</v>
      </c>
      <c r="F955" s="9">
        <v>3.5</v>
      </c>
    </row>
    <row r="956" spans="1:6">
      <c r="A956" t="s">
        <v>6</v>
      </c>
      <c r="B956" t="s">
        <v>382</v>
      </c>
      <c r="C956" s="1" t="s">
        <v>420</v>
      </c>
      <c r="D956" s="7">
        <v>3518</v>
      </c>
      <c r="E956" t="s">
        <v>9</v>
      </c>
      <c r="F956" s="9">
        <v>3.4</v>
      </c>
    </row>
    <row r="957" spans="1:6">
      <c r="A957" t="s">
        <v>6</v>
      </c>
      <c r="B957" t="s">
        <v>382</v>
      </c>
      <c r="C957" s="1" t="s">
        <v>421</v>
      </c>
      <c r="D957" s="7">
        <v>3522</v>
      </c>
      <c r="E957" t="s">
        <v>9</v>
      </c>
      <c r="F957" s="9">
        <v>3.5</v>
      </c>
    </row>
    <row r="958" spans="1:6">
      <c r="A958" t="s">
        <v>6</v>
      </c>
      <c r="B958" t="s">
        <v>382</v>
      </c>
      <c r="C958" s="1" t="s">
        <v>422</v>
      </c>
      <c r="D958" s="7">
        <v>3526</v>
      </c>
      <c r="E958" t="s">
        <v>9</v>
      </c>
      <c r="F958" s="9">
        <v>3.3</v>
      </c>
    </row>
    <row r="959" spans="1:6">
      <c r="A959" t="s">
        <v>6</v>
      </c>
      <c r="B959" t="s">
        <v>382</v>
      </c>
      <c r="C959" s="1" t="s">
        <v>423</v>
      </c>
      <c r="D959" s="7">
        <v>3530</v>
      </c>
      <c r="E959" t="s">
        <v>9</v>
      </c>
      <c r="F959" s="9">
        <v>3.5</v>
      </c>
    </row>
    <row r="960" spans="1:6">
      <c r="A960" t="s">
        <v>6</v>
      </c>
      <c r="B960" t="s">
        <v>382</v>
      </c>
      <c r="C960" s="1" t="s">
        <v>424</v>
      </c>
      <c r="D960" s="7">
        <v>3774</v>
      </c>
      <c r="E960" t="s">
        <v>9</v>
      </c>
      <c r="F960" s="9">
        <v>3.9</v>
      </c>
    </row>
    <row r="961" spans="1:6">
      <c r="A961" t="s">
        <v>6</v>
      </c>
      <c r="B961" t="s">
        <v>382</v>
      </c>
      <c r="C961" s="1" t="s">
        <v>425</v>
      </c>
      <c r="D961" s="7">
        <v>3950</v>
      </c>
      <c r="E961" t="s">
        <v>9</v>
      </c>
      <c r="F961" s="9">
        <v>3.4</v>
      </c>
    </row>
    <row r="962" spans="1:6">
      <c r="A962" t="s">
        <v>6</v>
      </c>
      <c r="B962" t="s">
        <v>382</v>
      </c>
      <c r="C962" s="3" t="s">
        <v>383</v>
      </c>
      <c r="D962" s="7">
        <v>275</v>
      </c>
      <c r="E962" s="2" t="s">
        <v>10</v>
      </c>
      <c r="F962" s="10">
        <v>24.3</v>
      </c>
    </row>
    <row r="963" spans="1:6">
      <c r="A963" t="s">
        <v>6</v>
      </c>
      <c r="B963" s="6" t="s">
        <v>382</v>
      </c>
      <c r="C963" s="3" t="s">
        <v>384</v>
      </c>
      <c r="D963" s="7">
        <v>311</v>
      </c>
      <c r="E963" s="2" t="s">
        <v>10</v>
      </c>
      <c r="F963" s="10">
        <v>24.8</v>
      </c>
    </row>
    <row r="964" spans="1:6">
      <c r="A964" t="s">
        <v>6</v>
      </c>
      <c r="B964" s="6" t="s">
        <v>382</v>
      </c>
      <c r="C964" s="3" t="s">
        <v>385</v>
      </c>
      <c r="D964" s="7">
        <v>315</v>
      </c>
      <c r="E964" s="2" t="s">
        <v>10</v>
      </c>
      <c r="F964" s="10">
        <v>25.8</v>
      </c>
    </row>
    <row r="965" spans="1:6">
      <c r="A965" t="s">
        <v>6</v>
      </c>
      <c r="B965" s="6" t="s">
        <v>382</v>
      </c>
      <c r="C965" s="3" t="s">
        <v>386</v>
      </c>
      <c r="D965" s="7">
        <v>323</v>
      </c>
      <c r="E965" s="2" t="s">
        <v>10</v>
      </c>
      <c r="F965" s="10">
        <v>24.1</v>
      </c>
    </row>
    <row r="966" spans="1:6">
      <c r="A966" t="s">
        <v>6</v>
      </c>
      <c r="B966" t="s">
        <v>382</v>
      </c>
      <c r="C966" s="1" t="s">
        <v>387</v>
      </c>
      <c r="D966" s="7">
        <v>3987</v>
      </c>
      <c r="E966" t="s">
        <v>10</v>
      </c>
      <c r="F966" s="9">
        <v>19.600000000000001</v>
      </c>
    </row>
    <row r="967" spans="1:6">
      <c r="A967" t="s">
        <v>6</v>
      </c>
      <c r="B967" t="s">
        <v>382</v>
      </c>
      <c r="C967" s="1" t="s">
        <v>388</v>
      </c>
      <c r="D967" s="7">
        <v>3991</v>
      </c>
      <c r="E967" t="s">
        <v>10</v>
      </c>
      <c r="F967" s="9">
        <v>20.25</v>
      </c>
    </row>
    <row r="968" spans="1:6">
      <c r="A968" t="s">
        <v>6</v>
      </c>
      <c r="B968" t="s">
        <v>382</v>
      </c>
      <c r="C968" s="1" t="s">
        <v>389</v>
      </c>
      <c r="D968" s="7">
        <v>3995</v>
      </c>
      <c r="E968" t="s">
        <v>10</v>
      </c>
      <c r="F968" s="9">
        <v>19.420000000000002</v>
      </c>
    </row>
    <row r="969" spans="1:6">
      <c r="A969" t="s">
        <v>6</v>
      </c>
      <c r="B969" t="s">
        <v>382</v>
      </c>
      <c r="C969" s="1" t="s">
        <v>390</v>
      </c>
      <c r="D969" s="7">
        <v>3999</v>
      </c>
      <c r="E969" t="s">
        <v>10</v>
      </c>
      <c r="F969" s="9">
        <v>20.7</v>
      </c>
    </row>
    <row r="970" spans="1:6">
      <c r="A970" t="s">
        <v>6</v>
      </c>
      <c r="B970" t="s">
        <v>382</v>
      </c>
      <c r="C970" s="1" t="s">
        <v>391</v>
      </c>
      <c r="D970" s="7">
        <v>4003</v>
      </c>
      <c r="E970" t="s">
        <v>10</v>
      </c>
      <c r="F970" s="9">
        <v>17.7</v>
      </c>
    </row>
    <row r="971" spans="1:6">
      <c r="A971" t="s">
        <v>6</v>
      </c>
      <c r="B971" t="s">
        <v>382</v>
      </c>
      <c r="C971" s="1" t="s">
        <v>392</v>
      </c>
      <c r="D971" s="7">
        <v>4007</v>
      </c>
      <c r="E971" t="s">
        <v>10</v>
      </c>
      <c r="F971" s="9">
        <v>20.5</v>
      </c>
    </row>
    <row r="972" spans="1:6">
      <c r="A972" t="s">
        <v>6</v>
      </c>
      <c r="B972" t="s">
        <v>382</v>
      </c>
      <c r="C972" s="1" t="s">
        <v>393</v>
      </c>
      <c r="D972" s="7">
        <v>4011</v>
      </c>
      <c r="E972" t="s">
        <v>10</v>
      </c>
      <c r="F972" s="9">
        <v>19.100000000000001</v>
      </c>
    </row>
    <row r="973" spans="1:6">
      <c r="A973" t="s">
        <v>6</v>
      </c>
      <c r="B973" t="s">
        <v>382</v>
      </c>
      <c r="C973" s="1" t="s">
        <v>394</v>
      </c>
      <c r="D973" s="7">
        <v>4015</v>
      </c>
      <c r="E973" t="s">
        <v>10</v>
      </c>
      <c r="F973" s="9">
        <v>18.399999999999999</v>
      </c>
    </row>
    <row r="974" spans="1:6">
      <c r="A974" t="s">
        <v>6</v>
      </c>
      <c r="B974" t="s">
        <v>382</v>
      </c>
      <c r="C974" s="1" t="s">
        <v>395</v>
      </c>
      <c r="D974" s="7">
        <v>4019</v>
      </c>
      <c r="E974" t="s">
        <v>10</v>
      </c>
      <c r="F974" s="9">
        <v>18.600000000000001</v>
      </c>
    </row>
    <row r="975" spans="1:6">
      <c r="A975" t="s">
        <v>6</v>
      </c>
      <c r="B975" t="s">
        <v>382</v>
      </c>
      <c r="C975" s="1" t="s">
        <v>396</v>
      </c>
      <c r="D975" s="7">
        <v>6326</v>
      </c>
      <c r="E975" t="s">
        <v>10</v>
      </c>
      <c r="F975" s="9">
        <v>29.13</v>
      </c>
    </row>
    <row r="976" spans="1:6">
      <c r="A976" t="s">
        <v>6</v>
      </c>
      <c r="B976" t="s">
        <v>382</v>
      </c>
      <c r="C976" s="1" t="s">
        <v>397</v>
      </c>
      <c r="D976" s="7">
        <v>6331</v>
      </c>
      <c r="E976" t="s">
        <v>10</v>
      </c>
      <c r="F976" s="9">
        <v>27.13</v>
      </c>
    </row>
    <row r="977" spans="1:6">
      <c r="A977" t="s">
        <v>6</v>
      </c>
      <c r="B977" t="s">
        <v>382</v>
      </c>
      <c r="C977" s="1" t="s">
        <v>398</v>
      </c>
      <c r="D977" s="7">
        <v>6292</v>
      </c>
      <c r="E977" t="s">
        <v>10</v>
      </c>
      <c r="F977" s="9">
        <v>24.43</v>
      </c>
    </row>
    <row r="978" spans="1:6">
      <c r="A978" t="s">
        <v>6</v>
      </c>
      <c r="B978" t="s">
        <v>382</v>
      </c>
      <c r="C978" s="1" t="s">
        <v>426</v>
      </c>
      <c r="D978" s="7">
        <v>6272</v>
      </c>
      <c r="E978" t="s">
        <v>10</v>
      </c>
      <c r="F978" s="9">
        <v>32.479999999999997</v>
      </c>
    </row>
    <row r="979" spans="1:6">
      <c r="A979" t="s">
        <v>6</v>
      </c>
      <c r="B979" t="s">
        <v>382</v>
      </c>
      <c r="C979" s="1" t="s">
        <v>400</v>
      </c>
      <c r="D979" s="7">
        <v>6282</v>
      </c>
      <c r="E979" t="s">
        <v>10</v>
      </c>
      <c r="F979" s="9">
        <v>24.03</v>
      </c>
    </row>
    <row r="980" spans="1:6">
      <c r="A980" t="s">
        <v>6</v>
      </c>
      <c r="B980" t="s">
        <v>382</v>
      </c>
      <c r="C980" s="1" t="s">
        <v>402</v>
      </c>
      <c r="D980" s="7">
        <v>2935</v>
      </c>
      <c r="E980" t="s">
        <v>10</v>
      </c>
      <c r="F980" s="9">
        <v>22.1</v>
      </c>
    </row>
    <row r="981" spans="1:6">
      <c r="A981" t="s">
        <v>6</v>
      </c>
      <c r="B981" t="s">
        <v>382</v>
      </c>
      <c r="C981" s="1" t="s">
        <v>403</v>
      </c>
      <c r="D981" s="7">
        <v>2947</v>
      </c>
      <c r="E981" t="s">
        <v>10</v>
      </c>
      <c r="F981" s="9">
        <v>20.9</v>
      </c>
    </row>
    <row r="982" spans="1:6">
      <c r="A982" t="s">
        <v>6</v>
      </c>
      <c r="B982" t="s">
        <v>382</v>
      </c>
      <c r="C982" s="1" t="s">
        <v>404</v>
      </c>
      <c r="D982" s="7">
        <v>2951</v>
      </c>
      <c r="E982" t="s">
        <v>10</v>
      </c>
      <c r="F982" s="9">
        <v>22.1</v>
      </c>
    </row>
    <row r="983" spans="1:6">
      <c r="A983" t="s">
        <v>6</v>
      </c>
      <c r="B983" t="s">
        <v>382</v>
      </c>
      <c r="C983" s="1" t="s">
        <v>405</v>
      </c>
      <c r="D983" s="7">
        <v>2955</v>
      </c>
      <c r="E983" t="s">
        <v>10</v>
      </c>
      <c r="F983" s="9">
        <v>22</v>
      </c>
    </row>
    <row r="984" spans="1:6">
      <c r="A984" t="s">
        <v>6</v>
      </c>
      <c r="B984" t="s">
        <v>382</v>
      </c>
      <c r="C984" s="1" t="s">
        <v>406</v>
      </c>
      <c r="D984" s="7">
        <v>2959</v>
      </c>
      <c r="E984" t="s">
        <v>10</v>
      </c>
      <c r="F984" s="9">
        <v>21.3</v>
      </c>
    </row>
    <row r="985" spans="1:6">
      <c r="A985" t="s">
        <v>6</v>
      </c>
      <c r="B985" t="s">
        <v>382</v>
      </c>
      <c r="C985" s="1" t="s">
        <v>407</v>
      </c>
      <c r="D985" s="7">
        <v>2963</v>
      </c>
      <c r="E985" t="s">
        <v>10</v>
      </c>
      <c r="F985" s="9">
        <v>21.9</v>
      </c>
    </row>
    <row r="986" spans="1:6">
      <c r="A986" t="s">
        <v>6</v>
      </c>
      <c r="B986" t="s">
        <v>382</v>
      </c>
      <c r="C986" s="1" t="s">
        <v>408</v>
      </c>
      <c r="D986" s="7">
        <v>2967</v>
      </c>
      <c r="E986" t="s">
        <v>10</v>
      </c>
      <c r="F986" s="9">
        <v>22.6</v>
      </c>
    </row>
    <row r="987" spans="1:6">
      <c r="A987" t="s">
        <v>6</v>
      </c>
      <c r="B987" t="s">
        <v>382</v>
      </c>
      <c r="C987" s="1" t="s">
        <v>409</v>
      </c>
      <c r="D987" s="7">
        <v>3095</v>
      </c>
      <c r="E987" t="s">
        <v>10</v>
      </c>
      <c r="F987" s="9">
        <v>23.5</v>
      </c>
    </row>
    <row r="988" spans="1:6">
      <c r="A988" t="s">
        <v>6</v>
      </c>
      <c r="B988" t="s">
        <v>382</v>
      </c>
      <c r="C988" s="1" t="s">
        <v>410</v>
      </c>
      <c r="D988" s="7">
        <v>3099</v>
      </c>
      <c r="E988" t="s">
        <v>10</v>
      </c>
      <c r="F988" s="9">
        <v>25.4</v>
      </c>
    </row>
    <row r="989" spans="1:6">
      <c r="A989" t="s">
        <v>6</v>
      </c>
      <c r="B989" t="s">
        <v>382</v>
      </c>
      <c r="C989" s="1" t="s">
        <v>411</v>
      </c>
      <c r="D989" s="7">
        <v>3103</v>
      </c>
      <c r="E989" t="s">
        <v>10</v>
      </c>
      <c r="F989" s="9">
        <v>24.1</v>
      </c>
    </row>
    <row r="990" spans="1:6">
      <c r="A990" t="s">
        <v>6</v>
      </c>
      <c r="B990" t="s">
        <v>382</v>
      </c>
      <c r="C990" s="1" t="s">
        <v>412</v>
      </c>
      <c r="D990" s="7">
        <v>3107</v>
      </c>
      <c r="E990" t="s">
        <v>10</v>
      </c>
      <c r="F990" s="9">
        <v>22.1</v>
      </c>
    </row>
    <row r="991" spans="1:6">
      <c r="A991" t="s">
        <v>6</v>
      </c>
      <c r="B991" t="s">
        <v>382</v>
      </c>
      <c r="C991" s="1" t="s">
        <v>413</v>
      </c>
      <c r="D991" s="7">
        <v>3111</v>
      </c>
      <c r="E991" t="s">
        <v>10</v>
      </c>
      <c r="F991" s="9">
        <v>23.1</v>
      </c>
    </row>
    <row r="992" spans="1:6">
      <c r="A992" t="s">
        <v>6</v>
      </c>
      <c r="B992" t="s">
        <v>382</v>
      </c>
      <c r="C992" s="1" t="s">
        <v>414</v>
      </c>
      <c r="D992" s="7">
        <v>3115</v>
      </c>
      <c r="E992" t="s">
        <v>10</v>
      </c>
      <c r="F992" s="9">
        <v>24.1</v>
      </c>
    </row>
    <row r="993" spans="1:6">
      <c r="A993" t="s">
        <v>6</v>
      </c>
      <c r="B993" t="s">
        <v>382</v>
      </c>
      <c r="C993" s="1" t="s">
        <v>415</v>
      </c>
      <c r="D993" s="7">
        <v>3163</v>
      </c>
      <c r="E993" t="s">
        <v>10</v>
      </c>
      <c r="F993" s="9">
        <v>21.6</v>
      </c>
    </row>
    <row r="994" spans="1:6">
      <c r="A994" t="s">
        <v>6</v>
      </c>
      <c r="B994" t="s">
        <v>382</v>
      </c>
      <c r="C994" s="1" t="s">
        <v>416</v>
      </c>
      <c r="D994" s="7">
        <v>3167</v>
      </c>
      <c r="E994" t="s">
        <v>10</v>
      </c>
      <c r="F994" s="9">
        <v>23.3</v>
      </c>
    </row>
    <row r="995" spans="1:6">
      <c r="A995" t="s">
        <v>6</v>
      </c>
      <c r="B995" t="s">
        <v>382</v>
      </c>
      <c r="C995" s="1" t="s">
        <v>417</v>
      </c>
      <c r="D995" s="7">
        <v>3507</v>
      </c>
      <c r="E995" t="s">
        <v>10</v>
      </c>
      <c r="F995" s="9">
        <v>24.8</v>
      </c>
    </row>
    <row r="996" spans="1:6">
      <c r="A996" t="s">
        <v>6</v>
      </c>
      <c r="B996" t="s">
        <v>382</v>
      </c>
      <c r="C996" s="1" t="s">
        <v>418</v>
      </c>
      <c r="D996" s="7">
        <v>3511</v>
      </c>
      <c r="E996" t="s">
        <v>10</v>
      </c>
      <c r="F996" s="9">
        <v>22.5</v>
      </c>
    </row>
    <row r="997" spans="1:6">
      <c r="A997" t="s">
        <v>6</v>
      </c>
      <c r="B997" t="s">
        <v>382</v>
      </c>
      <c r="C997" s="1" t="s">
        <v>419</v>
      </c>
      <c r="D997" s="7">
        <v>3515</v>
      </c>
      <c r="E997" t="s">
        <v>10</v>
      </c>
      <c r="F997" s="9">
        <v>22.7</v>
      </c>
    </row>
    <row r="998" spans="1:6">
      <c r="A998" t="s">
        <v>6</v>
      </c>
      <c r="B998" t="s">
        <v>382</v>
      </c>
      <c r="C998" s="1" t="s">
        <v>420</v>
      </c>
      <c r="D998" s="7">
        <v>3519</v>
      </c>
      <c r="E998" t="s">
        <v>10</v>
      </c>
      <c r="F998" s="9">
        <v>24.4</v>
      </c>
    </row>
    <row r="999" spans="1:6">
      <c r="A999" t="s">
        <v>6</v>
      </c>
      <c r="B999" t="s">
        <v>382</v>
      </c>
      <c r="C999" s="1" t="s">
        <v>421</v>
      </c>
      <c r="D999" s="7">
        <v>3523</v>
      </c>
      <c r="E999" t="s">
        <v>10</v>
      </c>
      <c r="F999" s="9">
        <v>23.5</v>
      </c>
    </row>
    <row r="1000" spans="1:6">
      <c r="A1000" t="s">
        <v>6</v>
      </c>
      <c r="B1000" t="s">
        <v>382</v>
      </c>
      <c r="C1000" s="1" t="s">
        <v>422</v>
      </c>
      <c r="D1000" s="7">
        <v>3527</v>
      </c>
      <c r="E1000" t="s">
        <v>10</v>
      </c>
      <c r="F1000" s="9">
        <v>22.1</v>
      </c>
    </row>
    <row r="1001" spans="1:6">
      <c r="A1001" t="s">
        <v>6</v>
      </c>
      <c r="B1001" t="s">
        <v>382</v>
      </c>
      <c r="C1001" s="1" t="s">
        <v>423</v>
      </c>
      <c r="D1001" s="7">
        <v>3531</v>
      </c>
      <c r="E1001" t="s">
        <v>10</v>
      </c>
      <c r="F1001" s="9">
        <v>24.1</v>
      </c>
    </row>
    <row r="1002" spans="1:6">
      <c r="A1002" t="s">
        <v>6</v>
      </c>
      <c r="B1002" t="s">
        <v>382</v>
      </c>
      <c r="C1002" s="1" t="s">
        <v>424</v>
      </c>
      <c r="D1002" s="7">
        <v>3775</v>
      </c>
      <c r="E1002" t="s">
        <v>10</v>
      </c>
      <c r="F1002" s="9">
        <v>23.9</v>
      </c>
    </row>
    <row r="1003" spans="1:6">
      <c r="A1003" t="s">
        <v>6</v>
      </c>
      <c r="B1003" t="s">
        <v>382</v>
      </c>
      <c r="C1003" s="1" t="s">
        <v>425</v>
      </c>
      <c r="D1003" s="7">
        <v>3951</v>
      </c>
      <c r="E1003" t="s">
        <v>10</v>
      </c>
      <c r="F1003" s="9">
        <v>24.5</v>
      </c>
    </row>
    <row r="1004" spans="1:6">
      <c r="A1004" t="s">
        <v>6</v>
      </c>
      <c r="B1004" t="s">
        <v>382</v>
      </c>
      <c r="C1004" s="3" t="s">
        <v>383</v>
      </c>
      <c r="D1004" s="7">
        <v>276</v>
      </c>
      <c r="E1004" s="2" t="s">
        <v>11</v>
      </c>
      <c r="F1004" s="10">
        <v>10.3</v>
      </c>
    </row>
    <row r="1005" spans="1:6">
      <c r="A1005" t="s">
        <v>6</v>
      </c>
      <c r="B1005" s="6" t="s">
        <v>382</v>
      </c>
      <c r="C1005" s="3" t="s">
        <v>384</v>
      </c>
      <c r="D1005" s="7">
        <v>312</v>
      </c>
      <c r="E1005" s="2" t="s">
        <v>11</v>
      </c>
      <c r="F1005" s="10">
        <v>10.6</v>
      </c>
    </row>
    <row r="1006" spans="1:6">
      <c r="A1006" t="s">
        <v>6</v>
      </c>
      <c r="B1006" s="6" t="s">
        <v>382</v>
      </c>
      <c r="C1006" s="3" t="s">
        <v>385</v>
      </c>
      <c r="D1006" s="7">
        <v>316</v>
      </c>
      <c r="E1006" s="2" t="s">
        <v>11</v>
      </c>
      <c r="F1006" s="10">
        <v>11.1</v>
      </c>
    </row>
    <row r="1007" spans="1:6">
      <c r="A1007" t="s">
        <v>6</v>
      </c>
      <c r="B1007" s="6" t="s">
        <v>382</v>
      </c>
      <c r="C1007" s="3" t="s">
        <v>386</v>
      </c>
      <c r="D1007" s="7">
        <v>324</v>
      </c>
      <c r="E1007" s="2" t="s">
        <v>11</v>
      </c>
      <c r="F1007" s="10">
        <v>10.3</v>
      </c>
    </row>
    <row r="1008" spans="1:6">
      <c r="A1008" t="s">
        <v>6</v>
      </c>
      <c r="B1008" t="s">
        <v>382</v>
      </c>
      <c r="C1008" s="1" t="s">
        <v>387</v>
      </c>
      <c r="D1008" s="7">
        <v>3985</v>
      </c>
      <c r="E1008" t="s">
        <v>11</v>
      </c>
      <c r="F1008" s="9">
        <v>10.9</v>
      </c>
    </row>
    <row r="1009" spans="1:6">
      <c r="A1009" t="s">
        <v>6</v>
      </c>
      <c r="B1009" t="s">
        <v>382</v>
      </c>
      <c r="C1009" s="1" t="s">
        <v>388</v>
      </c>
      <c r="D1009" s="7">
        <v>3989</v>
      </c>
      <c r="E1009" t="s">
        <v>11</v>
      </c>
      <c r="F1009" s="9">
        <v>10.9</v>
      </c>
    </row>
    <row r="1010" spans="1:6">
      <c r="A1010" t="s">
        <v>6</v>
      </c>
      <c r="B1010" t="s">
        <v>382</v>
      </c>
      <c r="C1010" s="1" t="s">
        <v>389</v>
      </c>
      <c r="D1010" s="7">
        <v>3993</v>
      </c>
      <c r="E1010" t="s">
        <v>11</v>
      </c>
      <c r="F1010" s="9">
        <v>9.8000000000000007</v>
      </c>
    </row>
    <row r="1011" spans="1:6">
      <c r="A1011" t="s">
        <v>6</v>
      </c>
      <c r="B1011" t="s">
        <v>382</v>
      </c>
      <c r="C1011" s="1" t="s">
        <v>390</v>
      </c>
      <c r="D1011" s="7">
        <v>3997</v>
      </c>
      <c r="E1011" t="s">
        <v>11</v>
      </c>
      <c r="F1011" s="9">
        <v>10.8</v>
      </c>
    </row>
    <row r="1012" spans="1:6">
      <c r="A1012" t="s">
        <v>6</v>
      </c>
      <c r="B1012" t="s">
        <v>382</v>
      </c>
      <c r="C1012" s="1" t="s">
        <v>391</v>
      </c>
      <c r="D1012" s="7">
        <v>4001</v>
      </c>
      <c r="E1012" t="s">
        <v>11</v>
      </c>
      <c r="F1012" s="9">
        <v>10.5</v>
      </c>
    </row>
    <row r="1013" spans="1:6">
      <c r="A1013" t="s">
        <v>6</v>
      </c>
      <c r="B1013" t="s">
        <v>382</v>
      </c>
      <c r="C1013" s="1" t="s">
        <v>392</v>
      </c>
      <c r="D1013" s="7">
        <v>4005</v>
      </c>
      <c r="E1013" t="s">
        <v>11</v>
      </c>
      <c r="F1013" s="9">
        <v>10.3</v>
      </c>
    </row>
    <row r="1014" spans="1:6">
      <c r="A1014" t="s">
        <v>6</v>
      </c>
      <c r="B1014" t="s">
        <v>382</v>
      </c>
      <c r="C1014" s="1" t="s">
        <v>393</v>
      </c>
      <c r="D1014" s="7">
        <v>4009</v>
      </c>
      <c r="E1014" t="s">
        <v>11</v>
      </c>
      <c r="F1014" s="9">
        <v>11.2</v>
      </c>
    </row>
    <row r="1015" spans="1:6">
      <c r="A1015" t="s">
        <v>6</v>
      </c>
      <c r="B1015" t="s">
        <v>382</v>
      </c>
      <c r="C1015" s="1" t="s">
        <v>394</v>
      </c>
      <c r="D1015" s="7">
        <v>4013</v>
      </c>
      <c r="E1015" t="s">
        <v>11</v>
      </c>
      <c r="F1015" s="9">
        <v>10.9</v>
      </c>
    </row>
    <row r="1016" spans="1:6">
      <c r="A1016" t="s">
        <v>6</v>
      </c>
      <c r="B1016" t="s">
        <v>382</v>
      </c>
      <c r="C1016" s="1" t="s">
        <v>395</v>
      </c>
      <c r="D1016" s="7">
        <v>4017</v>
      </c>
      <c r="E1016" t="s">
        <v>11</v>
      </c>
      <c r="F1016" s="9">
        <v>11.1</v>
      </c>
    </row>
    <row r="1017" spans="1:6">
      <c r="A1017" t="s">
        <v>6</v>
      </c>
      <c r="B1017" t="s">
        <v>382</v>
      </c>
      <c r="C1017" s="1" t="s">
        <v>396</v>
      </c>
      <c r="D1017" s="7">
        <v>6324</v>
      </c>
      <c r="E1017" t="s">
        <v>11</v>
      </c>
      <c r="F1017" s="9">
        <v>10.48</v>
      </c>
    </row>
    <row r="1018" spans="1:6">
      <c r="A1018" t="s">
        <v>6</v>
      </c>
      <c r="B1018" t="s">
        <v>382</v>
      </c>
      <c r="C1018" s="1" t="s">
        <v>397</v>
      </c>
      <c r="D1018" s="7">
        <v>6329</v>
      </c>
      <c r="E1018" t="s">
        <v>11</v>
      </c>
      <c r="F1018" s="9">
        <v>11.08</v>
      </c>
    </row>
    <row r="1019" spans="1:6">
      <c r="A1019" t="s">
        <v>6</v>
      </c>
      <c r="B1019" t="s">
        <v>382</v>
      </c>
      <c r="C1019" s="1" t="s">
        <v>398</v>
      </c>
      <c r="D1019" s="7">
        <v>6290</v>
      </c>
      <c r="E1019" t="s">
        <v>11</v>
      </c>
      <c r="F1019" s="9">
        <v>10.24</v>
      </c>
    </row>
    <row r="1020" spans="1:6">
      <c r="A1020" t="s">
        <v>6</v>
      </c>
      <c r="B1020" t="s">
        <v>382</v>
      </c>
      <c r="C1020" s="1" t="s">
        <v>427</v>
      </c>
      <c r="D1020" s="7">
        <v>6270</v>
      </c>
      <c r="E1020" t="s">
        <v>11</v>
      </c>
      <c r="F1020" s="9">
        <v>11.62</v>
      </c>
    </row>
    <row r="1021" spans="1:6">
      <c r="A1021" t="s">
        <v>6</v>
      </c>
      <c r="B1021" t="s">
        <v>382</v>
      </c>
      <c r="C1021" s="1" t="s">
        <v>400</v>
      </c>
      <c r="D1021" s="7">
        <v>6280</v>
      </c>
      <c r="E1021" t="s">
        <v>11</v>
      </c>
      <c r="F1021" s="9">
        <v>10.57</v>
      </c>
    </row>
    <row r="1022" spans="1:6">
      <c r="A1022" t="s">
        <v>6</v>
      </c>
      <c r="B1022" t="s">
        <v>382</v>
      </c>
      <c r="C1022" s="1" t="s">
        <v>401</v>
      </c>
      <c r="D1022" s="7">
        <v>5453</v>
      </c>
      <c r="E1022" t="s">
        <v>11</v>
      </c>
      <c r="F1022" s="9">
        <v>10.199999999999999</v>
      </c>
    </row>
    <row r="1023" spans="1:6">
      <c r="A1023" t="s">
        <v>6</v>
      </c>
      <c r="B1023" t="s">
        <v>382</v>
      </c>
      <c r="C1023" s="1" t="s">
        <v>402</v>
      </c>
      <c r="D1023" s="7">
        <v>2933</v>
      </c>
      <c r="E1023" t="s">
        <v>11</v>
      </c>
      <c r="F1023" s="9">
        <v>10.199999999999999</v>
      </c>
    </row>
    <row r="1024" spans="1:6">
      <c r="A1024" t="s">
        <v>6</v>
      </c>
      <c r="B1024" t="s">
        <v>382</v>
      </c>
      <c r="C1024" s="1" t="s">
        <v>403</v>
      </c>
      <c r="D1024" s="7">
        <v>2945</v>
      </c>
      <c r="E1024" t="s">
        <v>11</v>
      </c>
      <c r="F1024" s="9">
        <v>10.1</v>
      </c>
    </row>
    <row r="1025" spans="1:6">
      <c r="A1025" t="s">
        <v>6</v>
      </c>
      <c r="B1025" t="s">
        <v>382</v>
      </c>
      <c r="C1025" s="1" t="s">
        <v>404</v>
      </c>
      <c r="D1025" s="7">
        <v>2949</v>
      </c>
      <c r="E1025" t="s">
        <v>11</v>
      </c>
      <c r="F1025" s="9">
        <v>10.5</v>
      </c>
    </row>
    <row r="1026" spans="1:6">
      <c r="A1026" t="s">
        <v>6</v>
      </c>
      <c r="B1026" t="s">
        <v>382</v>
      </c>
      <c r="C1026" s="1" t="s">
        <v>405</v>
      </c>
      <c r="D1026" s="7">
        <v>2953</v>
      </c>
      <c r="E1026" t="s">
        <v>11</v>
      </c>
      <c r="F1026" s="9">
        <v>10.5</v>
      </c>
    </row>
    <row r="1027" spans="1:6">
      <c r="A1027" t="s">
        <v>6</v>
      </c>
      <c r="B1027" t="s">
        <v>382</v>
      </c>
      <c r="C1027" s="1" t="s">
        <v>406</v>
      </c>
      <c r="D1027" s="7">
        <v>2957</v>
      </c>
      <c r="E1027" t="s">
        <v>11</v>
      </c>
      <c r="F1027" s="9">
        <v>11.2</v>
      </c>
    </row>
    <row r="1028" spans="1:6">
      <c r="A1028" t="s">
        <v>6</v>
      </c>
      <c r="B1028" t="s">
        <v>382</v>
      </c>
      <c r="C1028" s="1" t="s">
        <v>407</v>
      </c>
      <c r="D1028" s="7">
        <v>2961</v>
      </c>
      <c r="E1028" t="s">
        <v>11</v>
      </c>
      <c r="F1028" s="9">
        <v>10.6</v>
      </c>
    </row>
    <row r="1029" spans="1:6">
      <c r="A1029" t="s">
        <v>6</v>
      </c>
      <c r="B1029" t="s">
        <v>382</v>
      </c>
      <c r="C1029" s="1" t="s">
        <v>408</v>
      </c>
      <c r="D1029" s="7">
        <v>2965</v>
      </c>
      <c r="E1029" t="s">
        <v>11</v>
      </c>
      <c r="F1029" s="9">
        <v>10.6</v>
      </c>
    </row>
    <row r="1030" spans="1:6">
      <c r="A1030" t="s">
        <v>6</v>
      </c>
      <c r="B1030" t="s">
        <v>382</v>
      </c>
      <c r="C1030" s="1" t="s">
        <v>409</v>
      </c>
      <c r="D1030" s="7">
        <v>3093</v>
      </c>
      <c r="E1030" t="s">
        <v>11</v>
      </c>
      <c r="F1030" s="9">
        <v>10.6</v>
      </c>
    </row>
    <row r="1031" spans="1:6">
      <c r="A1031" t="s">
        <v>6</v>
      </c>
      <c r="B1031" t="s">
        <v>382</v>
      </c>
      <c r="C1031" s="1" t="s">
        <v>410</v>
      </c>
      <c r="D1031" s="7">
        <v>3097</v>
      </c>
      <c r="E1031" t="s">
        <v>11</v>
      </c>
      <c r="F1031" s="9">
        <v>11</v>
      </c>
    </row>
    <row r="1032" spans="1:6">
      <c r="A1032" t="s">
        <v>6</v>
      </c>
      <c r="B1032" t="s">
        <v>382</v>
      </c>
      <c r="C1032" s="1" t="s">
        <v>411</v>
      </c>
      <c r="D1032" s="7">
        <v>3101</v>
      </c>
      <c r="E1032" t="s">
        <v>11</v>
      </c>
      <c r="F1032" s="9">
        <v>9.9</v>
      </c>
    </row>
    <row r="1033" spans="1:6">
      <c r="A1033" t="s">
        <v>6</v>
      </c>
      <c r="B1033" t="s">
        <v>382</v>
      </c>
      <c r="C1033" s="1" t="s">
        <v>412</v>
      </c>
      <c r="D1033" s="7">
        <v>3105</v>
      </c>
      <c r="E1033" t="s">
        <v>11</v>
      </c>
      <c r="F1033" s="9">
        <v>10.1</v>
      </c>
    </row>
    <row r="1034" spans="1:6">
      <c r="A1034" t="s">
        <v>6</v>
      </c>
      <c r="B1034" t="s">
        <v>382</v>
      </c>
      <c r="C1034" s="1" t="s">
        <v>413</v>
      </c>
      <c r="D1034" s="7">
        <v>3109</v>
      </c>
      <c r="E1034" t="s">
        <v>11</v>
      </c>
      <c r="F1034" s="9">
        <v>10.4</v>
      </c>
    </row>
    <row r="1035" spans="1:6">
      <c r="A1035" t="s">
        <v>6</v>
      </c>
      <c r="B1035" t="s">
        <v>382</v>
      </c>
      <c r="C1035" s="1" t="s">
        <v>414</v>
      </c>
      <c r="D1035" s="7">
        <v>3113</v>
      </c>
      <c r="E1035" t="s">
        <v>11</v>
      </c>
      <c r="F1035" s="9">
        <v>11</v>
      </c>
    </row>
    <row r="1036" spans="1:6">
      <c r="A1036" t="s">
        <v>6</v>
      </c>
      <c r="B1036" t="s">
        <v>382</v>
      </c>
      <c r="C1036" s="1" t="s">
        <v>415</v>
      </c>
      <c r="D1036" s="7">
        <v>3161</v>
      </c>
      <c r="E1036" t="s">
        <v>11</v>
      </c>
      <c r="F1036" s="9">
        <v>9.8000000000000007</v>
      </c>
    </row>
    <row r="1037" spans="1:6">
      <c r="A1037" t="s">
        <v>6</v>
      </c>
      <c r="B1037" t="s">
        <v>382</v>
      </c>
      <c r="C1037" s="1" t="s">
        <v>416</v>
      </c>
      <c r="D1037" s="7">
        <v>3165</v>
      </c>
      <c r="E1037" t="s">
        <v>11</v>
      </c>
      <c r="F1037" s="9">
        <v>10</v>
      </c>
    </row>
    <row r="1038" spans="1:6">
      <c r="A1038" t="s">
        <v>6</v>
      </c>
      <c r="B1038" t="s">
        <v>382</v>
      </c>
      <c r="C1038" s="1" t="s">
        <v>417</v>
      </c>
      <c r="D1038" s="7">
        <v>3505</v>
      </c>
      <c r="E1038" t="s">
        <v>11</v>
      </c>
      <c r="F1038" s="9">
        <v>10.5</v>
      </c>
    </row>
    <row r="1039" spans="1:6">
      <c r="A1039" t="s">
        <v>6</v>
      </c>
      <c r="B1039" t="s">
        <v>382</v>
      </c>
      <c r="C1039" s="1" t="s">
        <v>418</v>
      </c>
      <c r="D1039" s="7">
        <v>3509</v>
      </c>
      <c r="E1039" t="s">
        <v>11</v>
      </c>
      <c r="F1039" s="9">
        <v>10.4</v>
      </c>
    </row>
    <row r="1040" spans="1:6">
      <c r="A1040" t="s">
        <v>6</v>
      </c>
      <c r="B1040" t="s">
        <v>382</v>
      </c>
      <c r="C1040" s="1" t="s">
        <v>419</v>
      </c>
      <c r="D1040" s="7">
        <v>3513</v>
      </c>
      <c r="E1040" t="s">
        <v>11</v>
      </c>
      <c r="F1040" s="9">
        <v>10.3</v>
      </c>
    </row>
    <row r="1041" spans="1:6">
      <c r="A1041" t="s">
        <v>6</v>
      </c>
      <c r="B1041" t="s">
        <v>382</v>
      </c>
      <c r="C1041" s="1" t="s">
        <v>420</v>
      </c>
      <c r="D1041" s="7">
        <v>3517</v>
      </c>
      <c r="E1041" t="s">
        <v>11</v>
      </c>
      <c r="F1041" s="9">
        <v>10.9</v>
      </c>
    </row>
    <row r="1042" spans="1:6">
      <c r="A1042" t="s">
        <v>6</v>
      </c>
      <c r="B1042" t="s">
        <v>382</v>
      </c>
      <c r="C1042" s="1" t="s">
        <v>421</v>
      </c>
      <c r="D1042" s="7">
        <v>3521</v>
      </c>
      <c r="E1042" t="s">
        <v>11</v>
      </c>
      <c r="F1042" s="9">
        <v>11.1</v>
      </c>
    </row>
    <row r="1043" spans="1:6">
      <c r="A1043" t="s">
        <v>6</v>
      </c>
      <c r="B1043" t="s">
        <v>382</v>
      </c>
      <c r="C1043" s="1" t="s">
        <v>422</v>
      </c>
      <c r="D1043" s="7">
        <v>3525</v>
      </c>
      <c r="E1043" t="s">
        <v>11</v>
      </c>
      <c r="F1043" s="9">
        <v>9.8000000000000007</v>
      </c>
    </row>
    <row r="1044" spans="1:6">
      <c r="A1044" t="s">
        <v>6</v>
      </c>
      <c r="B1044" t="s">
        <v>382</v>
      </c>
      <c r="C1044" s="1" t="s">
        <v>423</v>
      </c>
      <c r="D1044" s="7">
        <v>3529</v>
      </c>
      <c r="E1044" t="s">
        <v>11</v>
      </c>
      <c r="F1044" s="9">
        <v>10.7</v>
      </c>
    </row>
    <row r="1045" spans="1:6">
      <c r="A1045" t="s">
        <v>6</v>
      </c>
      <c r="B1045" t="s">
        <v>382</v>
      </c>
      <c r="C1045" s="1" t="s">
        <v>424</v>
      </c>
      <c r="D1045" s="7">
        <v>3773</v>
      </c>
      <c r="E1045" t="s">
        <v>11</v>
      </c>
      <c r="F1045" s="9">
        <v>11.9</v>
      </c>
    </row>
    <row r="1046" spans="1:6">
      <c r="A1046" t="s">
        <v>6</v>
      </c>
      <c r="B1046" t="s">
        <v>382</v>
      </c>
      <c r="C1046" s="1" t="s">
        <v>425</v>
      </c>
      <c r="D1046" s="7">
        <v>3949</v>
      </c>
      <c r="E1046" t="s">
        <v>11</v>
      </c>
      <c r="F1046" s="9">
        <v>11</v>
      </c>
    </row>
    <row r="1047" spans="1:6">
      <c r="A1047" t="s">
        <v>6</v>
      </c>
      <c r="B1047" t="s">
        <v>382</v>
      </c>
      <c r="C1047" s="1" t="s">
        <v>428</v>
      </c>
      <c r="D1047" s="7">
        <v>5555</v>
      </c>
      <c r="E1047" t="s">
        <v>12</v>
      </c>
      <c r="F1047" s="9">
        <v>3.37</v>
      </c>
    </row>
    <row r="1048" spans="1:6">
      <c r="A1048" t="s">
        <v>6</v>
      </c>
      <c r="B1048" t="s">
        <v>382</v>
      </c>
      <c r="C1048" s="1" t="s">
        <v>396</v>
      </c>
      <c r="D1048" s="7">
        <v>6325</v>
      </c>
      <c r="E1048" t="s">
        <v>12</v>
      </c>
      <c r="F1048" s="9">
        <v>3.21</v>
      </c>
    </row>
    <row r="1049" spans="1:6">
      <c r="A1049" t="s">
        <v>6</v>
      </c>
      <c r="B1049" t="s">
        <v>382</v>
      </c>
      <c r="C1049" s="1" t="s">
        <v>397</v>
      </c>
      <c r="D1049" s="7">
        <v>6330</v>
      </c>
      <c r="E1049" t="s">
        <v>12</v>
      </c>
      <c r="F1049" s="9">
        <v>3.28</v>
      </c>
    </row>
    <row r="1050" spans="1:6">
      <c r="A1050" t="s">
        <v>6</v>
      </c>
      <c r="B1050" t="s">
        <v>382</v>
      </c>
      <c r="C1050" s="1" t="s">
        <v>398</v>
      </c>
      <c r="D1050" s="7">
        <v>6291</v>
      </c>
      <c r="E1050" t="s">
        <v>12</v>
      </c>
      <c r="F1050" s="9">
        <v>2.98</v>
      </c>
    </row>
    <row r="1051" spans="1:6">
      <c r="A1051" t="s">
        <v>6</v>
      </c>
      <c r="B1051" t="s">
        <v>382</v>
      </c>
      <c r="C1051" s="1" t="s">
        <v>429</v>
      </c>
      <c r="D1051" s="7">
        <v>6271</v>
      </c>
      <c r="E1051" t="s">
        <v>12</v>
      </c>
      <c r="F1051" s="9">
        <v>3.68</v>
      </c>
    </row>
    <row r="1052" spans="1:6">
      <c r="A1052" t="s">
        <v>6</v>
      </c>
      <c r="B1052" t="s">
        <v>382</v>
      </c>
      <c r="C1052" s="1" t="s">
        <v>400</v>
      </c>
      <c r="D1052" s="7">
        <v>6281</v>
      </c>
      <c r="E1052" t="s">
        <v>12</v>
      </c>
      <c r="F1052" s="9">
        <v>3.05</v>
      </c>
    </row>
    <row r="1053" spans="1:6">
      <c r="A1053" t="s">
        <v>6</v>
      </c>
      <c r="B1053" t="s">
        <v>382</v>
      </c>
      <c r="C1053" s="1" t="s">
        <v>400</v>
      </c>
      <c r="D1053" s="7">
        <v>5378</v>
      </c>
      <c r="E1053" t="s">
        <v>12</v>
      </c>
      <c r="F1053" s="9">
        <v>3.25</v>
      </c>
    </row>
    <row r="1054" spans="1:6">
      <c r="A1054" t="s">
        <v>6</v>
      </c>
      <c r="B1054" t="s">
        <v>382</v>
      </c>
      <c r="C1054" s="1" t="s">
        <v>430</v>
      </c>
      <c r="D1054" s="7">
        <v>5812</v>
      </c>
      <c r="E1054" t="s">
        <v>12</v>
      </c>
      <c r="F1054" s="9">
        <v>3.16</v>
      </c>
    </row>
    <row r="1055" spans="1:6">
      <c r="A1055" t="s">
        <v>6</v>
      </c>
      <c r="B1055" t="s">
        <v>382</v>
      </c>
      <c r="C1055" s="1" t="s">
        <v>431</v>
      </c>
      <c r="D1055" s="7">
        <v>5278</v>
      </c>
      <c r="E1055" t="s">
        <v>12</v>
      </c>
      <c r="F1055" s="9">
        <v>3.01</v>
      </c>
    </row>
    <row r="1056" spans="1:6">
      <c r="A1056" t="s">
        <v>6</v>
      </c>
      <c r="B1056" t="s">
        <v>382</v>
      </c>
      <c r="C1056" s="1" t="s">
        <v>432</v>
      </c>
      <c r="D1056" s="7">
        <v>5282</v>
      </c>
      <c r="E1056" t="s">
        <v>12</v>
      </c>
      <c r="F1056" s="9">
        <v>3.16</v>
      </c>
    </row>
    <row r="1057" spans="1:6">
      <c r="A1057" t="s">
        <v>6</v>
      </c>
      <c r="B1057" t="s">
        <v>382</v>
      </c>
      <c r="C1057" s="1" t="s">
        <v>433</v>
      </c>
      <c r="D1057" s="7">
        <v>5286</v>
      </c>
      <c r="E1057" t="s">
        <v>12</v>
      </c>
      <c r="F1057" s="9">
        <v>3.28</v>
      </c>
    </row>
    <row r="1058" spans="1:6">
      <c r="A1058" t="s">
        <v>6</v>
      </c>
      <c r="B1058" t="s">
        <v>382</v>
      </c>
      <c r="C1058" s="1" t="s">
        <v>401</v>
      </c>
      <c r="D1058" s="7">
        <v>5454</v>
      </c>
      <c r="E1058" t="s">
        <v>12</v>
      </c>
      <c r="F1058" s="9">
        <v>2.95</v>
      </c>
    </row>
    <row r="1059" spans="1:6">
      <c r="A1059" t="s">
        <v>6</v>
      </c>
      <c r="B1059" t="s">
        <v>434</v>
      </c>
      <c r="C1059" s="1" t="s">
        <v>435</v>
      </c>
      <c r="D1059" s="7">
        <v>5830</v>
      </c>
      <c r="E1059" t="s">
        <v>9</v>
      </c>
      <c r="F1059" s="9">
        <v>2.54</v>
      </c>
    </row>
    <row r="1060" spans="1:6">
      <c r="A1060" t="s">
        <v>6</v>
      </c>
      <c r="B1060" t="s">
        <v>434</v>
      </c>
      <c r="C1060" s="1" t="s">
        <v>436</v>
      </c>
      <c r="D1060" s="7">
        <v>2906</v>
      </c>
      <c r="E1060" t="s">
        <v>9</v>
      </c>
      <c r="F1060" s="9">
        <v>3.2</v>
      </c>
    </row>
    <row r="1061" spans="1:6">
      <c r="A1061" t="s">
        <v>6</v>
      </c>
      <c r="B1061" t="s">
        <v>434</v>
      </c>
      <c r="C1061" s="1" t="s">
        <v>437</v>
      </c>
      <c r="D1061" s="7">
        <v>4146</v>
      </c>
      <c r="E1061" t="s">
        <v>9</v>
      </c>
      <c r="F1061" s="9">
        <v>3.2</v>
      </c>
    </row>
    <row r="1062" spans="1:6">
      <c r="A1062" t="s">
        <v>6</v>
      </c>
      <c r="B1062" t="s">
        <v>434</v>
      </c>
      <c r="C1062" s="1" t="s">
        <v>438</v>
      </c>
      <c r="D1062" s="7">
        <v>3618</v>
      </c>
      <c r="E1062" t="s">
        <v>9</v>
      </c>
      <c r="F1062" s="9">
        <v>2.7</v>
      </c>
    </row>
    <row r="1063" spans="1:6">
      <c r="A1063" t="s">
        <v>6</v>
      </c>
      <c r="B1063" t="s">
        <v>434</v>
      </c>
      <c r="C1063" s="1" t="s">
        <v>439</v>
      </c>
      <c r="D1063" s="7">
        <v>3622</v>
      </c>
      <c r="E1063" t="s">
        <v>9</v>
      </c>
      <c r="F1063" s="9">
        <v>2.9</v>
      </c>
    </row>
    <row r="1064" spans="1:6">
      <c r="A1064" t="s">
        <v>6</v>
      </c>
      <c r="B1064" t="s">
        <v>434</v>
      </c>
      <c r="C1064" s="1" t="s">
        <v>440</v>
      </c>
      <c r="D1064" s="7">
        <v>3626</v>
      </c>
      <c r="E1064" t="s">
        <v>9</v>
      </c>
      <c r="F1064" s="9">
        <v>2.7</v>
      </c>
    </row>
    <row r="1065" spans="1:6">
      <c r="A1065" t="s">
        <v>6</v>
      </c>
      <c r="B1065" t="s">
        <v>434</v>
      </c>
      <c r="C1065" s="1" t="s">
        <v>441</v>
      </c>
      <c r="D1065" s="7">
        <v>4162</v>
      </c>
      <c r="E1065" t="s">
        <v>9</v>
      </c>
      <c r="F1065" s="9">
        <v>3.1</v>
      </c>
    </row>
    <row r="1066" spans="1:6">
      <c r="A1066" t="s">
        <v>6</v>
      </c>
      <c r="B1066" t="s">
        <v>434</v>
      </c>
      <c r="C1066" s="1" t="s">
        <v>442</v>
      </c>
      <c r="D1066" s="7">
        <v>4154</v>
      </c>
      <c r="E1066" t="s">
        <v>9</v>
      </c>
      <c r="F1066" s="9">
        <v>3.5</v>
      </c>
    </row>
    <row r="1067" spans="1:6">
      <c r="A1067" t="s">
        <v>6</v>
      </c>
      <c r="B1067" t="s">
        <v>434</v>
      </c>
      <c r="C1067" s="1" t="s">
        <v>443</v>
      </c>
      <c r="D1067" s="7">
        <v>3874</v>
      </c>
      <c r="E1067" t="s">
        <v>9</v>
      </c>
      <c r="F1067" s="9">
        <v>3.3</v>
      </c>
    </row>
    <row r="1068" spans="1:6">
      <c r="A1068" t="s">
        <v>6</v>
      </c>
      <c r="B1068" t="s">
        <v>434</v>
      </c>
      <c r="C1068" s="1" t="s">
        <v>436</v>
      </c>
      <c r="D1068" s="7">
        <v>2907</v>
      </c>
      <c r="E1068" t="s">
        <v>10</v>
      </c>
      <c r="F1068" s="9">
        <v>10.8</v>
      </c>
    </row>
    <row r="1069" spans="1:6">
      <c r="A1069" t="s">
        <v>6</v>
      </c>
      <c r="B1069" t="s">
        <v>434</v>
      </c>
      <c r="C1069" s="1" t="s">
        <v>437</v>
      </c>
      <c r="D1069" s="7">
        <v>4147</v>
      </c>
      <c r="E1069" t="s">
        <v>10</v>
      </c>
      <c r="F1069" s="9">
        <v>7.7</v>
      </c>
    </row>
    <row r="1070" spans="1:6">
      <c r="A1070" t="s">
        <v>6</v>
      </c>
      <c r="B1070" t="s">
        <v>434</v>
      </c>
      <c r="C1070" s="1" t="s">
        <v>438</v>
      </c>
      <c r="D1070" s="7">
        <v>3619</v>
      </c>
      <c r="E1070" t="s">
        <v>10</v>
      </c>
      <c r="F1070" s="9">
        <v>12.2</v>
      </c>
    </row>
    <row r="1071" spans="1:6">
      <c r="A1071" t="s">
        <v>6</v>
      </c>
      <c r="B1071" t="s">
        <v>434</v>
      </c>
      <c r="C1071" s="1" t="s">
        <v>439</v>
      </c>
      <c r="D1071" s="7">
        <v>3623</v>
      </c>
      <c r="E1071" t="s">
        <v>10</v>
      </c>
      <c r="F1071" s="9">
        <v>11.9</v>
      </c>
    </row>
    <row r="1072" spans="1:6">
      <c r="A1072" t="s">
        <v>6</v>
      </c>
      <c r="B1072" t="s">
        <v>434</v>
      </c>
      <c r="C1072" s="1" t="s">
        <v>440</v>
      </c>
      <c r="D1072" s="7">
        <v>3627</v>
      </c>
      <c r="E1072" t="s">
        <v>10</v>
      </c>
      <c r="F1072" s="9">
        <v>11.3</v>
      </c>
    </row>
    <row r="1073" spans="1:6">
      <c r="A1073" t="s">
        <v>6</v>
      </c>
      <c r="B1073" t="s">
        <v>434</v>
      </c>
      <c r="C1073" s="1" t="s">
        <v>441</v>
      </c>
      <c r="D1073" s="7">
        <v>4163</v>
      </c>
      <c r="E1073" t="s">
        <v>10</v>
      </c>
      <c r="F1073" s="9">
        <v>8.6</v>
      </c>
    </row>
    <row r="1074" spans="1:6">
      <c r="A1074" t="s">
        <v>6</v>
      </c>
      <c r="B1074" t="s">
        <v>434</v>
      </c>
      <c r="C1074" s="1" t="s">
        <v>442</v>
      </c>
      <c r="D1074" s="7">
        <v>4155</v>
      </c>
      <c r="E1074" t="s">
        <v>10</v>
      </c>
      <c r="F1074" s="9">
        <v>6.5</v>
      </c>
    </row>
    <row r="1075" spans="1:6">
      <c r="A1075" t="s">
        <v>6</v>
      </c>
      <c r="B1075" t="s">
        <v>434</v>
      </c>
      <c r="C1075" s="1" t="s">
        <v>443</v>
      </c>
      <c r="D1075" s="7">
        <v>3875</v>
      </c>
      <c r="E1075" t="s">
        <v>10</v>
      </c>
      <c r="F1075" s="9">
        <v>11.1</v>
      </c>
    </row>
    <row r="1076" spans="1:6">
      <c r="A1076" t="s">
        <v>6</v>
      </c>
      <c r="B1076" t="s">
        <v>434</v>
      </c>
      <c r="C1076" s="1" t="s">
        <v>435</v>
      </c>
      <c r="D1076" s="7">
        <v>5831</v>
      </c>
      <c r="E1076" t="s">
        <v>11</v>
      </c>
      <c r="F1076" s="9">
        <v>8.32</v>
      </c>
    </row>
    <row r="1077" spans="1:6">
      <c r="A1077" t="s">
        <v>6</v>
      </c>
      <c r="B1077" t="s">
        <v>434</v>
      </c>
      <c r="C1077" s="1" t="s">
        <v>436</v>
      </c>
      <c r="D1077" s="7">
        <v>2905</v>
      </c>
      <c r="E1077" t="s">
        <v>11</v>
      </c>
      <c r="F1077" s="9">
        <v>7.7</v>
      </c>
    </row>
    <row r="1078" spans="1:6">
      <c r="A1078" t="s">
        <v>6</v>
      </c>
      <c r="B1078" t="s">
        <v>434</v>
      </c>
      <c r="C1078" s="1" t="s">
        <v>437</v>
      </c>
      <c r="D1078" s="7">
        <v>4145</v>
      </c>
      <c r="E1078" t="s">
        <v>11</v>
      </c>
      <c r="F1078" s="9">
        <v>7</v>
      </c>
    </row>
    <row r="1079" spans="1:6">
      <c r="A1079" t="s">
        <v>6</v>
      </c>
      <c r="B1079" t="s">
        <v>434</v>
      </c>
      <c r="C1079" s="1" t="s">
        <v>438</v>
      </c>
      <c r="D1079" s="7">
        <v>3617</v>
      </c>
      <c r="E1079" t="s">
        <v>11</v>
      </c>
      <c r="F1079" s="9">
        <v>8.3000000000000007</v>
      </c>
    </row>
    <row r="1080" spans="1:6">
      <c r="A1080" t="s">
        <v>6</v>
      </c>
      <c r="B1080" t="s">
        <v>434</v>
      </c>
      <c r="C1080" s="1" t="s">
        <v>439</v>
      </c>
      <c r="D1080" s="7">
        <v>3621</v>
      </c>
      <c r="E1080" t="s">
        <v>11</v>
      </c>
      <c r="F1080" s="9">
        <v>7.9</v>
      </c>
    </row>
    <row r="1081" spans="1:6">
      <c r="A1081" t="s">
        <v>6</v>
      </c>
      <c r="B1081" t="s">
        <v>434</v>
      </c>
      <c r="C1081" s="1" t="s">
        <v>440</v>
      </c>
      <c r="D1081" s="7">
        <v>3625</v>
      </c>
      <c r="E1081" t="s">
        <v>11</v>
      </c>
      <c r="F1081" s="9">
        <v>8.1999999999999993</v>
      </c>
    </row>
    <row r="1082" spans="1:6">
      <c r="A1082" t="s">
        <v>6</v>
      </c>
      <c r="B1082" t="s">
        <v>434</v>
      </c>
      <c r="C1082" s="1" t="s">
        <v>441</v>
      </c>
      <c r="D1082" s="7">
        <v>4161</v>
      </c>
      <c r="E1082" t="s">
        <v>11</v>
      </c>
      <c r="F1082" s="9">
        <v>8.1999999999999993</v>
      </c>
    </row>
    <row r="1083" spans="1:6">
      <c r="A1083" t="s">
        <v>6</v>
      </c>
      <c r="B1083" t="s">
        <v>434</v>
      </c>
      <c r="C1083" s="1" t="s">
        <v>442</v>
      </c>
      <c r="D1083" s="7">
        <v>4153</v>
      </c>
      <c r="E1083" t="s">
        <v>11</v>
      </c>
      <c r="F1083" s="9">
        <v>7.3</v>
      </c>
    </row>
    <row r="1084" spans="1:6">
      <c r="A1084" t="s">
        <v>6</v>
      </c>
      <c r="B1084" t="s">
        <v>434</v>
      </c>
      <c r="C1084" s="1" t="s">
        <v>443</v>
      </c>
      <c r="D1084" s="7">
        <v>3873</v>
      </c>
      <c r="E1084" t="s">
        <v>11</v>
      </c>
      <c r="F1084" s="9">
        <v>8.1999999999999993</v>
      </c>
    </row>
    <row r="1085" spans="1:6">
      <c r="A1085" t="s">
        <v>6</v>
      </c>
      <c r="B1085" t="s">
        <v>434</v>
      </c>
      <c r="C1085" s="1" t="s">
        <v>435</v>
      </c>
      <c r="D1085" s="7">
        <v>5832</v>
      </c>
      <c r="E1085" t="s">
        <v>12</v>
      </c>
      <c r="F1085" s="9">
        <v>2.56</v>
      </c>
    </row>
    <row r="1086" spans="1:6">
      <c r="A1086" t="s">
        <v>6</v>
      </c>
      <c r="B1086" t="s">
        <v>444</v>
      </c>
      <c r="C1086" s="1" t="s">
        <v>445</v>
      </c>
      <c r="D1086" s="7">
        <v>4066</v>
      </c>
      <c r="E1086" t="s">
        <v>9</v>
      </c>
      <c r="F1086" s="9">
        <v>3</v>
      </c>
    </row>
    <row r="1087" spans="1:6">
      <c r="A1087" t="s">
        <v>6</v>
      </c>
      <c r="B1087" t="s">
        <v>444</v>
      </c>
      <c r="C1087" s="1" t="s">
        <v>446</v>
      </c>
      <c r="D1087" s="7">
        <v>5348</v>
      </c>
      <c r="E1087" t="s">
        <v>9</v>
      </c>
      <c r="F1087" s="9">
        <v>2.72</v>
      </c>
    </row>
    <row r="1088" spans="1:6">
      <c r="A1088" t="s">
        <v>6</v>
      </c>
      <c r="B1088" t="s">
        <v>444</v>
      </c>
      <c r="C1088" s="1" t="s">
        <v>447</v>
      </c>
      <c r="D1088" s="7">
        <v>6204</v>
      </c>
      <c r="E1088" t="s">
        <v>9</v>
      </c>
      <c r="F1088" s="9">
        <v>2.75</v>
      </c>
    </row>
    <row r="1089" spans="1:6">
      <c r="A1089" t="s">
        <v>6</v>
      </c>
      <c r="B1089" t="s">
        <v>444</v>
      </c>
      <c r="C1089" s="1" t="s">
        <v>448</v>
      </c>
      <c r="D1089" s="7">
        <v>5613</v>
      </c>
      <c r="E1089" t="s">
        <v>9</v>
      </c>
      <c r="F1089" s="9">
        <v>2.76</v>
      </c>
    </row>
    <row r="1090" spans="1:6">
      <c r="A1090" t="s">
        <v>6</v>
      </c>
      <c r="B1090" t="s">
        <v>444</v>
      </c>
      <c r="C1090" s="1" t="s">
        <v>449</v>
      </c>
      <c r="D1090" s="7">
        <v>6199</v>
      </c>
      <c r="E1090" t="s">
        <v>9</v>
      </c>
      <c r="F1090" s="9">
        <v>2.54</v>
      </c>
    </row>
    <row r="1091" spans="1:6">
      <c r="A1091" t="s">
        <v>6</v>
      </c>
      <c r="B1091" t="s">
        <v>444</v>
      </c>
      <c r="C1091" s="1" t="s">
        <v>450</v>
      </c>
      <c r="D1091" s="7">
        <v>6194</v>
      </c>
      <c r="E1091" t="s">
        <v>9</v>
      </c>
      <c r="F1091" s="9">
        <v>2.85</v>
      </c>
    </row>
    <row r="1092" spans="1:6">
      <c r="A1092" t="s">
        <v>6</v>
      </c>
      <c r="B1092" t="s">
        <v>444</v>
      </c>
      <c r="C1092" s="1" t="s">
        <v>451</v>
      </c>
      <c r="D1092" s="7">
        <v>6309</v>
      </c>
      <c r="E1092" t="s">
        <v>9</v>
      </c>
      <c r="F1092" s="9">
        <v>2.68</v>
      </c>
    </row>
    <row r="1093" spans="1:6">
      <c r="A1093" t="s">
        <v>6</v>
      </c>
      <c r="B1093" t="s">
        <v>444</v>
      </c>
      <c r="C1093" s="1" t="s">
        <v>452</v>
      </c>
      <c r="D1093" s="7">
        <v>6313</v>
      </c>
      <c r="E1093" t="s">
        <v>9</v>
      </c>
      <c r="F1093" s="9">
        <v>2.59</v>
      </c>
    </row>
    <row r="1094" spans="1:6">
      <c r="A1094" t="s">
        <v>6</v>
      </c>
      <c r="B1094" t="s">
        <v>444</v>
      </c>
      <c r="C1094" s="1" t="s">
        <v>453</v>
      </c>
      <c r="D1094" s="7">
        <v>6318</v>
      </c>
      <c r="E1094" t="s">
        <v>9</v>
      </c>
      <c r="F1094" s="9">
        <v>2.67</v>
      </c>
    </row>
    <row r="1095" spans="1:6">
      <c r="A1095" t="s">
        <v>6</v>
      </c>
      <c r="B1095" t="s">
        <v>444</v>
      </c>
      <c r="C1095" s="1" t="s">
        <v>454</v>
      </c>
      <c r="D1095" s="7">
        <v>6189</v>
      </c>
      <c r="E1095" t="s">
        <v>9</v>
      </c>
      <c r="F1095" s="9">
        <v>2.65</v>
      </c>
    </row>
    <row r="1096" spans="1:6">
      <c r="A1096" t="s">
        <v>6</v>
      </c>
      <c r="B1096" t="s">
        <v>444</v>
      </c>
      <c r="C1096" s="1" t="s">
        <v>455</v>
      </c>
      <c r="D1096" s="7">
        <v>6249</v>
      </c>
      <c r="E1096" t="s">
        <v>9</v>
      </c>
      <c r="F1096" s="9">
        <v>2.69</v>
      </c>
    </row>
    <row r="1097" spans="1:6">
      <c r="A1097" t="s">
        <v>6</v>
      </c>
      <c r="B1097" t="s">
        <v>444</v>
      </c>
      <c r="C1097" s="1" t="s">
        <v>456</v>
      </c>
      <c r="D1097" s="7">
        <v>6214</v>
      </c>
      <c r="E1097" t="s">
        <v>9</v>
      </c>
      <c r="F1097" s="9">
        <v>3.33</v>
      </c>
    </row>
    <row r="1098" spans="1:6">
      <c r="A1098" t="s">
        <v>6</v>
      </c>
      <c r="B1098" t="s">
        <v>444</v>
      </c>
      <c r="C1098" s="1" t="s">
        <v>457</v>
      </c>
      <c r="D1098" s="7">
        <v>6274</v>
      </c>
      <c r="E1098" t="s">
        <v>9</v>
      </c>
      <c r="F1098" s="9">
        <v>2.78</v>
      </c>
    </row>
    <row r="1099" spans="1:6">
      <c r="A1099" t="s">
        <v>6</v>
      </c>
      <c r="B1099" t="s">
        <v>444</v>
      </c>
      <c r="C1099" s="1" t="s">
        <v>458</v>
      </c>
      <c r="D1099" s="7">
        <v>5368</v>
      </c>
      <c r="E1099" t="s">
        <v>9</v>
      </c>
      <c r="F1099" s="9">
        <v>2.42</v>
      </c>
    </row>
    <row r="1100" spans="1:6">
      <c r="A1100" t="s">
        <v>6</v>
      </c>
      <c r="B1100" t="s">
        <v>444</v>
      </c>
      <c r="C1100" s="1" t="s">
        <v>459</v>
      </c>
      <c r="D1100" s="7">
        <v>6184</v>
      </c>
      <c r="E1100" t="s">
        <v>9</v>
      </c>
      <c r="F1100" s="9">
        <v>2.93</v>
      </c>
    </row>
    <row r="1101" spans="1:6">
      <c r="A1101" t="s">
        <v>6</v>
      </c>
      <c r="B1101" t="s">
        <v>444</v>
      </c>
      <c r="C1101" s="1" t="s">
        <v>460</v>
      </c>
      <c r="D1101" s="7">
        <v>6229</v>
      </c>
      <c r="E1101" t="s">
        <v>9</v>
      </c>
      <c r="F1101" s="9">
        <v>2.83</v>
      </c>
    </row>
    <row r="1102" spans="1:6">
      <c r="A1102" t="s">
        <v>6</v>
      </c>
      <c r="B1102" t="s">
        <v>444</v>
      </c>
      <c r="C1102" s="1" t="s">
        <v>461</v>
      </c>
      <c r="D1102" s="7">
        <v>6234</v>
      </c>
      <c r="E1102" t="s">
        <v>9</v>
      </c>
      <c r="F1102" s="9">
        <v>2.5099999999999998</v>
      </c>
    </row>
    <row r="1103" spans="1:6">
      <c r="A1103" t="s">
        <v>6</v>
      </c>
      <c r="B1103" t="s">
        <v>444</v>
      </c>
      <c r="C1103" s="1" t="s">
        <v>462</v>
      </c>
      <c r="D1103" s="7">
        <v>3666</v>
      </c>
      <c r="E1103" t="s">
        <v>9</v>
      </c>
      <c r="F1103" s="9">
        <v>2.6</v>
      </c>
    </row>
    <row r="1104" spans="1:6">
      <c r="A1104" t="s">
        <v>6</v>
      </c>
      <c r="B1104" t="s">
        <v>444</v>
      </c>
      <c r="C1104" s="1" t="s">
        <v>445</v>
      </c>
      <c r="D1104" s="7">
        <v>4067</v>
      </c>
      <c r="E1104" t="s">
        <v>10</v>
      </c>
      <c r="F1104" s="9">
        <v>12.7</v>
      </c>
    </row>
    <row r="1105" spans="1:6">
      <c r="A1105" t="s">
        <v>6</v>
      </c>
      <c r="B1105" t="s">
        <v>444</v>
      </c>
      <c r="C1105" s="1" t="s">
        <v>447</v>
      </c>
      <c r="D1105" s="7">
        <v>6207</v>
      </c>
      <c r="E1105" t="s">
        <v>10</v>
      </c>
      <c r="F1105" s="9">
        <v>13.05</v>
      </c>
    </row>
    <row r="1106" spans="1:6">
      <c r="A1106" t="s">
        <v>6</v>
      </c>
      <c r="B1106" t="s">
        <v>444</v>
      </c>
      <c r="C1106" s="1" t="s">
        <v>449</v>
      </c>
      <c r="D1106" s="7">
        <v>6202</v>
      </c>
      <c r="E1106" t="s">
        <v>10</v>
      </c>
      <c r="F1106" s="9">
        <v>15.05</v>
      </c>
    </row>
    <row r="1107" spans="1:6">
      <c r="A1107" t="s">
        <v>6</v>
      </c>
      <c r="B1107" t="s">
        <v>444</v>
      </c>
      <c r="C1107" s="1" t="s">
        <v>450</v>
      </c>
      <c r="D1107" s="7">
        <v>6197</v>
      </c>
      <c r="E1107" t="s">
        <v>10</v>
      </c>
      <c r="F1107" s="9">
        <v>13.75</v>
      </c>
    </row>
    <row r="1108" spans="1:6">
      <c r="A1108" t="s">
        <v>6</v>
      </c>
      <c r="B1108" t="s">
        <v>444</v>
      </c>
      <c r="C1108" s="1" t="s">
        <v>452</v>
      </c>
      <c r="D1108" s="7">
        <v>6316</v>
      </c>
      <c r="E1108" t="s">
        <v>10</v>
      </c>
      <c r="F1108" s="9">
        <v>14.22</v>
      </c>
    </row>
    <row r="1109" spans="1:6">
      <c r="A1109" t="s">
        <v>6</v>
      </c>
      <c r="B1109" t="s">
        <v>444</v>
      </c>
      <c r="C1109" s="1" t="s">
        <v>453</v>
      </c>
      <c r="D1109" s="7">
        <v>6321</v>
      </c>
      <c r="E1109" t="s">
        <v>10</v>
      </c>
      <c r="F1109" s="9">
        <v>15.39</v>
      </c>
    </row>
    <row r="1110" spans="1:6">
      <c r="A1110" t="s">
        <v>6</v>
      </c>
      <c r="B1110" t="s">
        <v>444</v>
      </c>
      <c r="C1110" s="1" t="s">
        <v>454</v>
      </c>
      <c r="D1110" s="7">
        <v>6192</v>
      </c>
      <c r="E1110" t="s">
        <v>10</v>
      </c>
      <c r="F1110" s="9">
        <v>14.03</v>
      </c>
    </row>
    <row r="1111" spans="1:6">
      <c r="A1111" t="s">
        <v>6</v>
      </c>
      <c r="B1111" t="s">
        <v>444</v>
      </c>
      <c r="C1111" s="1" t="s">
        <v>455</v>
      </c>
      <c r="D1111" s="7">
        <v>6252</v>
      </c>
      <c r="E1111" t="s">
        <v>10</v>
      </c>
      <c r="F1111" s="9">
        <v>18.36</v>
      </c>
    </row>
    <row r="1112" spans="1:6">
      <c r="A1112" t="s">
        <v>6</v>
      </c>
      <c r="B1112" t="s">
        <v>444</v>
      </c>
      <c r="C1112" s="1" t="s">
        <v>456</v>
      </c>
      <c r="D1112" s="7">
        <v>6217</v>
      </c>
      <c r="E1112" t="s">
        <v>10</v>
      </c>
      <c r="F1112" s="9">
        <v>14.3</v>
      </c>
    </row>
    <row r="1113" spans="1:6">
      <c r="A1113" t="s">
        <v>6</v>
      </c>
      <c r="B1113" t="s">
        <v>444</v>
      </c>
      <c r="C1113" s="1" t="s">
        <v>457</v>
      </c>
      <c r="D1113" s="7">
        <v>6277</v>
      </c>
      <c r="E1113" t="s">
        <v>10</v>
      </c>
      <c r="F1113" s="9">
        <v>14.53</v>
      </c>
    </row>
    <row r="1114" spans="1:6">
      <c r="A1114" t="s">
        <v>6</v>
      </c>
      <c r="B1114" t="s">
        <v>444</v>
      </c>
      <c r="C1114" s="1" t="s">
        <v>459</v>
      </c>
      <c r="D1114" s="7">
        <v>6187</v>
      </c>
      <c r="E1114" t="s">
        <v>10</v>
      </c>
      <c r="F1114" s="9">
        <v>14.91</v>
      </c>
    </row>
    <row r="1115" spans="1:6">
      <c r="A1115" t="s">
        <v>6</v>
      </c>
      <c r="B1115" t="s">
        <v>444</v>
      </c>
      <c r="C1115" s="1" t="s">
        <v>460</v>
      </c>
      <c r="D1115" s="7">
        <v>6232</v>
      </c>
      <c r="E1115" t="s">
        <v>10</v>
      </c>
      <c r="F1115" s="9">
        <v>14.45</v>
      </c>
    </row>
    <row r="1116" spans="1:6">
      <c r="A1116" t="s">
        <v>6</v>
      </c>
      <c r="B1116" t="s">
        <v>444</v>
      </c>
      <c r="C1116" s="1" t="s">
        <v>461</v>
      </c>
      <c r="D1116" s="7">
        <v>6237</v>
      </c>
      <c r="E1116" t="s">
        <v>10</v>
      </c>
      <c r="F1116" s="9">
        <v>13.81</v>
      </c>
    </row>
    <row r="1117" spans="1:6">
      <c r="A1117" t="s">
        <v>6</v>
      </c>
      <c r="B1117" t="s">
        <v>444</v>
      </c>
      <c r="C1117" s="1" t="s">
        <v>462</v>
      </c>
      <c r="D1117" s="7">
        <v>3667</v>
      </c>
      <c r="E1117" t="s">
        <v>10</v>
      </c>
      <c r="F1117" s="9">
        <v>14.2</v>
      </c>
    </row>
    <row r="1118" spans="1:6">
      <c r="A1118" t="s">
        <v>6</v>
      </c>
      <c r="B1118" t="s">
        <v>444</v>
      </c>
      <c r="C1118" s="1" t="s">
        <v>445</v>
      </c>
      <c r="D1118" s="7">
        <v>4065</v>
      </c>
      <c r="E1118" t="s">
        <v>11</v>
      </c>
      <c r="F1118" s="9">
        <v>7.9</v>
      </c>
    </row>
    <row r="1119" spans="1:6">
      <c r="A1119" t="s">
        <v>6</v>
      </c>
      <c r="B1119" t="s">
        <v>444</v>
      </c>
      <c r="C1119" s="1" t="s">
        <v>446</v>
      </c>
      <c r="D1119" s="7">
        <v>5349</v>
      </c>
      <c r="E1119" t="s">
        <v>11</v>
      </c>
      <c r="F1119" s="9">
        <v>7.17</v>
      </c>
    </row>
    <row r="1120" spans="1:6">
      <c r="A1120" t="s">
        <v>6</v>
      </c>
      <c r="B1120" t="s">
        <v>444</v>
      </c>
      <c r="C1120" s="1" t="s">
        <v>447</v>
      </c>
      <c r="D1120" s="7">
        <v>6205</v>
      </c>
      <c r="E1120" t="s">
        <v>11</v>
      </c>
      <c r="F1120" s="9">
        <v>7.32</v>
      </c>
    </row>
    <row r="1121" spans="1:6">
      <c r="A1121" t="s">
        <v>6</v>
      </c>
      <c r="B1121" t="s">
        <v>444</v>
      </c>
      <c r="C1121" s="1" t="s">
        <v>448</v>
      </c>
      <c r="D1121" s="7">
        <v>5614</v>
      </c>
      <c r="E1121" t="s">
        <v>11</v>
      </c>
      <c r="F1121" s="9">
        <v>7.64</v>
      </c>
    </row>
    <row r="1122" spans="1:6">
      <c r="A1122" t="s">
        <v>6</v>
      </c>
      <c r="B1122" t="s">
        <v>444</v>
      </c>
      <c r="C1122" s="1" t="s">
        <v>449</v>
      </c>
      <c r="D1122" s="7">
        <v>6200</v>
      </c>
      <c r="E1122" t="s">
        <v>11</v>
      </c>
      <c r="F1122" s="9">
        <v>7.92</v>
      </c>
    </row>
    <row r="1123" spans="1:6">
      <c r="A1123" t="s">
        <v>6</v>
      </c>
      <c r="B1123" t="s">
        <v>444</v>
      </c>
      <c r="C1123" s="1" t="s">
        <v>450</v>
      </c>
      <c r="D1123" s="7">
        <v>6195</v>
      </c>
      <c r="E1123" t="s">
        <v>11</v>
      </c>
      <c r="F1123" s="9">
        <v>6.9</v>
      </c>
    </row>
    <row r="1124" spans="1:6">
      <c r="A1124" t="s">
        <v>6</v>
      </c>
      <c r="B1124" t="s">
        <v>444</v>
      </c>
      <c r="C1124" s="1" t="s">
        <v>451</v>
      </c>
      <c r="D1124" s="7">
        <v>6310</v>
      </c>
      <c r="E1124" t="s">
        <v>11</v>
      </c>
      <c r="F1124" s="9">
        <v>7.52</v>
      </c>
    </row>
    <row r="1125" spans="1:6">
      <c r="A1125" t="s">
        <v>6</v>
      </c>
      <c r="B1125" t="s">
        <v>444</v>
      </c>
      <c r="C1125" s="1" t="s">
        <v>452</v>
      </c>
      <c r="D1125" s="7">
        <v>6314</v>
      </c>
      <c r="E1125" t="s">
        <v>11</v>
      </c>
      <c r="F1125" s="9">
        <v>7.82</v>
      </c>
    </row>
    <row r="1126" spans="1:6">
      <c r="A1126" t="s">
        <v>6</v>
      </c>
      <c r="B1126" t="s">
        <v>444</v>
      </c>
      <c r="C1126" s="1" t="s">
        <v>453</v>
      </c>
      <c r="D1126" s="7">
        <v>6319</v>
      </c>
      <c r="E1126" t="s">
        <v>11</v>
      </c>
      <c r="F1126" s="9">
        <v>7.91</v>
      </c>
    </row>
    <row r="1127" spans="1:6">
      <c r="A1127" t="s">
        <v>6</v>
      </c>
      <c r="B1127" t="s">
        <v>444</v>
      </c>
      <c r="C1127" s="1" t="s">
        <v>454</v>
      </c>
      <c r="D1127" s="7">
        <v>6190</v>
      </c>
      <c r="E1127" t="s">
        <v>11</v>
      </c>
      <c r="F1127" s="9">
        <v>8.0500000000000007</v>
      </c>
    </row>
    <row r="1128" spans="1:6">
      <c r="A1128" t="s">
        <v>6</v>
      </c>
      <c r="B1128" t="s">
        <v>444</v>
      </c>
      <c r="C1128" s="1" t="s">
        <v>455</v>
      </c>
      <c r="D1128" s="7">
        <v>6250</v>
      </c>
      <c r="E1128" t="s">
        <v>11</v>
      </c>
      <c r="F1128" s="9">
        <v>7.76</v>
      </c>
    </row>
    <row r="1129" spans="1:6">
      <c r="A1129" t="s">
        <v>6</v>
      </c>
      <c r="B1129" t="s">
        <v>444</v>
      </c>
      <c r="C1129" s="1" t="s">
        <v>456</v>
      </c>
      <c r="D1129" s="7">
        <v>6215</v>
      </c>
      <c r="E1129" t="s">
        <v>11</v>
      </c>
      <c r="F1129" s="9">
        <v>8.0299999999999994</v>
      </c>
    </row>
    <row r="1130" spans="1:6">
      <c r="A1130" t="s">
        <v>6</v>
      </c>
      <c r="B1130" t="s">
        <v>444</v>
      </c>
      <c r="C1130" s="1" t="s">
        <v>457</v>
      </c>
      <c r="D1130" s="7">
        <v>6275</v>
      </c>
      <c r="E1130" t="s">
        <v>11</v>
      </c>
      <c r="F1130" s="9">
        <v>8</v>
      </c>
    </row>
    <row r="1131" spans="1:6">
      <c r="A1131" t="s">
        <v>6</v>
      </c>
      <c r="B1131" t="s">
        <v>444</v>
      </c>
      <c r="C1131" s="1" t="s">
        <v>458</v>
      </c>
      <c r="D1131" s="7">
        <v>5369</v>
      </c>
      <c r="E1131" t="s">
        <v>11</v>
      </c>
      <c r="F1131" s="9">
        <v>7.97</v>
      </c>
    </row>
    <row r="1132" spans="1:6">
      <c r="A1132" t="s">
        <v>6</v>
      </c>
      <c r="B1132" t="s">
        <v>444</v>
      </c>
      <c r="C1132" s="1" t="s">
        <v>459</v>
      </c>
      <c r="D1132" s="7">
        <v>6185</v>
      </c>
      <c r="E1132" t="s">
        <v>11</v>
      </c>
      <c r="F1132" s="9">
        <v>7.62</v>
      </c>
    </row>
    <row r="1133" spans="1:6">
      <c r="A1133" t="s">
        <v>6</v>
      </c>
      <c r="B1133" t="s">
        <v>444</v>
      </c>
      <c r="C1133" s="1" t="s">
        <v>460</v>
      </c>
      <c r="D1133" s="7">
        <v>6230</v>
      </c>
      <c r="E1133" t="s">
        <v>11</v>
      </c>
      <c r="F1133" s="9">
        <v>7.81</v>
      </c>
    </row>
    <row r="1134" spans="1:6">
      <c r="A1134" t="s">
        <v>6</v>
      </c>
      <c r="B1134" t="s">
        <v>444</v>
      </c>
      <c r="C1134" s="1" t="s">
        <v>461</v>
      </c>
      <c r="D1134" s="7">
        <v>6235</v>
      </c>
      <c r="E1134" t="s">
        <v>11</v>
      </c>
      <c r="F1134" s="9">
        <v>7.77</v>
      </c>
    </row>
    <row r="1135" spans="1:6">
      <c r="A1135" t="s">
        <v>6</v>
      </c>
      <c r="B1135" t="s">
        <v>444</v>
      </c>
      <c r="C1135" s="1" t="s">
        <v>462</v>
      </c>
      <c r="D1135" s="7">
        <v>3665</v>
      </c>
      <c r="E1135" t="s">
        <v>11</v>
      </c>
      <c r="F1135" s="9">
        <v>7.7</v>
      </c>
    </row>
    <row r="1136" spans="1:6">
      <c r="A1136" t="s">
        <v>6</v>
      </c>
      <c r="B1136" t="s">
        <v>444</v>
      </c>
      <c r="C1136" s="1" t="s">
        <v>446</v>
      </c>
      <c r="D1136" s="7">
        <v>5350</v>
      </c>
      <c r="E1136" t="s">
        <v>12</v>
      </c>
      <c r="F1136" s="9">
        <v>2.2200000000000002</v>
      </c>
    </row>
    <row r="1137" spans="1:6">
      <c r="A1137" t="s">
        <v>6</v>
      </c>
      <c r="B1137" t="s">
        <v>444</v>
      </c>
      <c r="C1137" s="1" t="s">
        <v>447</v>
      </c>
      <c r="D1137" s="7">
        <v>6206</v>
      </c>
      <c r="E1137" t="s">
        <v>12</v>
      </c>
      <c r="F1137" s="9">
        <v>2.25</v>
      </c>
    </row>
    <row r="1138" spans="1:6">
      <c r="A1138" t="s">
        <v>6</v>
      </c>
      <c r="B1138" t="s">
        <v>444</v>
      </c>
      <c r="C1138" s="1" t="s">
        <v>448</v>
      </c>
      <c r="D1138" s="7">
        <v>5615</v>
      </c>
      <c r="E1138" t="s">
        <v>12</v>
      </c>
      <c r="F1138" s="9">
        <v>2.34</v>
      </c>
    </row>
    <row r="1139" spans="1:6">
      <c r="A1139" t="s">
        <v>6</v>
      </c>
      <c r="B1139" t="s">
        <v>444</v>
      </c>
      <c r="C1139" s="1" t="s">
        <v>449</v>
      </c>
      <c r="D1139" s="7">
        <v>6201</v>
      </c>
      <c r="E1139" t="s">
        <v>12</v>
      </c>
      <c r="F1139" s="9">
        <v>2.48</v>
      </c>
    </row>
    <row r="1140" spans="1:6">
      <c r="A1140" t="s">
        <v>6</v>
      </c>
      <c r="B1140" t="s">
        <v>444</v>
      </c>
      <c r="C1140" s="1" t="s">
        <v>450</v>
      </c>
      <c r="D1140" s="7">
        <v>6196</v>
      </c>
      <c r="E1140" t="s">
        <v>12</v>
      </c>
      <c r="F1140" s="9">
        <v>2.33</v>
      </c>
    </row>
    <row r="1141" spans="1:6">
      <c r="A1141" t="s">
        <v>6</v>
      </c>
      <c r="B1141" t="s">
        <v>444</v>
      </c>
      <c r="C1141" s="1" t="s">
        <v>463</v>
      </c>
      <c r="D1141" s="7">
        <v>5306</v>
      </c>
      <c r="E1141" t="s">
        <v>12</v>
      </c>
      <c r="F1141" s="9">
        <v>2.25</v>
      </c>
    </row>
    <row r="1142" spans="1:6">
      <c r="A1142" t="s">
        <v>6</v>
      </c>
      <c r="B1142" t="s">
        <v>444</v>
      </c>
      <c r="C1142" s="1" t="s">
        <v>451</v>
      </c>
      <c r="D1142" s="7">
        <v>6311</v>
      </c>
      <c r="E1142" t="s">
        <v>12</v>
      </c>
      <c r="F1142" s="9">
        <v>2.31</v>
      </c>
    </row>
    <row r="1143" spans="1:6">
      <c r="A1143" t="s">
        <v>6</v>
      </c>
      <c r="B1143" t="s">
        <v>444</v>
      </c>
      <c r="C1143" s="1" t="s">
        <v>452</v>
      </c>
      <c r="D1143" s="7">
        <v>6315</v>
      </c>
      <c r="E1143" t="s">
        <v>12</v>
      </c>
      <c r="F1143" s="9">
        <v>2.62</v>
      </c>
    </row>
    <row r="1144" spans="1:6">
      <c r="A1144" t="s">
        <v>6</v>
      </c>
      <c r="B1144" t="s">
        <v>444</v>
      </c>
      <c r="C1144" s="1" t="s">
        <v>453</v>
      </c>
      <c r="D1144" s="7">
        <v>6320</v>
      </c>
      <c r="E1144" t="s">
        <v>12</v>
      </c>
      <c r="F1144" s="9">
        <v>2.48</v>
      </c>
    </row>
    <row r="1145" spans="1:6">
      <c r="A1145" t="s">
        <v>6</v>
      </c>
      <c r="B1145" t="s">
        <v>444</v>
      </c>
      <c r="C1145" s="1" t="s">
        <v>454</v>
      </c>
      <c r="D1145" s="7">
        <v>6191</v>
      </c>
      <c r="E1145" t="s">
        <v>12</v>
      </c>
      <c r="F1145" s="9">
        <v>2.33</v>
      </c>
    </row>
    <row r="1146" spans="1:6">
      <c r="A1146" t="s">
        <v>6</v>
      </c>
      <c r="B1146" t="s">
        <v>444</v>
      </c>
      <c r="C1146" s="1" t="s">
        <v>455</v>
      </c>
      <c r="D1146" s="7">
        <v>6251</v>
      </c>
      <c r="E1146" t="s">
        <v>12</v>
      </c>
      <c r="F1146" s="9">
        <v>2.2799999999999998</v>
      </c>
    </row>
    <row r="1147" spans="1:6">
      <c r="A1147" t="s">
        <v>6</v>
      </c>
      <c r="B1147" t="s">
        <v>444</v>
      </c>
      <c r="C1147" s="1" t="s">
        <v>456</v>
      </c>
      <c r="D1147" s="7">
        <v>6216</v>
      </c>
      <c r="E1147" t="s">
        <v>12</v>
      </c>
      <c r="F1147" s="9">
        <v>2.4500000000000002</v>
      </c>
    </row>
    <row r="1148" spans="1:6">
      <c r="A1148" t="s">
        <v>6</v>
      </c>
      <c r="B1148" t="s">
        <v>444</v>
      </c>
      <c r="C1148" s="1" t="s">
        <v>457</v>
      </c>
      <c r="D1148" s="7">
        <v>6276</v>
      </c>
      <c r="E1148" t="s">
        <v>12</v>
      </c>
      <c r="F1148" s="9">
        <v>2.3199999999999998</v>
      </c>
    </row>
    <row r="1149" spans="1:6">
      <c r="A1149" t="s">
        <v>6</v>
      </c>
      <c r="B1149" t="s">
        <v>444</v>
      </c>
      <c r="C1149" s="1" t="s">
        <v>458</v>
      </c>
      <c r="D1149" s="7">
        <v>5370</v>
      </c>
      <c r="E1149" t="s">
        <v>12</v>
      </c>
      <c r="F1149" s="9">
        <v>2.2599999999999998</v>
      </c>
    </row>
    <row r="1150" spans="1:6">
      <c r="A1150" t="s">
        <v>6</v>
      </c>
      <c r="B1150" t="s">
        <v>444</v>
      </c>
      <c r="C1150" s="1" t="s">
        <v>459</v>
      </c>
      <c r="D1150" s="7">
        <v>6186</v>
      </c>
      <c r="E1150" t="s">
        <v>12</v>
      </c>
      <c r="F1150" s="9">
        <v>2.3199999999999998</v>
      </c>
    </row>
    <row r="1151" spans="1:6">
      <c r="A1151" t="s">
        <v>6</v>
      </c>
      <c r="B1151" t="s">
        <v>444</v>
      </c>
      <c r="C1151" s="1" t="s">
        <v>460</v>
      </c>
      <c r="D1151" s="7">
        <v>6231</v>
      </c>
      <c r="E1151" t="s">
        <v>12</v>
      </c>
      <c r="F1151" s="9">
        <v>2.38</v>
      </c>
    </row>
    <row r="1152" spans="1:6">
      <c r="A1152" t="s">
        <v>6</v>
      </c>
      <c r="B1152" t="s">
        <v>444</v>
      </c>
      <c r="C1152" s="1" t="s">
        <v>461</v>
      </c>
      <c r="D1152" s="7">
        <v>6236</v>
      </c>
      <c r="E1152" t="s">
        <v>12</v>
      </c>
      <c r="F1152" s="9">
        <v>2.3199999999999998</v>
      </c>
    </row>
    <row r="1153" spans="1:6">
      <c r="A1153" t="s">
        <v>6</v>
      </c>
      <c r="B1153" t="s">
        <v>464</v>
      </c>
      <c r="C1153" s="3" t="s">
        <v>465</v>
      </c>
      <c r="D1153" s="7">
        <v>173</v>
      </c>
      <c r="E1153" s="2" t="s">
        <v>9</v>
      </c>
      <c r="F1153" s="10">
        <v>3.4</v>
      </c>
    </row>
    <row r="1154" spans="1:6">
      <c r="A1154" t="s">
        <v>6</v>
      </c>
      <c r="B1154" t="s">
        <v>464</v>
      </c>
      <c r="C1154" s="1" t="s">
        <v>466</v>
      </c>
      <c r="D1154" s="7">
        <v>4050</v>
      </c>
      <c r="E1154" t="s">
        <v>9</v>
      </c>
      <c r="F1154" s="9">
        <v>3.3</v>
      </c>
    </row>
    <row r="1155" spans="1:6">
      <c r="A1155" t="s">
        <v>6</v>
      </c>
      <c r="B1155" t="s">
        <v>464</v>
      </c>
      <c r="C1155" s="1" t="s">
        <v>467</v>
      </c>
      <c r="D1155" s="7">
        <v>5649</v>
      </c>
      <c r="E1155" t="s">
        <v>9</v>
      </c>
      <c r="F1155" s="9">
        <v>3.04</v>
      </c>
    </row>
    <row r="1156" spans="1:6">
      <c r="A1156" t="s">
        <v>6</v>
      </c>
      <c r="B1156" t="s">
        <v>464</v>
      </c>
      <c r="C1156" s="1" t="s">
        <v>468</v>
      </c>
      <c r="D1156" s="7">
        <v>5456</v>
      </c>
      <c r="E1156" t="s">
        <v>9</v>
      </c>
      <c r="F1156" s="9">
        <v>3.1</v>
      </c>
    </row>
    <row r="1157" spans="1:6">
      <c r="A1157" t="s">
        <v>6</v>
      </c>
      <c r="B1157" t="s">
        <v>464</v>
      </c>
      <c r="C1157" s="1" t="s">
        <v>468</v>
      </c>
      <c r="D1157" s="7">
        <v>5641</v>
      </c>
      <c r="E1157" t="s">
        <v>9</v>
      </c>
      <c r="F1157" s="9">
        <v>3.24</v>
      </c>
    </row>
    <row r="1158" spans="1:6">
      <c r="A1158" t="s">
        <v>6</v>
      </c>
      <c r="B1158" t="s">
        <v>464</v>
      </c>
      <c r="C1158" s="1" t="s">
        <v>469</v>
      </c>
      <c r="D1158" s="7">
        <v>6024</v>
      </c>
      <c r="E1158" t="s">
        <v>9</v>
      </c>
      <c r="F1158" s="9">
        <v>2.98</v>
      </c>
    </row>
    <row r="1159" spans="1:6">
      <c r="A1159" t="s">
        <v>6</v>
      </c>
      <c r="B1159" s="11" t="s">
        <v>464</v>
      </c>
      <c r="C1159" s="1" t="s">
        <v>470</v>
      </c>
      <c r="D1159" s="7">
        <v>6054</v>
      </c>
      <c r="E1159" t="s">
        <v>9</v>
      </c>
      <c r="F1159" s="9">
        <v>2.94</v>
      </c>
    </row>
    <row r="1160" spans="1:6">
      <c r="A1160" t="s">
        <v>6</v>
      </c>
      <c r="B1160" t="s">
        <v>464</v>
      </c>
      <c r="C1160" s="1" t="s">
        <v>471</v>
      </c>
      <c r="D1160" s="7">
        <v>3126</v>
      </c>
      <c r="E1160" t="s">
        <v>9</v>
      </c>
      <c r="F1160" s="9">
        <v>3.2</v>
      </c>
    </row>
    <row r="1161" spans="1:6">
      <c r="A1161" t="s">
        <v>6</v>
      </c>
      <c r="B1161" t="s">
        <v>464</v>
      </c>
      <c r="C1161" s="1" t="s">
        <v>472</v>
      </c>
      <c r="D1161" s="7">
        <v>3174</v>
      </c>
      <c r="E1161" t="s">
        <v>9</v>
      </c>
      <c r="F1161" s="9">
        <v>3</v>
      </c>
    </row>
    <row r="1162" spans="1:6">
      <c r="A1162" t="s">
        <v>6</v>
      </c>
      <c r="B1162" t="s">
        <v>464</v>
      </c>
      <c r="C1162" s="1" t="s">
        <v>473</v>
      </c>
      <c r="D1162" s="7">
        <v>4338</v>
      </c>
      <c r="E1162" t="s">
        <v>9</v>
      </c>
      <c r="F1162" s="9">
        <v>3.5</v>
      </c>
    </row>
    <row r="1163" spans="1:6">
      <c r="A1163" t="s">
        <v>6</v>
      </c>
      <c r="B1163" t="s">
        <v>464</v>
      </c>
      <c r="C1163" s="1" t="s">
        <v>474</v>
      </c>
      <c r="D1163" s="7">
        <v>4430</v>
      </c>
      <c r="E1163" t="s">
        <v>9</v>
      </c>
      <c r="F1163" s="9">
        <v>3.1</v>
      </c>
    </row>
    <row r="1164" spans="1:6">
      <c r="A1164" t="s">
        <v>6</v>
      </c>
      <c r="B1164" t="s">
        <v>464</v>
      </c>
      <c r="C1164" s="1" t="s">
        <v>475</v>
      </c>
      <c r="D1164" s="7">
        <v>4434</v>
      </c>
      <c r="E1164" t="s">
        <v>9</v>
      </c>
      <c r="F1164" s="9">
        <v>3.4</v>
      </c>
    </row>
    <row r="1165" spans="1:6">
      <c r="A1165" t="s">
        <v>6</v>
      </c>
      <c r="B1165" t="s">
        <v>464</v>
      </c>
      <c r="C1165" s="1" t="s">
        <v>476</v>
      </c>
      <c r="D1165" s="7">
        <v>4438</v>
      </c>
      <c r="E1165" t="s">
        <v>9</v>
      </c>
      <c r="F1165" s="9">
        <v>3.4</v>
      </c>
    </row>
    <row r="1166" spans="1:6">
      <c r="A1166" t="s">
        <v>6</v>
      </c>
      <c r="B1166" t="s">
        <v>464</v>
      </c>
      <c r="C1166" s="1" t="s">
        <v>477</v>
      </c>
      <c r="D1166" s="7">
        <v>3414</v>
      </c>
      <c r="E1166" t="s">
        <v>9</v>
      </c>
      <c r="F1166" s="9">
        <v>3</v>
      </c>
    </row>
    <row r="1167" spans="1:6">
      <c r="A1167" t="s">
        <v>6</v>
      </c>
      <c r="B1167" t="s">
        <v>464</v>
      </c>
      <c r="C1167" s="1" t="s">
        <v>478</v>
      </c>
      <c r="D1167" s="7">
        <v>4346</v>
      </c>
      <c r="E1167" t="s">
        <v>9</v>
      </c>
      <c r="F1167" s="9">
        <v>3.6</v>
      </c>
    </row>
    <row r="1168" spans="1:6">
      <c r="A1168" t="s">
        <v>6</v>
      </c>
      <c r="B1168" t="s">
        <v>464</v>
      </c>
      <c r="C1168" s="1" t="s">
        <v>479</v>
      </c>
      <c r="D1168" s="7">
        <v>4366</v>
      </c>
      <c r="E1168" t="s">
        <v>9</v>
      </c>
      <c r="F1168" s="9">
        <v>3.4</v>
      </c>
    </row>
    <row r="1169" spans="1:6">
      <c r="A1169" t="s">
        <v>6</v>
      </c>
      <c r="B1169" t="s">
        <v>464</v>
      </c>
      <c r="C1169" s="1" t="s">
        <v>480</v>
      </c>
      <c r="D1169" s="7">
        <v>4102</v>
      </c>
      <c r="E1169" t="s">
        <v>9</v>
      </c>
      <c r="F1169" s="9">
        <v>3.3</v>
      </c>
    </row>
    <row r="1170" spans="1:6">
      <c r="A1170" t="s">
        <v>6</v>
      </c>
      <c r="B1170" t="s">
        <v>464</v>
      </c>
      <c r="C1170" s="1" t="s">
        <v>481</v>
      </c>
      <c r="D1170" s="7">
        <v>4442</v>
      </c>
      <c r="E1170" t="s">
        <v>9</v>
      </c>
      <c r="F1170" s="9">
        <v>3.2</v>
      </c>
    </row>
    <row r="1171" spans="1:6">
      <c r="A1171" t="s">
        <v>6</v>
      </c>
      <c r="B1171" t="s">
        <v>464</v>
      </c>
      <c r="C1171" s="1" t="s">
        <v>482</v>
      </c>
      <c r="D1171" s="7">
        <v>4446</v>
      </c>
      <c r="E1171" t="s">
        <v>9</v>
      </c>
      <c r="F1171" s="9">
        <v>3.2</v>
      </c>
    </row>
    <row r="1172" spans="1:6">
      <c r="A1172" t="s">
        <v>6</v>
      </c>
      <c r="B1172" t="s">
        <v>464</v>
      </c>
      <c r="C1172" s="1" t="s">
        <v>483</v>
      </c>
      <c r="D1172" s="7">
        <v>4354</v>
      </c>
      <c r="E1172" t="s">
        <v>9</v>
      </c>
      <c r="F1172" s="9">
        <v>3.4</v>
      </c>
    </row>
    <row r="1173" spans="1:6">
      <c r="A1173" t="s">
        <v>6</v>
      </c>
      <c r="B1173" t="s">
        <v>464</v>
      </c>
      <c r="C1173" s="1" t="s">
        <v>484</v>
      </c>
      <c r="D1173" s="7">
        <v>4350</v>
      </c>
      <c r="E1173" t="s">
        <v>9</v>
      </c>
      <c r="F1173" s="9">
        <v>3.5</v>
      </c>
    </row>
    <row r="1174" spans="1:6">
      <c r="A1174" t="s">
        <v>6</v>
      </c>
      <c r="B1174" t="s">
        <v>464</v>
      </c>
      <c r="C1174" s="1" t="s">
        <v>485</v>
      </c>
      <c r="D1174" s="7">
        <v>4170</v>
      </c>
      <c r="E1174" t="s">
        <v>9</v>
      </c>
      <c r="F1174" s="9">
        <v>3.2</v>
      </c>
    </row>
    <row r="1175" spans="1:6">
      <c r="A1175" t="s">
        <v>6</v>
      </c>
      <c r="B1175" t="s">
        <v>464</v>
      </c>
      <c r="C1175" s="1" t="s">
        <v>486</v>
      </c>
      <c r="D1175" s="7">
        <v>4358</v>
      </c>
      <c r="E1175" t="s">
        <v>9</v>
      </c>
      <c r="F1175" s="9">
        <v>3.3</v>
      </c>
    </row>
    <row r="1176" spans="1:6">
      <c r="A1176" t="s">
        <v>6</v>
      </c>
      <c r="B1176" t="s">
        <v>464</v>
      </c>
      <c r="C1176" s="1" t="s">
        <v>487</v>
      </c>
      <c r="D1176" s="7">
        <v>4450</v>
      </c>
      <c r="E1176" t="s">
        <v>9</v>
      </c>
      <c r="F1176" s="9">
        <v>3.1</v>
      </c>
    </row>
    <row r="1177" spans="1:6">
      <c r="A1177" t="s">
        <v>6</v>
      </c>
      <c r="B1177" t="s">
        <v>464</v>
      </c>
      <c r="C1177" s="1" t="s">
        <v>488</v>
      </c>
      <c r="D1177" s="7">
        <v>4174</v>
      </c>
      <c r="E1177" t="s">
        <v>9</v>
      </c>
      <c r="F1177" s="9">
        <v>3.2</v>
      </c>
    </row>
    <row r="1178" spans="1:6">
      <c r="A1178" t="s">
        <v>6</v>
      </c>
      <c r="B1178" t="s">
        <v>464</v>
      </c>
      <c r="C1178" s="1" t="s">
        <v>489</v>
      </c>
      <c r="D1178" s="7">
        <v>4178</v>
      </c>
      <c r="E1178" t="s">
        <v>9</v>
      </c>
      <c r="F1178" s="9">
        <v>3.4</v>
      </c>
    </row>
    <row r="1179" spans="1:6">
      <c r="A1179" t="s">
        <v>6</v>
      </c>
      <c r="B1179" t="s">
        <v>464</v>
      </c>
      <c r="C1179" s="1" t="s">
        <v>490</v>
      </c>
      <c r="D1179" s="7">
        <v>4182</v>
      </c>
      <c r="E1179" t="s">
        <v>9</v>
      </c>
      <c r="F1179" s="9">
        <v>3.4</v>
      </c>
    </row>
    <row r="1180" spans="1:6">
      <c r="A1180" t="s">
        <v>6</v>
      </c>
      <c r="B1180" t="s">
        <v>464</v>
      </c>
      <c r="C1180" s="1" t="s">
        <v>491</v>
      </c>
      <c r="D1180" s="7">
        <v>4186</v>
      </c>
      <c r="E1180" t="s">
        <v>9</v>
      </c>
      <c r="F1180" s="9">
        <v>3.3</v>
      </c>
    </row>
    <row r="1181" spans="1:6">
      <c r="A1181" t="s">
        <v>6</v>
      </c>
      <c r="B1181" t="s">
        <v>464</v>
      </c>
      <c r="C1181" s="1" t="s">
        <v>492</v>
      </c>
      <c r="D1181" s="7">
        <v>4190</v>
      </c>
      <c r="E1181" t="s">
        <v>9</v>
      </c>
      <c r="F1181" s="9">
        <v>3.4</v>
      </c>
    </row>
    <row r="1182" spans="1:6">
      <c r="A1182" t="s">
        <v>6</v>
      </c>
      <c r="B1182" t="s">
        <v>464</v>
      </c>
      <c r="C1182" s="1" t="s">
        <v>493</v>
      </c>
      <c r="D1182" s="7">
        <v>4194</v>
      </c>
      <c r="E1182" t="s">
        <v>9</v>
      </c>
      <c r="F1182" s="9">
        <v>3.4</v>
      </c>
    </row>
    <row r="1183" spans="1:6">
      <c r="A1183" t="s">
        <v>6</v>
      </c>
      <c r="B1183" t="s">
        <v>464</v>
      </c>
      <c r="C1183" s="1" t="s">
        <v>494</v>
      </c>
      <c r="D1183" s="7">
        <v>4362</v>
      </c>
      <c r="E1183" t="s">
        <v>9</v>
      </c>
      <c r="F1183" s="9">
        <v>3.3</v>
      </c>
    </row>
    <row r="1184" spans="1:6">
      <c r="A1184" t="s">
        <v>6</v>
      </c>
      <c r="B1184" t="s">
        <v>464</v>
      </c>
      <c r="C1184" s="3" t="s">
        <v>465</v>
      </c>
      <c r="D1184" s="7">
        <v>171</v>
      </c>
      <c r="E1184" s="2" t="s">
        <v>10</v>
      </c>
      <c r="F1184" s="10">
        <v>10.5</v>
      </c>
    </row>
    <row r="1185" spans="1:6">
      <c r="A1185" t="s">
        <v>6</v>
      </c>
      <c r="B1185" t="s">
        <v>464</v>
      </c>
      <c r="C1185" s="1" t="s">
        <v>466</v>
      </c>
      <c r="D1185" s="7">
        <v>4051</v>
      </c>
      <c r="E1185" t="s">
        <v>10</v>
      </c>
      <c r="F1185" s="9">
        <v>7.1</v>
      </c>
    </row>
    <row r="1186" spans="1:6">
      <c r="A1186" t="s">
        <v>6</v>
      </c>
      <c r="B1186" t="s">
        <v>464</v>
      </c>
      <c r="C1186" s="1" t="s">
        <v>467</v>
      </c>
      <c r="D1186" s="7">
        <v>5652</v>
      </c>
      <c r="E1186" t="s">
        <v>10</v>
      </c>
      <c r="F1186" s="9">
        <v>11.11</v>
      </c>
    </row>
    <row r="1187" spans="1:6">
      <c r="A1187" t="s">
        <v>6</v>
      </c>
      <c r="B1187" t="s">
        <v>464</v>
      </c>
      <c r="C1187" s="1" t="s">
        <v>468</v>
      </c>
      <c r="D1187" s="7">
        <v>5459</v>
      </c>
      <c r="E1187" t="s">
        <v>10</v>
      </c>
      <c r="F1187" s="9">
        <v>10.09</v>
      </c>
    </row>
    <row r="1188" spans="1:6">
      <c r="A1188" t="s">
        <v>6</v>
      </c>
      <c r="B1188" t="s">
        <v>464</v>
      </c>
      <c r="C1188" s="1" t="s">
        <v>469</v>
      </c>
      <c r="D1188" s="7">
        <v>6027</v>
      </c>
      <c r="E1188" t="s">
        <v>10</v>
      </c>
      <c r="F1188" s="9">
        <v>14</v>
      </c>
    </row>
    <row r="1189" spans="1:6">
      <c r="A1189" t="s">
        <v>6</v>
      </c>
      <c r="B1189" s="11" t="s">
        <v>464</v>
      </c>
      <c r="C1189" s="1" t="s">
        <v>470</v>
      </c>
      <c r="D1189" s="7">
        <v>6057</v>
      </c>
      <c r="E1189" t="s">
        <v>10</v>
      </c>
      <c r="F1189" s="9">
        <v>11.15</v>
      </c>
    </row>
    <row r="1190" spans="1:6">
      <c r="A1190" t="s">
        <v>6</v>
      </c>
      <c r="B1190" t="s">
        <v>464</v>
      </c>
      <c r="C1190" s="1" t="s">
        <v>471</v>
      </c>
      <c r="D1190" s="7">
        <v>3127</v>
      </c>
      <c r="E1190" t="s">
        <v>10</v>
      </c>
      <c r="F1190" s="9">
        <v>9.1</v>
      </c>
    </row>
    <row r="1191" spans="1:6">
      <c r="A1191" t="s">
        <v>6</v>
      </c>
      <c r="B1191" t="s">
        <v>464</v>
      </c>
      <c r="C1191" s="1" t="s">
        <v>472</v>
      </c>
      <c r="D1191" s="7">
        <v>3175</v>
      </c>
      <c r="E1191" t="s">
        <v>10</v>
      </c>
      <c r="F1191" s="9">
        <v>9.6999999999999993</v>
      </c>
    </row>
    <row r="1192" spans="1:6">
      <c r="A1192" t="s">
        <v>6</v>
      </c>
      <c r="B1192" t="s">
        <v>464</v>
      </c>
      <c r="C1192" s="1" t="s">
        <v>473</v>
      </c>
      <c r="D1192" s="7">
        <v>4339</v>
      </c>
      <c r="E1192" t="s">
        <v>10</v>
      </c>
      <c r="F1192" s="9">
        <v>6</v>
      </c>
    </row>
    <row r="1193" spans="1:6">
      <c r="A1193" t="s">
        <v>6</v>
      </c>
      <c r="B1193" t="s">
        <v>464</v>
      </c>
      <c r="C1193" s="1" t="s">
        <v>474</v>
      </c>
      <c r="D1193" s="7">
        <v>4431</v>
      </c>
      <c r="E1193" t="s">
        <v>10</v>
      </c>
      <c r="F1193" s="9">
        <v>6.5</v>
      </c>
    </row>
    <row r="1194" spans="1:6">
      <c r="A1194" t="s">
        <v>6</v>
      </c>
      <c r="B1194" t="s">
        <v>464</v>
      </c>
      <c r="C1194" s="1" t="s">
        <v>475</v>
      </c>
      <c r="D1194" s="7">
        <v>4435</v>
      </c>
      <c r="E1194" t="s">
        <v>10</v>
      </c>
      <c r="F1194" s="9">
        <v>6.6</v>
      </c>
    </row>
    <row r="1195" spans="1:6">
      <c r="A1195" t="s">
        <v>6</v>
      </c>
      <c r="B1195" t="s">
        <v>464</v>
      </c>
      <c r="C1195" s="1" t="s">
        <v>476</v>
      </c>
      <c r="D1195" s="7">
        <v>4439</v>
      </c>
      <c r="E1195" t="s">
        <v>10</v>
      </c>
      <c r="F1195" s="9">
        <v>7</v>
      </c>
    </row>
    <row r="1196" spans="1:6">
      <c r="A1196" t="s">
        <v>6</v>
      </c>
      <c r="B1196" t="s">
        <v>464</v>
      </c>
      <c r="C1196" s="1" t="s">
        <v>477</v>
      </c>
      <c r="D1196" s="7">
        <v>3415</v>
      </c>
      <c r="E1196" t="s">
        <v>10</v>
      </c>
      <c r="F1196" s="9">
        <v>9.1999999999999993</v>
      </c>
    </row>
    <row r="1197" spans="1:6">
      <c r="A1197" t="s">
        <v>6</v>
      </c>
      <c r="B1197" t="s">
        <v>464</v>
      </c>
      <c r="C1197" s="1" t="s">
        <v>478</v>
      </c>
      <c r="D1197" s="7">
        <v>4347</v>
      </c>
      <c r="E1197" t="s">
        <v>10</v>
      </c>
      <c r="F1197" s="9">
        <v>6.5</v>
      </c>
    </row>
    <row r="1198" spans="1:6">
      <c r="A1198" t="s">
        <v>6</v>
      </c>
      <c r="B1198" t="s">
        <v>464</v>
      </c>
      <c r="C1198" s="1" t="s">
        <v>479</v>
      </c>
      <c r="D1198" s="7">
        <v>4367</v>
      </c>
      <c r="E1198" t="s">
        <v>10</v>
      </c>
      <c r="F1198" s="9">
        <v>7.2</v>
      </c>
    </row>
    <row r="1199" spans="1:6">
      <c r="A1199" t="s">
        <v>6</v>
      </c>
      <c r="B1199" t="s">
        <v>464</v>
      </c>
      <c r="C1199" s="1" t="s">
        <v>480</v>
      </c>
      <c r="D1199" s="7">
        <v>4103</v>
      </c>
      <c r="E1199" t="s">
        <v>10</v>
      </c>
      <c r="F1199" s="9">
        <v>7.8</v>
      </c>
    </row>
    <row r="1200" spans="1:6">
      <c r="A1200" t="s">
        <v>6</v>
      </c>
      <c r="B1200" t="s">
        <v>464</v>
      </c>
      <c r="C1200" s="1" t="s">
        <v>481</v>
      </c>
      <c r="D1200" s="7">
        <v>4443</v>
      </c>
      <c r="E1200" t="s">
        <v>10</v>
      </c>
      <c r="F1200" s="9">
        <v>6.1</v>
      </c>
    </row>
    <row r="1201" spans="1:6">
      <c r="A1201" t="s">
        <v>6</v>
      </c>
      <c r="B1201" t="s">
        <v>464</v>
      </c>
      <c r="C1201" s="1" t="s">
        <v>482</v>
      </c>
      <c r="D1201" s="7">
        <v>4447</v>
      </c>
      <c r="E1201" t="s">
        <v>10</v>
      </c>
      <c r="F1201" s="9">
        <v>5.7</v>
      </c>
    </row>
    <row r="1202" spans="1:6">
      <c r="A1202" t="s">
        <v>6</v>
      </c>
      <c r="B1202" t="s">
        <v>464</v>
      </c>
      <c r="C1202" s="1" t="s">
        <v>483</v>
      </c>
      <c r="D1202" s="7">
        <v>4355</v>
      </c>
      <c r="E1202" t="s">
        <v>10</v>
      </c>
      <c r="F1202" s="9">
        <v>6.4</v>
      </c>
    </row>
    <row r="1203" spans="1:6">
      <c r="A1203" t="s">
        <v>6</v>
      </c>
      <c r="B1203" t="s">
        <v>464</v>
      </c>
      <c r="C1203" s="1" t="s">
        <v>484</v>
      </c>
      <c r="D1203" s="7">
        <v>4351</v>
      </c>
      <c r="E1203" t="s">
        <v>10</v>
      </c>
      <c r="F1203" s="9">
        <v>6.9</v>
      </c>
    </row>
    <row r="1204" spans="1:6">
      <c r="A1204" t="s">
        <v>6</v>
      </c>
      <c r="B1204" t="s">
        <v>464</v>
      </c>
      <c r="C1204" s="1" t="s">
        <v>485</v>
      </c>
      <c r="D1204" s="7">
        <v>4171</v>
      </c>
      <c r="E1204" t="s">
        <v>10</v>
      </c>
      <c r="F1204" s="9">
        <v>7</v>
      </c>
    </row>
    <row r="1205" spans="1:6">
      <c r="A1205" t="s">
        <v>6</v>
      </c>
      <c r="B1205" t="s">
        <v>464</v>
      </c>
      <c r="C1205" s="1" t="s">
        <v>486</v>
      </c>
      <c r="D1205" s="7">
        <v>4359</v>
      </c>
      <c r="E1205" t="s">
        <v>10</v>
      </c>
      <c r="F1205" s="9">
        <v>7.5</v>
      </c>
    </row>
    <row r="1206" spans="1:6">
      <c r="A1206" t="s">
        <v>6</v>
      </c>
      <c r="B1206" t="s">
        <v>464</v>
      </c>
      <c r="C1206" s="1" t="s">
        <v>488</v>
      </c>
      <c r="D1206" s="7">
        <v>4175</v>
      </c>
      <c r="E1206" t="s">
        <v>10</v>
      </c>
      <c r="F1206" s="9">
        <v>7.1</v>
      </c>
    </row>
    <row r="1207" spans="1:6">
      <c r="A1207" t="s">
        <v>6</v>
      </c>
      <c r="B1207" t="s">
        <v>464</v>
      </c>
      <c r="C1207" s="1" t="s">
        <v>489</v>
      </c>
      <c r="D1207" s="7">
        <v>4179</v>
      </c>
      <c r="E1207" t="s">
        <v>10</v>
      </c>
      <c r="F1207" s="9">
        <v>7.7</v>
      </c>
    </row>
    <row r="1208" spans="1:6">
      <c r="A1208" t="s">
        <v>6</v>
      </c>
      <c r="B1208" t="s">
        <v>464</v>
      </c>
      <c r="C1208" s="1" t="s">
        <v>490</v>
      </c>
      <c r="D1208" s="7">
        <v>4183</v>
      </c>
      <c r="E1208" t="s">
        <v>10</v>
      </c>
      <c r="F1208" s="9">
        <v>7.7</v>
      </c>
    </row>
    <row r="1209" spans="1:6">
      <c r="A1209" t="s">
        <v>6</v>
      </c>
      <c r="B1209" t="s">
        <v>464</v>
      </c>
      <c r="C1209" s="1" t="s">
        <v>491</v>
      </c>
      <c r="D1209" s="7">
        <v>4187</v>
      </c>
      <c r="E1209" t="s">
        <v>10</v>
      </c>
      <c r="F1209" s="9">
        <v>6.8</v>
      </c>
    </row>
    <row r="1210" spans="1:6">
      <c r="A1210" t="s">
        <v>6</v>
      </c>
      <c r="B1210" t="s">
        <v>464</v>
      </c>
      <c r="C1210" s="1" t="s">
        <v>492</v>
      </c>
      <c r="D1210" s="7">
        <v>4191</v>
      </c>
      <c r="E1210" t="s">
        <v>10</v>
      </c>
      <c r="F1210" s="9">
        <v>6.8</v>
      </c>
    </row>
    <row r="1211" spans="1:6">
      <c r="A1211" t="s">
        <v>6</v>
      </c>
      <c r="B1211" t="s">
        <v>464</v>
      </c>
      <c r="C1211" s="1" t="s">
        <v>493</v>
      </c>
      <c r="D1211" s="7">
        <v>4195</v>
      </c>
      <c r="E1211" t="s">
        <v>10</v>
      </c>
      <c r="F1211" s="9">
        <v>7.4</v>
      </c>
    </row>
    <row r="1212" spans="1:6">
      <c r="A1212" t="s">
        <v>6</v>
      </c>
      <c r="B1212" t="s">
        <v>464</v>
      </c>
      <c r="C1212" s="1" t="s">
        <v>494</v>
      </c>
      <c r="D1212" s="7">
        <v>4363</v>
      </c>
      <c r="E1212" t="s">
        <v>10</v>
      </c>
      <c r="F1212" s="9">
        <v>5.9</v>
      </c>
    </row>
    <row r="1213" spans="1:6">
      <c r="A1213" t="s">
        <v>6</v>
      </c>
      <c r="B1213" t="s">
        <v>464</v>
      </c>
      <c r="C1213" s="3" t="s">
        <v>465</v>
      </c>
      <c r="D1213" s="7">
        <v>172</v>
      </c>
      <c r="E1213" s="2" t="s">
        <v>11</v>
      </c>
      <c r="F1213" s="10">
        <v>8.5</v>
      </c>
    </row>
    <row r="1214" spans="1:6">
      <c r="A1214" t="s">
        <v>6</v>
      </c>
      <c r="B1214" t="s">
        <v>464</v>
      </c>
      <c r="C1214" s="1" t="s">
        <v>466</v>
      </c>
      <c r="D1214" s="7">
        <v>4049</v>
      </c>
      <c r="E1214" t="s">
        <v>11</v>
      </c>
      <c r="F1214" s="9">
        <v>8</v>
      </c>
    </row>
    <row r="1215" spans="1:6">
      <c r="A1215" t="s">
        <v>6</v>
      </c>
      <c r="B1215" t="s">
        <v>464</v>
      </c>
      <c r="C1215" s="1" t="s">
        <v>467</v>
      </c>
      <c r="D1215" s="7">
        <v>5650</v>
      </c>
      <c r="E1215" t="s">
        <v>11</v>
      </c>
      <c r="F1215" s="9">
        <v>7.92</v>
      </c>
    </row>
    <row r="1216" spans="1:6">
      <c r="A1216" t="s">
        <v>6</v>
      </c>
      <c r="B1216" t="s">
        <v>464</v>
      </c>
      <c r="C1216" s="1" t="s">
        <v>468</v>
      </c>
      <c r="D1216" s="7">
        <v>5457</v>
      </c>
      <c r="E1216" t="s">
        <v>11</v>
      </c>
      <c r="F1216" s="9">
        <v>8.02</v>
      </c>
    </row>
    <row r="1217" spans="1:6">
      <c r="A1217" t="s">
        <v>6</v>
      </c>
      <c r="B1217" t="s">
        <v>464</v>
      </c>
      <c r="C1217" s="1" t="s">
        <v>468</v>
      </c>
      <c r="D1217" s="7">
        <v>5642</v>
      </c>
      <c r="E1217" t="s">
        <v>11</v>
      </c>
      <c r="F1217" s="9">
        <v>8.2200000000000006</v>
      </c>
    </row>
    <row r="1218" spans="1:6">
      <c r="A1218" t="s">
        <v>6</v>
      </c>
      <c r="B1218" t="s">
        <v>464</v>
      </c>
      <c r="C1218" s="1" t="s">
        <v>469</v>
      </c>
      <c r="D1218" s="7">
        <v>6025</v>
      </c>
      <c r="E1218" t="s">
        <v>11</v>
      </c>
      <c r="F1218" s="9">
        <v>9.0399999999999991</v>
      </c>
    </row>
    <row r="1219" spans="1:6">
      <c r="A1219" t="s">
        <v>6</v>
      </c>
      <c r="B1219" s="11" t="s">
        <v>464</v>
      </c>
      <c r="C1219" s="1" t="s">
        <v>470</v>
      </c>
      <c r="D1219" s="7">
        <v>6055</v>
      </c>
      <c r="E1219" t="s">
        <v>11</v>
      </c>
      <c r="F1219" s="9">
        <v>7.33</v>
      </c>
    </row>
    <row r="1220" spans="1:6">
      <c r="A1220" t="s">
        <v>6</v>
      </c>
      <c r="B1220" t="s">
        <v>464</v>
      </c>
      <c r="C1220" s="1" t="s">
        <v>471</v>
      </c>
      <c r="D1220" s="7">
        <v>3125</v>
      </c>
      <c r="E1220" t="s">
        <v>11</v>
      </c>
      <c r="F1220" s="9">
        <v>7.7</v>
      </c>
    </row>
    <row r="1221" spans="1:6">
      <c r="A1221" t="s">
        <v>6</v>
      </c>
      <c r="B1221" t="s">
        <v>464</v>
      </c>
      <c r="C1221" s="1" t="s">
        <v>472</v>
      </c>
      <c r="D1221" s="7">
        <v>3173</v>
      </c>
      <c r="E1221" t="s">
        <v>11</v>
      </c>
      <c r="F1221" s="9">
        <v>7.9</v>
      </c>
    </row>
    <row r="1222" spans="1:6">
      <c r="A1222" t="s">
        <v>6</v>
      </c>
      <c r="B1222" t="s">
        <v>464</v>
      </c>
      <c r="C1222" s="1" t="s">
        <v>473</v>
      </c>
      <c r="D1222" s="7">
        <v>4337</v>
      </c>
      <c r="E1222" t="s">
        <v>11</v>
      </c>
      <c r="F1222" s="9">
        <v>8.1999999999999993</v>
      </c>
    </row>
    <row r="1223" spans="1:6">
      <c r="A1223" t="s">
        <v>6</v>
      </c>
      <c r="B1223" t="s">
        <v>464</v>
      </c>
      <c r="C1223" s="1" t="s">
        <v>474</v>
      </c>
      <c r="D1223" s="7">
        <v>4429</v>
      </c>
      <c r="E1223" t="s">
        <v>11</v>
      </c>
      <c r="F1223" s="9">
        <v>7.3</v>
      </c>
    </row>
    <row r="1224" spans="1:6">
      <c r="A1224" t="s">
        <v>6</v>
      </c>
      <c r="B1224" t="s">
        <v>464</v>
      </c>
      <c r="C1224" s="1" t="s">
        <v>475</v>
      </c>
      <c r="D1224" s="7">
        <v>4433</v>
      </c>
      <c r="E1224" t="s">
        <v>11</v>
      </c>
      <c r="F1224" s="9">
        <v>7.5</v>
      </c>
    </row>
    <row r="1225" spans="1:6">
      <c r="A1225" t="s">
        <v>6</v>
      </c>
      <c r="B1225" t="s">
        <v>464</v>
      </c>
      <c r="C1225" s="1" t="s">
        <v>476</v>
      </c>
      <c r="D1225" s="7">
        <v>4437</v>
      </c>
      <c r="E1225" t="s">
        <v>11</v>
      </c>
      <c r="F1225" s="9">
        <v>7.6</v>
      </c>
    </row>
    <row r="1226" spans="1:6">
      <c r="A1226" t="s">
        <v>6</v>
      </c>
      <c r="B1226" t="s">
        <v>464</v>
      </c>
      <c r="C1226" s="1" t="s">
        <v>477</v>
      </c>
      <c r="D1226" s="7">
        <v>3413</v>
      </c>
      <c r="E1226" t="s">
        <v>11</v>
      </c>
      <c r="F1226" s="9">
        <v>7.9</v>
      </c>
    </row>
    <row r="1227" spans="1:6">
      <c r="A1227" t="s">
        <v>6</v>
      </c>
      <c r="B1227" t="s">
        <v>464</v>
      </c>
      <c r="C1227" s="1" t="s">
        <v>478</v>
      </c>
      <c r="D1227" s="7">
        <v>4345</v>
      </c>
      <c r="E1227" t="s">
        <v>11</v>
      </c>
      <c r="F1227" s="9">
        <v>7.6</v>
      </c>
    </row>
    <row r="1228" spans="1:6">
      <c r="A1228" t="s">
        <v>6</v>
      </c>
      <c r="B1228" t="s">
        <v>464</v>
      </c>
      <c r="C1228" s="1" t="s">
        <v>479</v>
      </c>
      <c r="D1228" s="7">
        <v>4365</v>
      </c>
      <c r="E1228" t="s">
        <v>11</v>
      </c>
      <c r="F1228" s="9">
        <v>7.3</v>
      </c>
    </row>
    <row r="1229" spans="1:6">
      <c r="A1229" t="s">
        <v>6</v>
      </c>
      <c r="B1229" t="s">
        <v>464</v>
      </c>
      <c r="C1229" s="1" t="s">
        <v>480</v>
      </c>
      <c r="D1229" s="7">
        <v>4101</v>
      </c>
      <c r="E1229" t="s">
        <v>11</v>
      </c>
      <c r="F1229" s="9">
        <v>8.1999999999999993</v>
      </c>
    </row>
    <row r="1230" spans="1:6">
      <c r="A1230" t="s">
        <v>6</v>
      </c>
      <c r="B1230" t="s">
        <v>464</v>
      </c>
      <c r="C1230" s="1" t="s">
        <v>481</v>
      </c>
      <c r="D1230" s="7">
        <v>4441</v>
      </c>
      <c r="E1230" t="s">
        <v>11</v>
      </c>
      <c r="F1230" s="9">
        <v>7.7</v>
      </c>
    </row>
    <row r="1231" spans="1:6">
      <c r="A1231" t="s">
        <v>6</v>
      </c>
      <c r="B1231" t="s">
        <v>464</v>
      </c>
      <c r="C1231" s="1" t="s">
        <v>482</v>
      </c>
      <c r="D1231" s="7">
        <v>4445</v>
      </c>
      <c r="E1231" t="s">
        <v>11</v>
      </c>
      <c r="F1231" s="9">
        <v>7.5</v>
      </c>
    </row>
    <row r="1232" spans="1:6">
      <c r="A1232" t="s">
        <v>6</v>
      </c>
      <c r="B1232" t="s">
        <v>464</v>
      </c>
      <c r="C1232" s="1" t="s">
        <v>483</v>
      </c>
      <c r="D1232" s="7">
        <v>4353</v>
      </c>
      <c r="E1232" t="s">
        <v>11</v>
      </c>
      <c r="F1232" s="9">
        <v>7.3</v>
      </c>
    </row>
    <row r="1233" spans="1:6">
      <c r="A1233" t="s">
        <v>6</v>
      </c>
      <c r="B1233" t="s">
        <v>464</v>
      </c>
      <c r="C1233" s="1" t="s">
        <v>484</v>
      </c>
      <c r="D1233" s="7">
        <v>4349</v>
      </c>
      <c r="E1233" t="s">
        <v>11</v>
      </c>
      <c r="F1233" s="9">
        <v>7.3</v>
      </c>
    </row>
    <row r="1234" spans="1:6">
      <c r="A1234" t="s">
        <v>6</v>
      </c>
      <c r="B1234" t="s">
        <v>464</v>
      </c>
      <c r="C1234" s="1" t="s">
        <v>485</v>
      </c>
      <c r="D1234" s="7">
        <v>4169</v>
      </c>
      <c r="E1234" t="s">
        <v>11</v>
      </c>
      <c r="F1234" s="9">
        <v>7.6</v>
      </c>
    </row>
    <row r="1235" spans="1:6">
      <c r="A1235" t="s">
        <v>6</v>
      </c>
      <c r="B1235" t="s">
        <v>464</v>
      </c>
      <c r="C1235" s="1" t="s">
        <v>486</v>
      </c>
      <c r="D1235" s="7">
        <v>4357</v>
      </c>
      <c r="E1235" t="s">
        <v>11</v>
      </c>
      <c r="F1235" s="9">
        <v>7.6</v>
      </c>
    </row>
    <row r="1236" spans="1:6">
      <c r="A1236" t="s">
        <v>6</v>
      </c>
      <c r="B1236" t="s">
        <v>464</v>
      </c>
      <c r="C1236" s="1" t="s">
        <v>487</v>
      </c>
      <c r="D1236" s="7">
        <v>4449</v>
      </c>
      <c r="E1236" t="s">
        <v>11</v>
      </c>
      <c r="F1236" s="9">
        <v>7.6</v>
      </c>
    </row>
    <row r="1237" spans="1:6">
      <c r="A1237" t="s">
        <v>6</v>
      </c>
      <c r="B1237" t="s">
        <v>464</v>
      </c>
      <c r="C1237" s="1" t="s">
        <v>488</v>
      </c>
      <c r="D1237" s="7">
        <v>4173</v>
      </c>
      <c r="E1237" t="s">
        <v>11</v>
      </c>
      <c r="F1237" s="9">
        <v>7.6</v>
      </c>
    </row>
    <row r="1238" spans="1:6">
      <c r="A1238" t="s">
        <v>6</v>
      </c>
      <c r="B1238" t="s">
        <v>464</v>
      </c>
      <c r="C1238" s="1" t="s">
        <v>489</v>
      </c>
      <c r="D1238" s="7">
        <v>4177</v>
      </c>
      <c r="E1238" t="s">
        <v>11</v>
      </c>
      <c r="F1238" s="9">
        <v>8</v>
      </c>
    </row>
    <row r="1239" spans="1:6">
      <c r="A1239" t="s">
        <v>6</v>
      </c>
      <c r="B1239" t="s">
        <v>464</v>
      </c>
      <c r="C1239" s="1" t="s">
        <v>490</v>
      </c>
      <c r="D1239" s="7">
        <v>4181</v>
      </c>
      <c r="E1239" t="s">
        <v>11</v>
      </c>
      <c r="F1239" s="9">
        <v>7.5</v>
      </c>
    </row>
    <row r="1240" spans="1:6">
      <c r="A1240" t="s">
        <v>6</v>
      </c>
      <c r="B1240" t="s">
        <v>464</v>
      </c>
      <c r="C1240" s="1" t="s">
        <v>491</v>
      </c>
      <c r="D1240" s="7">
        <v>4185</v>
      </c>
      <c r="E1240" t="s">
        <v>11</v>
      </c>
      <c r="F1240" s="9">
        <v>7.2</v>
      </c>
    </row>
    <row r="1241" spans="1:6">
      <c r="A1241" t="s">
        <v>6</v>
      </c>
      <c r="B1241" t="s">
        <v>464</v>
      </c>
      <c r="C1241" s="1" t="s">
        <v>492</v>
      </c>
      <c r="D1241" s="7">
        <v>4189</v>
      </c>
      <c r="E1241" t="s">
        <v>11</v>
      </c>
      <c r="F1241" s="9">
        <v>7.9</v>
      </c>
    </row>
    <row r="1242" spans="1:6">
      <c r="A1242" t="s">
        <v>6</v>
      </c>
      <c r="B1242" t="s">
        <v>464</v>
      </c>
      <c r="C1242" s="1" t="s">
        <v>493</v>
      </c>
      <c r="D1242" s="7">
        <v>4193</v>
      </c>
      <c r="E1242" t="s">
        <v>11</v>
      </c>
      <c r="F1242" s="9">
        <v>7.7</v>
      </c>
    </row>
    <row r="1243" spans="1:6">
      <c r="A1243" t="s">
        <v>6</v>
      </c>
      <c r="B1243" t="s">
        <v>464</v>
      </c>
      <c r="C1243" s="1" t="s">
        <v>494</v>
      </c>
      <c r="D1243" s="7">
        <v>4361</v>
      </c>
      <c r="E1243" t="s">
        <v>11</v>
      </c>
      <c r="F1243" s="9">
        <v>7</v>
      </c>
    </row>
    <row r="1244" spans="1:6">
      <c r="A1244" t="s">
        <v>6</v>
      </c>
      <c r="B1244" t="s">
        <v>464</v>
      </c>
      <c r="C1244" s="1" t="s">
        <v>467</v>
      </c>
      <c r="D1244" s="7">
        <v>5651</v>
      </c>
      <c r="E1244" t="s">
        <v>12</v>
      </c>
      <c r="F1244" s="9">
        <v>2.4500000000000002</v>
      </c>
    </row>
    <row r="1245" spans="1:6">
      <c r="A1245" t="s">
        <v>6</v>
      </c>
      <c r="B1245" t="s">
        <v>464</v>
      </c>
      <c r="C1245" s="1" t="s">
        <v>468</v>
      </c>
      <c r="D1245" s="7">
        <v>5458</v>
      </c>
      <c r="E1245" t="s">
        <v>12</v>
      </c>
      <c r="F1245" s="9">
        <v>2.29</v>
      </c>
    </row>
    <row r="1246" spans="1:6">
      <c r="A1246" t="s">
        <v>6</v>
      </c>
      <c r="B1246" t="s">
        <v>464</v>
      </c>
      <c r="C1246" s="1" t="s">
        <v>468</v>
      </c>
      <c r="D1246" s="7">
        <v>5643</v>
      </c>
      <c r="E1246" t="s">
        <v>12</v>
      </c>
      <c r="F1246" s="9">
        <v>2.23</v>
      </c>
    </row>
    <row r="1247" spans="1:6">
      <c r="A1247" t="s">
        <v>6</v>
      </c>
      <c r="B1247" t="s">
        <v>464</v>
      </c>
      <c r="C1247" s="1" t="s">
        <v>469</v>
      </c>
      <c r="D1247" s="7">
        <v>6026</v>
      </c>
      <c r="E1247" t="s">
        <v>12</v>
      </c>
      <c r="F1247" s="9">
        <v>2.7</v>
      </c>
    </row>
    <row r="1248" spans="1:6">
      <c r="A1248" t="s">
        <v>6</v>
      </c>
      <c r="B1248" s="11" t="s">
        <v>464</v>
      </c>
      <c r="C1248" s="1" t="s">
        <v>470</v>
      </c>
      <c r="D1248" s="7">
        <v>6056</v>
      </c>
      <c r="E1248" t="s">
        <v>12</v>
      </c>
      <c r="F1248" s="9">
        <v>2.5299999999999998</v>
      </c>
    </row>
    <row r="1249" spans="1:6">
      <c r="A1249" t="s">
        <v>6</v>
      </c>
      <c r="B1249" s="6" t="s">
        <v>495</v>
      </c>
      <c r="C1249" s="5" t="s">
        <v>496</v>
      </c>
      <c r="D1249" s="7">
        <v>377</v>
      </c>
      <c r="E1249" s="2" t="s">
        <v>9</v>
      </c>
      <c r="F1249" s="10">
        <v>3</v>
      </c>
    </row>
    <row r="1250" spans="1:6">
      <c r="A1250" t="s">
        <v>6</v>
      </c>
      <c r="B1250" t="s">
        <v>495</v>
      </c>
      <c r="C1250" s="1" t="s">
        <v>496</v>
      </c>
      <c r="D1250" s="7">
        <v>4222</v>
      </c>
      <c r="E1250" t="s">
        <v>9</v>
      </c>
      <c r="F1250" s="9">
        <v>3.2</v>
      </c>
    </row>
    <row r="1251" spans="1:6">
      <c r="A1251" t="s">
        <v>6</v>
      </c>
      <c r="B1251" s="6" t="s">
        <v>495</v>
      </c>
      <c r="C1251" s="5" t="s">
        <v>497</v>
      </c>
      <c r="D1251" s="7">
        <v>381</v>
      </c>
      <c r="E1251" s="2" t="s">
        <v>9</v>
      </c>
      <c r="F1251" s="10">
        <v>3.2</v>
      </c>
    </row>
    <row r="1252" spans="1:6">
      <c r="A1252" t="s">
        <v>6</v>
      </c>
      <c r="B1252" t="s">
        <v>495</v>
      </c>
      <c r="C1252" s="1" t="s">
        <v>497</v>
      </c>
      <c r="D1252" s="7">
        <v>4226</v>
      </c>
      <c r="E1252" t="s">
        <v>9</v>
      </c>
      <c r="F1252" s="9">
        <v>3.3</v>
      </c>
    </row>
    <row r="1253" spans="1:6">
      <c r="A1253" t="s">
        <v>6</v>
      </c>
      <c r="B1253" t="s">
        <v>495</v>
      </c>
      <c r="C1253" s="1" t="s">
        <v>498</v>
      </c>
      <c r="D1253" s="7">
        <v>5979</v>
      </c>
      <c r="E1253" t="s">
        <v>9</v>
      </c>
      <c r="F1253" s="9">
        <v>3.01</v>
      </c>
    </row>
    <row r="1254" spans="1:6">
      <c r="A1254" t="s">
        <v>6</v>
      </c>
      <c r="B1254" t="s">
        <v>495</v>
      </c>
      <c r="C1254" s="1" t="s">
        <v>499</v>
      </c>
      <c r="D1254" s="7">
        <v>6154</v>
      </c>
      <c r="E1254" t="s">
        <v>9</v>
      </c>
      <c r="F1254" s="9">
        <v>2.9</v>
      </c>
    </row>
    <row r="1255" spans="1:6">
      <c r="A1255" t="s">
        <v>6</v>
      </c>
      <c r="B1255" t="s">
        <v>495</v>
      </c>
      <c r="C1255" s="1" t="s">
        <v>500</v>
      </c>
      <c r="D1255" s="7">
        <v>6134</v>
      </c>
      <c r="E1255" t="s">
        <v>9</v>
      </c>
      <c r="F1255" s="9">
        <v>2.78</v>
      </c>
    </row>
    <row r="1256" spans="1:6">
      <c r="A1256" t="s">
        <v>6</v>
      </c>
      <c r="B1256" t="s">
        <v>495</v>
      </c>
      <c r="C1256" s="1" t="s">
        <v>501</v>
      </c>
      <c r="D1256" s="7">
        <v>6019</v>
      </c>
      <c r="E1256" t="s">
        <v>9</v>
      </c>
      <c r="F1256" s="9">
        <v>2.85</v>
      </c>
    </row>
    <row r="1257" spans="1:6">
      <c r="A1257" t="s">
        <v>6</v>
      </c>
      <c r="B1257" t="s">
        <v>495</v>
      </c>
      <c r="C1257" s="1" t="s">
        <v>502</v>
      </c>
      <c r="D1257" s="7">
        <v>5939</v>
      </c>
      <c r="E1257" t="s">
        <v>9</v>
      </c>
      <c r="F1257" s="9">
        <v>2.5</v>
      </c>
    </row>
    <row r="1258" spans="1:6">
      <c r="A1258" t="s">
        <v>6</v>
      </c>
      <c r="B1258" t="s">
        <v>495</v>
      </c>
      <c r="C1258" s="1" t="s">
        <v>503</v>
      </c>
      <c r="D1258" s="7">
        <v>6074</v>
      </c>
      <c r="E1258" t="s">
        <v>9</v>
      </c>
      <c r="F1258" s="9">
        <v>2.96</v>
      </c>
    </row>
    <row r="1259" spans="1:6">
      <c r="A1259" t="s">
        <v>6</v>
      </c>
      <c r="B1259" t="s">
        <v>495</v>
      </c>
      <c r="C1259" s="1" t="s">
        <v>504</v>
      </c>
      <c r="D1259" s="7">
        <v>5924</v>
      </c>
      <c r="E1259" t="s">
        <v>9</v>
      </c>
      <c r="F1259" s="9">
        <v>2.31</v>
      </c>
    </row>
    <row r="1260" spans="1:6">
      <c r="A1260" t="s">
        <v>6</v>
      </c>
      <c r="B1260" t="s">
        <v>495</v>
      </c>
      <c r="C1260" s="1" t="s">
        <v>505</v>
      </c>
      <c r="D1260" s="7">
        <v>3062</v>
      </c>
      <c r="E1260" t="s">
        <v>9</v>
      </c>
      <c r="F1260" s="9">
        <v>2.5</v>
      </c>
    </row>
    <row r="1261" spans="1:6">
      <c r="A1261" t="s">
        <v>6</v>
      </c>
      <c r="B1261" t="s">
        <v>495</v>
      </c>
      <c r="C1261" s="1" t="s">
        <v>506</v>
      </c>
      <c r="D1261" s="7">
        <v>3286</v>
      </c>
      <c r="E1261" t="s">
        <v>9</v>
      </c>
      <c r="F1261" s="9">
        <v>3</v>
      </c>
    </row>
    <row r="1262" spans="1:6">
      <c r="A1262" t="s">
        <v>6</v>
      </c>
      <c r="B1262" t="s">
        <v>495</v>
      </c>
      <c r="C1262" s="1" t="s">
        <v>507</v>
      </c>
      <c r="D1262" s="7">
        <v>3402</v>
      </c>
      <c r="E1262" t="s">
        <v>9</v>
      </c>
      <c r="F1262" s="9">
        <v>2.8</v>
      </c>
    </row>
    <row r="1263" spans="1:6">
      <c r="A1263" t="s">
        <v>6</v>
      </c>
      <c r="B1263" t="s">
        <v>495</v>
      </c>
      <c r="C1263" s="1" t="s">
        <v>508</v>
      </c>
      <c r="D1263" s="7">
        <v>4150</v>
      </c>
      <c r="E1263" t="s">
        <v>9</v>
      </c>
      <c r="F1263" s="9">
        <v>3.3</v>
      </c>
    </row>
    <row r="1264" spans="1:6">
      <c r="A1264" t="s">
        <v>6</v>
      </c>
      <c r="B1264" t="s">
        <v>495</v>
      </c>
      <c r="C1264" s="1" t="s">
        <v>509</v>
      </c>
      <c r="D1264" s="7">
        <v>3586</v>
      </c>
      <c r="E1264" t="s">
        <v>9</v>
      </c>
      <c r="F1264" s="9">
        <v>2.9</v>
      </c>
    </row>
    <row r="1265" spans="1:6">
      <c r="A1265" t="s">
        <v>6</v>
      </c>
      <c r="B1265" t="s">
        <v>495</v>
      </c>
      <c r="C1265" s="1" t="s">
        <v>510</v>
      </c>
      <c r="D1265" s="7">
        <v>3590</v>
      </c>
      <c r="E1265" t="s">
        <v>9</v>
      </c>
      <c r="F1265" s="9">
        <v>2.6</v>
      </c>
    </row>
    <row r="1266" spans="1:6">
      <c r="A1266" t="s">
        <v>6</v>
      </c>
      <c r="B1266" t="s">
        <v>495</v>
      </c>
      <c r="C1266" s="1" t="s">
        <v>511</v>
      </c>
      <c r="D1266" s="7">
        <v>4218</v>
      </c>
      <c r="E1266" t="s">
        <v>9</v>
      </c>
      <c r="F1266" s="9">
        <v>3.4</v>
      </c>
    </row>
    <row r="1267" spans="1:6">
      <c r="A1267" t="s">
        <v>6</v>
      </c>
      <c r="B1267" t="s">
        <v>495</v>
      </c>
      <c r="C1267" s="1" t="s">
        <v>512</v>
      </c>
      <c r="D1267" s="7">
        <v>4214</v>
      </c>
      <c r="E1267" t="s">
        <v>9</v>
      </c>
      <c r="F1267" s="9">
        <v>3.2</v>
      </c>
    </row>
    <row r="1268" spans="1:6">
      <c r="A1268" t="s">
        <v>6</v>
      </c>
      <c r="B1268" t="s">
        <v>495</v>
      </c>
      <c r="C1268" s="1" t="s">
        <v>513</v>
      </c>
      <c r="D1268" s="7">
        <v>4486</v>
      </c>
      <c r="E1268" t="s">
        <v>9</v>
      </c>
      <c r="F1268" s="9">
        <v>3.1</v>
      </c>
    </row>
    <row r="1269" spans="1:6">
      <c r="A1269" t="s">
        <v>6</v>
      </c>
      <c r="B1269" t="s">
        <v>495</v>
      </c>
      <c r="C1269" s="1" t="s">
        <v>514</v>
      </c>
      <c r="D1269" s="7">
        <v>4490</v>
      </c>
      <c r="E1269" t="s">
        <v>9</v>
      </c>
      <c r="F1269" s="9">
        <v>3.1</v>
      </c>
    </row>
    <row r="1270" spans="1:6">
      <c r="A1270" t="s">
        <v>6</v>
      </c>
      <c r="B1270" t="s">
        <v>495</v>
      </c>
      <c r="C1270" s="1" t="s">
        <v>515</v>
      </c>
      <c r="D1270" s="7">
        <v>4206</v>
      </c>
      <c r="E1270" t="s">
        <v>9</v>
      </c>
      <c r="F1270" s="9">
        <v>3.1</v>
      </c>
    </row>
    <row r="1271" spans="1:6">
      <c r="A1271" t="s">
        <v>6</v>
      </c>
      <c r="B1271" t="s">
        <v>495</v>
      </c>
      <c r="C1271" s="1" t="s">
        <v>516</v>
      </c>
      <c r="D1271" s="7">
        <v>4210</v>
      </c>
      <c r="E1271" t="s">
        <v>9</v>
      </c>
      <c r="F1271" s="9">
        <v>3.3</v>
      </c>
    </row>
    <row r="1272" spans="1:6">
      <c r="A1272" t="s">
        <v>6</v>
      </c>
      <c r="B1272" t="s">
        <v>495</v>
      </c>
      <c r="C1272" s="1" t="s">
        <v>517</v>
      </c>
      <c r="D1272" s="7">
        <v>4230</v>
      </c>
      <c r="E1272" t="s">
        <v>9</v>
      </c>
      <c r="F1272" s="9">
        <v>3.2</v>
      </c>
    </row>
    <row r="1273" spans="1:6">
      <c r="A1273" t="s">
        <v>6</v>
      </c>
      <c r="B1273" t="s">
        <v>495</v>
      </c>
      <c r="C1273" s="1" t="s">
        <v>518</v>
      </c>
      <c r="D1273" s="7">
        <v>4234</v>
      </c>
      <c r="E1273" t="s">
        <v>9</v>
      </c>
      <c r="F1273" s="9">
        <v>3.2</v>
      </c>
    </row>
    <row r="1274" spans="1:6">
      <c r="A1274" t="s">
        <v>6</v>
      </c>
      <c r="B1274" s="6" t="s">
        <v>495</v>
      </c>
      <c r="C1274" s="5" t="s">
        <v>496</v>
      </c>
      <c r="D1274" s="7">
        <v>375</v>
      </c>
      <c r="E1274" s="2" t="s">
        <v>10</v>
      </c>
      <c r="F1274" s="10">
        <v>9.9</v>
      </c>
    </row>
    <row r="1275" spans="1:6">
      <c r="A1275" t="s">
        <v>6</v>
      </c>
      <c r="B1275" t="s">
        <v>495</v>
      </c>
      <c r="C1275" s="1" t="s">
        <v>496</v>
      </c>
      <c r="D1275" s="7">
        <v>4223</v>
      </c>
      <c r="E1275" t="s">
        <v>10</v>
      </c>
      <c r="F1275" s="9">
        <v>7</v>
      </c>
    </row>
    <row r="1276" spans="1:6">
      <c r="A1276" t="s">
        <v>6</v>
      </c>
      <c r="B1276" s="6" t="s">
        <v>495</v>
      </c>
      <c r="C1276" s="5" t="s">
        <v>497</v>
      </c>
      <c r="D1276" s="7">
        <v>379</v>
      </c>
      <c r="E1276" s="2" t="s">
        <v>10</v>
      </c>
      <c r="F1276" s="10">
        <v>11.1</v>
      </c>
    </row>
    <row r="1277" spans="1:6">
      <c r="A1277" t="s">
        <v>6</v>
      </c>
      <c r="B1277" t="s">
        <v>495</v>
      </c>
      <c r="C1277" s="1" t="s">
        <v>497</v>
      </c>
      <c r="D1277" s="7">
        <v>4227</v>
      </c>
      <c r="E1277" t="s">
        <v>10</v>
      </c>
      <c r="F1277" s="9">
        <v>7.4</v>
      </c>
    </row>
    <row r="1278" spans="1:6">
      <c r="A1278" t="s">
        <v>6</v>
      </c>
      <c r="B1278" t="s">
        <v>495</v>
      </c>
      <c r="C1278" s="1" t="s">
        <v>498</v>
      </c>
      <c r="D1278" s="7">
        <v>5982</v>
      </c>
      <c r="E1278" t="s">
        <v>10</v>
      </c>
      <c r="F1278" s="9">
        <v>8.69</v>
      </c>
    </row>
    <row r="1279" spans="1:6">
      <c r="A1279" t="s">
        <v>6</v>
      </c>
      <c r="B1279" t="s">
        <v>495</v>
      </c>
      <c r="C1279" s="1" t="s">
        <v>499</v>
      </c>
      <c r="D1279" s="7">
        <v>6157</v>
      </c>
      <c r="E1279" t="s">
        <v>10</v>
      </c>
      <c r="F1279" s="9">
        <v>13.54</v>
      </c>
    </row>
    <row r="1280" spans="1:6">
      <c r="A1280" t="s">
        <v>6</v>
      </c>
      <c r="B1280" t="s">
        <v>495</v>
      </c>
      <c r="C1280" s="1" t="s">
        <v>500</v>
      </c>
      <c r="D1280" s="7">
        <v>6137</v>
      </c>
      <c r="E1280" t="s">
        <v>10</v>
      </c>
      <c r="F1280" s="9">
        <v>13.54</v>
      </c>
    </row>
    <row r="1281" spans="1:6">
      <c r="A1281" t="s">
        <v>6</v>
      </c>
      <c r="B1281" t="s">
        <v>495</v>
      </c>
      <c r="C1281" s="1" t="s">
        <v>501</v>
      </c>
      <c r="D1281" s="7">
        <v>6022</v>
      </c>
      <c r="E1281" t="s">
        <v>10</v>
      </c>
      <c r="F1281" s="9">
        <v>10.47</v>
      </c>
    </row>
    <row r="1282" spans="1:6">
      <c r="A1282" t="s">
        <v>6</v>
      </c>
      <c r="B1282" t="s">
        <v>495</v>
      </c>
      <c r="C1282" s="1" t="s">
        <v>502</v>
      </c>
      <c r="D1282" s="7">
        <v>5942</v>
      </c>
      <c r="E1282" t="s">
        <v>10</v>
      </c>
      <c r="F1282" s="9">
        <v>9.86</v>
      </c>
    </row>
    <row r="1283" spans="1:6">
      <c r="A1283" t="s">
        <v>6</v>
      </c>
      <c r="B1283" t="s">
        <v>495</v>
      </c>
      <c r="C1283" s="1" t="s">
        <v>503</v>
      </c>
      <c r="D1283" s="7">
        <v>6077</v>
      </c>
      <c r="E1283" t="s">
        <v>10</v>
      </c>
      <c r="F1283" s="9">
        <v>9.75</v>
      </c>
    </row>
    <row r="1284" spans="1:6">
      <c r="A1284" t="s">
        <v>6</v>
      </c>
      <c r="B1284" t="s">
        <v>495</v>
      </c>
      <c r="C1284" s="1" t="s">
        <v>504</v>
      </c>
      <c r="D1284" s="7">
        <v>5927</v>
      </c>
      <c r="E1284" t="s">
        <v>10</v>
      </c>
      <c r="F1284" s="9">
        <v>10.38</v>
      </c>
    </row>
    <row r="1285" spans="1:6">
      <c r="A1285" t="s">
        <v>6</v>
      </c>
      <c r="B1285" t="s">
        <v>495</v>
      </c>
      <c r="C1285" s="1" t="s">
        <v>505</v>
      </c>
      <c r="D1285" s="7">
        <v>3063</v>
      </c>
      <c r="E1285" t="s">
        <v>10</v>
      </c>
      <c r="F1285" s="9">
        <v>9.5</v>
      </c>
    </row>
    <row r="1286" spans="1:6">
      <c r="A1286" t="s">
        <v>6</v>
      </c>
      <c r="B1286" t="s">
        <v>495</v>
      </c>
      <c r="C1286" s="1" t="s">
        <v>506</v>
      </c>
      <c r="D1286" s="7">
        <v>3287</v>
      </c>
      <c r="E1286" t="s">
        <v>10</v>
      </c>
      <c r="F1286" s="9">
        <v>10.199999999999999</v>
      </c>
    </row>
    <row r="1287" spans="1:6">
      <c r="A1287" t="s">
        <v>6</v>
      </c>
      <c r="B1287" t="s">
        <v>495</v>
      </c>
      <c r="C1287" s="1" t="s">
        <v>507</v>
      </c>
      <c r="D1287" s="7">
        <v>3403</v>
      </c>
      <c r="E1287" t="s">
        <v>10</v>
      </c>
      <c r="F1287" s="9">
        <v>9.4</v>
      </c>
    </row>
    <row r="1288" spans="1:6">
      <c r="A1288" t="s">
        <v>6</v>
      </c>
      <c r="B1288" t="s">
        <v>495</v>
      </c>
      <c r="C1288" s="1" t="s">
        <v>508</v>
      </c>
      <c r="D1288" s="7">
        <v>4151</v>
      </c>
      <c r="E1288" t="s">
        <v>10</v>
      </c>
      <c r="F1288" s="9">
        <v>6.8</v>
      </c>
    </row>
    <row r="1289" spans="1:6">
      <c r="A1289" t="s">
        <v>6</v>
      </c>
      <c r="B1289" t="s">
        <v>495</v>
      </c>
      <c r="C1289" s="1" t="s">
        <v>509</v>
      </c>
      <c r="D1289" s="7">
        <v>3587</v>
      </c>
      <c r="E1289" t="s">
        <v>10</v>
      </c>
      <c r="F1289" s="9">
        <v>8.8000000000000007</v>
      </c>
    </row>
    <row r="1290" spans="1:6">
      <c r="A1290" t="s">
        <v>6</v>
      </c>
      <c r="B1290" t="s">
        <v>495</v>
      </c>
      <c r="C1290" s="1" t="s">
        <v>510</v>
      </c>
      <c r="D1290" s="7">
        <v>3591</v>
      </c>
      <c r="E1290" t="s">
        <v>10</v>
      </c>
      <c r="F1290" s="9">
        <v>7.3</v>
      </c>
    </row>
    <row r="1291" spans="1:6">
      <c r="A1291" t="s">
        <v>6</v>
      </c>
      <c r="B1291" t="s">
        <v>495</v>
      </c>
      <c r="C1291" s="1" t="s">
        <v>511</v>
      </c>
      <c r="D1291" s="7">
        <v>4219</v>
      </c>
      <c r="E1291" t="s">
        <v>10</v>
      </c>
      <c r="F1291" s="9">
        <v>5.8</v>
      </c>
    </row>
    <row r="1292" spans="1:6">
      <c r="A1292" t="s">
        <v>6</v>
      </c>
      <c r="B1292" t="s">
        <v>495</v>
      </c>
      <c r="C1292" s="1" t="s">
        <v>512</v>
      </c>
      <c r="D1292" s="7">
        <v>4215</v>
      </c>
      <c r="E1292" t="s">
        <v>10</v>
      </c>
      <c r="F1292" s="9">
        <v>6.1</v>
      </c>
    </row>
    <row r="1293" spans="1:6">
      <c r="A1293" t="s">
        <v>6</v>
      </c>
      <c r="B1293" t="s">
        <v>495</v>
      </c>
      <c r="C1293" s="1" t="s">
        <v>513</v>
      </c>
      <c r="D1293" s="7">
        <v>4487</v>
      </c>
      <c r="E1293" t="s">
        <v>10</v>
      </c>
      <c r="F1293" s="9">
        <v>5</v>
      </c>
    </row>
    <row r="1294" spans="1:6">
      <c r="A1294" t="s">
        <v>6</v>
      </c>
      <c r="B1294" t="s">
        <v>495</v>
      </c>
      <c r="C1294" s="1" t="s">
        <v>514</v>
      </c>
      <c r="D1294" s="7">
        <v>4491</v>
      </c>
      <c r="E1294" t="s">
        <v>10</v>
      </c>
      <c r="F1294" s="9">
        <v>5.0999999999999996</v>
      </c>
    </row>
    <row r="1295" spans="1:6">
      <c r="A1295" t="s">
        <v>6</v>
      </c>
      <c r="B1295" t="s">
        <v>495</v>
      </c>
      <c r="C1295" s="1" t="s">
        <v>515</v>
      </c>
      <c r="D1295" s="7">
        <v>4207</v>
      </c>
      <c r="E1295" t="s">
        <v>10</v>
      </c>
      <c r="F1295" s="9">
        <v>5.8</v>
      </c>
    </row>
    <row r="1296" spans="1:6">
      <c r="A1296" t="s">
        <v>6</v>
      </c>
      <c r="B1296" t="s">
        <v>495</v>
      </c>
      <c r="C1296" s="1" t="s">
        <v>516</v>
      </c>
      <c r="D1296" s="7">
        <v>4211</v>
      </c>
      <c r="E1296" t="s">
        <v>10</v>
      </c>
      <c r="F1296" s="9">
        <v>6.3</v>
      </c>
    </row>
    <row r="1297" spans="1:6">
      <c r="A1297" t="s">
        <v>6</v>
      </c>
      <c r="B1297" t="s">
        <v>495</v>
      </c>
      <c r="C1297" s="1" t="s">
        <v>517</v>
      </c>
      <c r="D1297" s="7">
        <v>4231</v>
      </c>
      <c r="E1297" t="s">
        <v>10</v>
      </c>
      <c r="F1297" s="9">
        <v>8.6</v>
      </c>
    </row>
    <row r="1298" spans="1:6">
      <c r="A1298" t="s">
        <v>6</v>
      </c>
      <c r="B1298" t="s">
        <v>495</v>
      </c>
      <c r="C1298" s="1" t="s">
        <v>518</v>
      </c>
      <c r="D1298" s="7">
        <v>4235</v>
      </c>
      <c r="E1298" t="s">
        <v>10</v>
      </c>
      <c r="F1298" s="9">
        <v>6.8</v>
      </c>
    </row>
    <row r="1299" spans="1:6">
      <c r="A1299" t="s">
        <v>6</v>
      </c>
      <c r="B1299" s="6" t="s">
        <v>495</v>
      </c>
      <c r="C1299" s="5" t="s">
        <v>496</v>
      </c>
      <c r="D1299" s="7">
        <v>376</v>
      </c>
      <c r="E1299" s="2" t="s">
        <v>11</v>
      </c>
      <c r="F1299" s="10">
        <v>9</v>
      </c>
    </row>
    <row r="1300" spans="1:6">
      <c r="A1300" t="s">
        <v>6</v>
      </c>
      <c r="B1300" t="s">
        <v>495</v>
      </c>
      <c r="C1300" s="1" t="s">
        <v>496</v>
      </c>
      <c r="D1300" s="7">
        <v>4221</v>
      </c>
      <c r="E1300" t="s">
        <v>11</v>
      </c>
      <c r="F1300" s="9">
        <v>7.6</v>
      </c>
    </row>
    <row r="1301" spans="1:6">
      <c r="A1301" t="s">
        <v>6</v>
      </c>
      <c r="B1301" s="6" t="s">
        <v>495</v>
      </c>
      <c r="C1301" s="5" t="s">
        <v>497</v>
      </c>
      <c r="D1301" s="7">
        <v>380</v>
      </c>
      <c r="E1301" s="2" t="s">
        <v>11</v>
      </c>
      <c r="F1301" s="10">
        <v>8.1</v>
      </c>
    </row>
    <row r="1302" spans="1:6">
      <c r="A1302" t="s">
        <v>6</v>
      </c>
      <c r="B1302" t="s">
        <v>495</v>
      </c>
      <c r="C1302" s="1" t="s">
        <v>497</v>
      </c>
      <c r="D1302" s="7">
        <v>4225</v>
      </c>
      <c r="E1302" t="s">
        <v>11</v>
      </c>
      <c r="F1302" s="9">
        <v>7.4</v>
      </c>
    </row>
    <row r="1303" spans="1:6">
      <c r="A1303" t="s">
        <v>6</v>
      </c>
      <c r="B1303" t="s">
        <v>495</v>
      </c>
      <c r="C1303" s="1" t="s">
        <v>498</v>
      </c>
      <c r="D1303" s="7">
        <v>5980</v>
      </c>
      <c r="E1303" t="s">
        <v>11</v>
      </c>
      <c r="F1303" s="9">
        <v>7.82</v>
      </c>
    </row>
    <row r="1304" spans="1:6">
      <c r="A1304" t="s">
        <v>6</v>
      </c>
      <c r="B1304" t="s">
        <v>495</v>
      </c>
      <c r="C1304" s="1" t="s">
        <v>499</v>
      </c>
      <c r="D1304" s="7">
        <v>6155</v>
      </c>
      <c r="E1304" t="s">
        <v>11</v>
      </c>
      <c r="F1304" s="9">
        <v>6.83</v>
      </c>
    </row>
    <row r="1305" spans="1:6">
      <c r="A1305" t="s">
        <v>6</v>
      </c>
      <c r="B1305" t="s">
        <v>495</v>
      </c>
      <c r="C1305" s="1" t="s">
        <v>500</v>
      </c>
      <c r="D1305" s="7">
        <v>6135</v>
      </c>
      <c r="E1305" t="s">
        <v>11</v>
      </c>
      <c r="F1305" s="9">
        <v>7.72</v>
      </c>
    </row>
    <row r="1306" spans="1:6">
      <c r="A1306" t="s">
        <v>6</v>
      </c>
      <c r="B1306" t="s">
        <v>495</v>
      </c>
      <c r="C1306" s="1" t="s">
        <v>501</v>
      </c>
      <c r="D1306" s="7">
        <v>6020</v>
      </c>
      <c r="E1306" t="s">
        <v>11</v>
      </c>
      <c r="F1306" s="9">
        <v>7.55</v>
      </c>
    </row>
    <row r="1307" spans="1:6">
      <c r="A1307" t="s">
        <v>6</v>
      </c>
      <c r="B1307" t="s">
        <v>495</v>
      </c>
      <c r="C1307" s="1" t="s">
        <v>502</v>
      </c>
      <c r="D1307" s="7">
        <v>5940</v>
      </c>
      <c r="E1307" t="s">
        <v>11</v>
      </c>
      <c r="F1307" s="9">
        <v>7.65</v>
      </c>
    </row>
    <row r="1308" spans="1:6">
      <c r="A1308" t="s">
        <v>6</v>
      </c>
      <c r="B1308" t="s">
        <v>495</v>
      </c>
      <c r="C1308" s="1" t="s">
        <v>504</v>
      </c>
      <c r="D1308" s="7">
        <v>5925</v>
      </c>
      <c r="E1308" t="s">
        <v>11</v>
      </c>
      <c r="F1308" s="9">
        <v>7.47</v>
      </c>
    </row>
    <row r="1309" spans="1:6">
      <c r="A1309" t="s">
        <v>6</v>
      </c>
      <c r="B1309" t="s">
        <v>495</v>
      </c>
      <c r="C1309" s="1" t="s">
        <v>505</v>
      </c>
      <c r="D1309" s="7">
        <v>3061</v>
      </c>
      <c r="E1309" t="s">
        <v>11</v>
      </c>
      <c r="F1309" s="9">
        <v>7.4</v>
      </c>
    </row>
    <row r="1310" spans="1:6">
      <c r="A1310" t="s">
        <v>6</v>
      </c>
      <c r="B1310" t="s">
        <v>495</v>
      </c>
      <c r="C1310" s="1" t="s">
        <v>506</v>
      </c>
      <c r="D1310" s="7">
        <v>3285</v>
      </c>
      <c r="E1310" t="s">
        <v>11</v>
      </c>
      <c r="F1310" s="9">
        <v>7.8</v>
      </c>
    </row>
    <row r="1311" spans="1:6">
      <c r="A1311" t="s">
        <v>6</v>
      </c>
      <c r="B1311" t="s">
        <v>495</v>
      </c>
      <c r="C1311" s="1" t="s">
        <v>507</v>
      </c>
      <c r="D1311" s="7">
        <v>3401</v>
      </c>
      <c r="E1311" t="s">
        <v>11</v>
      </c>
      <c r="F1311" s="9">
        <v>6.8</v>
      </c>
    </row>
    <row r="1312" spans="1:6">
      <c r="A1312" t="s">
        <v>6</v>
      </c>
      <c r="B1312" t="s">
        <v>495</v>
      </c>
      <c r="C1312" s="1" t="s">
        <v>508</v>
      </c>
      <c r="D1312" s="7">
        <v>4149</v>
      </c>
      <c r="E1312" t="s">
        <v>11</v>
      </c>
      <c r="F1312" s="9">
        <v>6.8</v>
      </c>
    </row>
    <row r="1313" spans="1:6">
      <c r="A1313" t="s">
        <v>6</v>
      </c>
      <c r="B1313" t="s">
        <v>495</v>
      </c>
      <c r="C1313" s="1" t="s">
        <v>509</v>
      </c>
      <c r="D1313" s="7">
        <v>3585</v>
      </c>
      <c r="E1313" t="s">
        <v>11</v>
      </c>
      <c r="F1313" s="9">
        <v>7.7</v>
      </c>
    </row>
    <row r="1314" spans="1:6">
      <c r="A1314" t="s">
        <v>6</v>
      </c>
      <c r="B1314" t="s">
        <v>495</v>
      </c>
      <c r="C1314" s="1" t="s">
        <v>510</v>
      </c>
      <c r="D1314" s="7">
        <v>3589</v>
      </c>
      <c r="E1314" t="s">
        <v>11</v>
      </c>
      <c r="F1314" s="9">
        <v>6.9</v>
      </c>
    </row>
    <row r="1315" spans="1:6">
      <c r="A1315" t="s">
        <v>6</v>
      </c>
      <c r="B1315" t="s">
        <v>495</v>
      </c>
      <c r="C1315" s="1" t="s">
        <v>511</v>
      </c>
      <c r="D1315" s="7">
        <v>4217</v>
      </c>
      <c r="E1315" t="s">
        <v>11</v>
      </c>
      <c r="F1315" s="9">
        <v>7.7</v>
      </c>
    </row>
    <row r="1316" spans="1:6">
      <c r="A1316" t="s">
        <v>6</v>
      </c>
      <c r="B1316" t="s">
        <v>495</v>
      </c>
      <c r="C1316" s="1" t="s">
        <v>512</v>
      </c>
      <c r="D1316" s="7">
        <v>4213</v>
      </c>
      <c r="E1316" t="s">
        <v>11</v>
      </c>
      <c r="F1316" s="9">
        <v>6.6</v>
      </c>
    </row>
    <row r="1317" spans="1:6">
      <c r="A1317" t="s">
        <v>6</v>
      </c>
      <c r="B1317" t="s">
        <v>495</v>
      </c>
      <c r="C1317" s="1" t="s">
        <v>513</v>
      </c>
      <c r="D1317" s="7">
        <v>4485</v>
      </c>
      <c r="E1317" t="s">
        <v>11</v>
      </c>
      <c r="F1317" s="9">
        <v>6.9</v>
      </c>
    </row>
    <row r="1318" spans="1:6">
      <c r="A1318" t="s">
        <v>6</v>
      </c>
      <c r="B1318" t="s">
        <v>495</v>
      </c>
      <c r="C1318" s="1" t="s">
        <v>514</v>
      </c>
      <c r="D1318" s="7">
        <v>4489</v>
      </c>
      <c r="E1318" t="s">
        <v>11</v>
      </c>
      <c r="F1318" s="9">
        <v>7</v>
      </c>
    </row>
    <row r="1319" spans="1:6">
      <c r="A1319" t="s">
        <v>6</v>
      </c>
      <c r="B1319" t="s">
        <v>495</v>
      </c>
      <c r="C1319" s="1" t="s">
        <v>515</v>
      </c>
      <c r="D1319" s="7">
        <v>4205</v>
      </c>
      <c r="E1319" t="s">
        <v>11</v>
      </c>
      <c r="F1319" s="9">
        <v>7</v>
      </c>
    </row>
    <row r="1320" spans="1:6">
      <c r="A1320" t="s">
        <v>6</v>
      </c>
      <c r="B1320" t="s">
        <v>495</v>
      </c>
      <c r="C1320" s="1" t="s">
        <v>516</v>
      </c>
      <c r="D1320" s="7">
        <v>4209</v>
      </c>
      <c r="E1320" t="s">
        <v>11</v>
      </c>
      <c r="F1320" s="9">
        <v>7.1</v>
      </c>
    </row>
    <row r="1321" spans="1:6">
      <c r="A1321" t="s">
        <v>6</v>
      </c>
      <c r="B1321" t="s">
        <v>495</v>
      </c>
      <c r="C1321" s="1" t="s">
        <v>517</v>
      </c>
      <c r="D1321" s="7">
        <v>4229</v>
      </c>
      <c r="E1321" t="s">
        <v>11</v>
      </c>
      <c r="F1321" s="9">
        <v>7.1</v>
      </c>
    </row>
    <row r="1322" spans="1:6">
      <c r="A1322" t="s">
        <v>6</v>
      </c>
      <c r="B1322" t="s">
        <v>495</v>
      </c>
      <c r="C1322" s="1" t="s">
        <v>518</v>
      </c>
      <c r="D1322" s="7">
        <v>4233</v>
      </c>
      <c r="E1322" t="s">
        <v>11</v>
      </c>
      <c r="F1322" s="9">
        <v>7.5</v>
      </c>
    </row>
    <row r="1323" spans="1:6">
      <c r="A1323" t="s">
        <v>6</v>
      </c>
      <c r="B1323" t="s">
        <v>495</v>
      </c>
      <c r="C1323" s="1" t="s">
        <v>519</v>
      </c>
      <c r="D1323" s="7">
        <v>5607</v>
      </c>
      <c r="E1323" t="s">
        <v>12</v>
      </c>
      <c r="F1323" s="9">
        <v>2.13</v>
      </c>
    </row>
    <row r="1324" spans="1:6">
      <c r="A1324" t="s">
        <v>6</v>
      </c>
      <c r="B1324" t="s">
        <v>495</v>
      </c>
      <c r="C1324" s="1" t="s">
        <v>498</v>
      </c>
      <c r="D1324" s="7">
        <v>5981</v>
      </c>
      <c r="E1324" t="s">
        <v>12</v>
      </c>
      <c r="F1324" s="9">
        <v>2.5</v>
      </c>
    </row>
    <row r="1325" spans="1:6">
      <c r="A1325" t="s">
        <v>6</v>
      </c>
      <c r="B1325" t="s">
        <v>495</v>
      </c>
      <c r="C1325" s="1" t="s">
        <v>499</v>
      </c>
      <c r="D1325" s="7">
        <v>6156</v>
      </c>
      <c r="E1325" t="s">
        <v>12</v>
      </c>
      <c r="F1325" s="9">
        <v>2.15</v>
      </c>
    </row>
    <row r="1326" spans="1:6">
      <c r="A1326" t="s">
        <v>6</v>
      </c>
      <c r="B1326" t="s">
        <v>495</v>
      </c>
      <c r="C1326" s="1" t="s">
        <v>500</v>
      </c>
      <c r="D1326" s="7">
        <v>6136</v>
      </c>
      <c r="E1326" t="s">
        <v>12</v>
      </c>
      <c r="F1326" s="9">
        <v>2.34</v>
      </c>
    </row>
    <row r="1327" spans="1:6">
      <c r="A1327" t="s">
        <v>6</v>
      </c>
      <c r="B1327" t="s">
        <v>495</v>
      </c>
      <c r="C1327" s="1" t="s">
        <v>501</v>
      </c>
      <c r="D1327" s="7">
        <v>6021</v>
      </c>
      <c r="E1327" t="s">
        <v>12</v>
      </c>
      <c r="F1327" s="9">
        <v>2.34</v>
      </c>
    </row>
    <row r="1328" spans="1:6">
      <c r="A1328" t="s">
        <v>6</v>
      </c>
      <c r="B1328" t="s">
        <v>495</v>
      </c>
      <c r="C1328" s="1" t="s">
        <v>502</v>
      </c>
      <c r="D1328" s="7">
        <v>5941</v>
      </c>
      <c r="E1328" t="s">
        <v>12</v>
      </c>
      <c r="F1328" s="9">
        <v>2.2000000000000002</v>
      </c>
    </row>
    <row r="1329" spans="1:6">
      <c r="A1329" t="s">
        <v>6</v>
      </c>
      <c r="B1329" t="s">
        <v>495</v>
      </c>
      <c r="C1329" s="1" t="s">
        <v>504</v>
      </c>
      <c r="D1329" s="7">
        <v>5926</v>
      </c>
      <c r="E1329" t="s">
        <v>12</v>
      </c>
      <c r="F1329" s="9">
        <v>2.21</v>
      </c>
    </row>
    <row r="1330" spans="1:6">
      <c r="A1330" t="s">
        <v>6</v>
      </c>
      <c r="B1330" t="s">
        <v>520</v>
      </c>
      <c r="C1330" s="1" t="s">
        <v>521</v>
      </c>
      <c r="D1330" s="7">
        <v>4250</v>
      </c>
      <c r="E1330" t="s">
        <v>9</v>
      </c>
      <c r="F1330" s="9">
        <v>3.3</v>
      </c>
    </row>
    <row r="1331" spans="1:6">
      <c r="A1331" t="s">
        <v>6</v>
      </c>
      <c r="B1331" t="s">
        <v>520</v>
      </c>
      <c r="C1331" s="1" t="s">
        <v>522</v>
      </c>
      <c r="D1331" s="7">
        <v>4254</v>
      </c>
      <c r="E1331" t="s">
        <v>9</v>
      </c>
      <c r="F1331" s="9">
        <v>3.7</v>
      </c>
    </row>
    <row r="1332" spans="1:6">
      <c r="A1332" t="s">
        <v>6</v>
      </c>
      <c r="B1332" t="s">
        <v>520</v>
      </c>
      <c r="C1332" s="1" t="s">
        <v>523</v>
      </c>
      <c r="D1332" s="7">
        <v>4258</v>
      </c>
      <c r="E1332" t="s">
        <v>9</v>
      </c>
      <c r="F1332" s="9">
        <v>3.6</v>
      </c>
    </row>
    <row r="1333" spans="1:6">
      <c r="A1333" t="s">
        <v>6</v>
      </c>
      <c r="B1333" t="s">
        <v>520</v>
      </c>
      <c r="C1333" s="1" t="s">
        <v>524</v>
      </c>
      <c r="D1333" s="7">
        <v>4262</v>
      </c>
      <c r="E1333" t="s">
        <v>9</v>
      </c>
      <c r="F1333" s="9">
        <v>3.4</v>
      </c>
    </row>
    <row r="1334" spans="1:6">
      <c r="A1334" t="s">
        <v>6</v>
      </c>
      <c r="B1334" t="s">
        <v>520</v>
      </c>
      <c r="C1334" s="1" t="s">
        <v>525</v>
      </c>
      <c r="D1334" s="7">
        <v>4266</v>
      </c>
      <c r="E1334" t="s">
        <v>9</v>
      </c>
      <c r="F1334" s="9">
        <v>3.4</v>
      </c>
    </row>
    <row r="1335" spans="1:6">
      <c r="A1335" t="s">
        <v>6</v>
      </c>
      <c r="B1335" t="s">
        <v>520</v>
      </c>
      <c r="C1335" s="1" t="s">
        <v>526</v>
      </c>
      <c r="D1335" s="7">
        <v>4270</v>
      </c>
      <c r="E1335" t="s">
        <v>9</v>
      </c>
      <c r="F1335" s="9">
        <v>3.6</v>
      </c>
    </row>
    <row r="1336" spans="1:6">
      <c r="A1336" t="s">
        <v>6</v>
      </c>
      <c r="B1336" t="s">
        <v>520</v>
      </c>
      <c r="C1336" s="1" t="s">
        <v>527</v>
      </c>
      <c r="D1336" s="7">
        <v>6099</v>
      </c>
      <c r="E1336" t="s">
        <v>9</v>
      </c>
      <c r="F1336" s="9">
        <v>3.15</v>
      </c>
    </row>
    <row r="1337" spans="1:6">
      <c r="A1337" t="s">
        <v>6</v>
      </c>
      <c r="B1337" t="s">
        <v>520</v>
      </c>
      <c r="C1337" s="1" t="s">
        <v>528</v>
      </c>
      <c r="D1337" s="7">
        <v>3294</v>
      </c>
      <c r="E1337" t="s">
        <v>9</v>
      </c>
      <c r="F1337" s="9">
        <v>2.9</v>
      </c>
    </row>
    <row r="1338" spans="1:6">
      <c r="A1338" t="s">
        <v>6</v>
      </c>
      <c r="B1338" t="s">
        <v>520</v>
      </c>
      <c r="C1338" s="1" t="s">
        <v>521</v>
      </c>
      <c r="D1338" s="7">
        <v>4251</v>
      </c>
      <c r="E1338" t="s">
        <v>10</v>
      </c>
      <c r="F1338" s="9">
        <v>19.399999999999999</v>
      </c>
    </row>
    <row r="1339" spans="1:6">
      <c r="A1339" t="s">
        <v>6</v>
      </c>
      <c r="B1339" t="s">
        <v>520</v>
      </c>
      <c r="C1339" s="1" t="s">
        <v>522</v>
      </c>
      <c r="D1339" s="7">
        <v>4255</v>
      </c>
      <c r="E1339" t="s">
        <v>10</v>
      </c>
      <c r="F1339" s="9">
        <v>19.5</v>
      </c>
    </row>
    <row r="1340" spans="1:6">
      <c r="A1340" t="s">
        <v>6</v>
      </c>
      <c r="B1340" t="s">
        <v>520</v>
      </c>
      <c r="C1340" s="1" t="s">
        <v>523</v>
      </c>
      <c r="D1340" s="7">
        <v>4259</v>
      </c>
      <c r="E1340" t="s">
        <v>10</v>
      </c>
      <c r="F1340" s="9">
        <v>19.7</v>
      </c>
    </row>
    <row r="1341" spans="1:6">
      <c r="A1341" t="s">
        <v>6</v>
      </c>
      <c r="B1341" t="s">
        <v>520</v>
      </c>
      <c r="C1341" s="1" t="s">
        <v>524</v>
      </c>
      <c r="D1341" s="7">
        <v>4263</v>
      </c>
      <c r="E1341" t="s">
        <v>10</v>
      </c>
      <c r="F1341" s="9">
        <v>20.7</v>
      </c>
    </row>
    <row r="1342" spans="1:6">
      <c r="A1342" t="s">
        <v>6</v>
      </c>
      <c r="B1342" t="s">
        <v>520</v>
      </c>
      <c r="C1342" s="1" t="s">
        <v>525</v>
      </c>
      <c r="D1342" s="7">
        <v>4267</v>
      </c>
      <c r="E1342" t="s">
        <v>10</v>
      </c>
      <c r="F1342" s="9">
        <v>19.399999999999999</v>
      </c>
    </row>
    <row r="1343" spans="1:6">
      <c r="A1343" t="s">
        <v>6</v>
      </c>
      <c r="B1343" t="s">
        <v>520</v>
      </c>
      <c r="C1343" s="1" t="s">
        <v>526</v>
      </c>
      <c r="D1343" s="7">
        <v>4271</v>
      </c>
      <c r="E1343" t="s">
        <v>10</v>
      </c>
      <c r="F1343" s="9">
        <v>19.899999999999999</v>
      </c>
    </row>
    <row r="1344" spans="1:6">
      <c r="A1344" t="s">
        <v>6</v>
      </c>
      <c r="B1344" t="s">
        <v>520</v>
      </c>
      <c r="C1344" s="1" t="s">
        <v>527</v>
      </c>
      <c r="D1344" s="7">
        <v>6102</v>
      </c>
      <c r="E1344" t="s">
        <v>10</v>
      </c>
      <c r="F1344" s="9">
        <v>21.83</v>
      </c>
    </row>
    <row r="1345" spans="1:6">
      <c r="A1345" t="s">
        <v>6</v>
      </c>
      <c r="B1345" t="s">
        <v>520</v>
      </c>
      <c r="C1345" s="1" t="s">
        <v>528</v>
      </c>
      <c r="D1345" s="7">
        <v>3295</v>
      </c>
      <c r="E1345" t="s">
        <v>10</v>
      </c>
      <c r="F1345" s="9">
        <v>13.1</v>
      </c>
    </row>
    <row r="1346" spans="1:6">
      <c r="A1346" t="s">
        <v>6</v>
      </c>
      <c r="B1346" t="s">
        <v>520</v>
      </c>
      <c r="C1346" s="1" t="s">
        <v>521</v>
      </c>
      <c r="D1346" s="7">
        <v>4249</v>
      </c>
      <c r="E1346" t="s">
        <v>11</v>
      </c>
      <c r="F1346" s="9">
        <v>10.6</v>
      </c>
    </row>
    <row r="1347" spans="1:6">
      <c r="A1347" t="s">
        <v>6</v>
      </c>
      <c r="B1347" t="s">
        <v>520</v>
      </c>
      <c r="C1347" s="1" t="s">
        <v>522</v>
      </c>
      <c r="D1347" s="7">
        <v>4253</v>
      </c>
      <c r="E1347" t="s">
        <v>11</v>
      </c>
      <c r="F1347" s="9">
        <v>10.8</v>
      </c>
    </row>
    <row r="1348" spans="1:6">
      <c r="A1348" t="s">
        <v>6</v>
      </c>
      <c r="B1348" t="s">
        <v>520</v>
      </c>
      <c r="C1348" s="1" t="s">
        <v>523</v>
      </c>
      <c r="D1348" s="7">
        <v>4257</v>
      </c>
      <c r="E1348" t="s">
        <v>11</v>
      </c>
      <c r="F1348" s="9">
        <v>11.3</v>
      </c>
    </row>
    <row r="1349" spans="1:6">
      <c r="A1349" t="s">
        <v>6</v>
      </c>
      <c r="B1349" t="s">
        <v>520</v>
      </c>
      <c r="C1349" s="1" t="s">
        <v>524</v>
      </c>
      <c r="D1349" s="7">
        <v>4261</v>
      </c>
      <c r="E1349" t="s">
        <v>11</v>
      </c>
      <c r="F1349" s="9">
        <v>10.8</v>
      </c>
    </row>
    <row r="1350" spans="1:6">
      <c r="A1350" t="s">
        <v>6</v>
      </c>
      <c r="B1350" t="s">
        <v>520</v>
      </c>
      <c r="C1350" s="1" t="s">
        <v>525</v>
      </c>
      <c r="D1350" s="7">
        <v>4265</v>
      </c>
      <c r="E1350" t="s">
        <v>11</v>
      </c>
      <c r="F1350" s="9">
        <v>10.3</v>
      </c>
    </row>
    <row r="1351" spans="1:6">
      <c r="A1351" t="s">
        <v>6</v>
      </c>
      <c r="B1351" t="s">
        <v>520</v>
      </c>
      <c r="C1351" s="1" t="s">
        <v>526</v>
      </c>
      <c r="D1351" s="7">
        <v>4269</v>
      </c>
      <c r="E1351" t="s">
        <v>11</v>
      </c>
      <c r="F1351" s="9">
        <v>10.9</v>
      </c>
    </row>
    <row r="1352" spans="1:6">
      <c r="A1352" t="s">
        <v>6</v>
      </c>
      <c r="B1352" t="s">
        <v>520</v>
      </c>
      <c r="C1352" s="1" t="s">
        <v>527</v>
      </c>
      <c r="D1352" s="7">
        <v>6100</v>
      </c>
      <c r="E1352" t="s">
        <v>11</v>
      </c>
      <c r="F1352" s="9">
        <v>9.74</v>
      </c>
    </row>
    <row r="1353" spans="1:6">
      <c r="A1353" t="s">
        <v>6</v>
      </c>
      <c r="B1353" t="s">
        <v>520</v>
      </c>
      <c r="C1353" s="1" t="s">
        <v>528</v>
      </c>
      <c r="D1353" s="7">
        <v>3293</v>
      </c>
      <c r="E1353" t="s">
        <v>11</v>
      </c>
      <c r="F1353" s="9">
        <v>7.8</v>
      </c>
    </row>
    <row r="1354" spans="1:6">
      <c r="A1354" t="s">
        <v>6</v>
      </c>
      <c r="B1354" t="s">
        <v>520</v>
      </c>
      <c r="C1354" s="1" t="s">
        <v>527</v>
      </c>
      <c r="D1354" s="7">
        <v>6101</v>
      </c>
      <c r="E1354" t="s">
        <v>12</v>
      </c>
      <c r="F1354" s="9">
        <v>3.35</v>
      </c>
    </row>
    <row r="1355" spans="1:6">
      <c r="A1355" t="s">
        <v>6</v>
      </c>
      <c r="B1355" t="s">
        <v>520</v>
      </c>
      <c r="C1355" s="1" t="s">
        <v>529</v>
      </c>
      <c r="D1355" s="7">
        <v>5816</v>
      </c>
      <c r="E1355" t="s">
        <v>12</v>
      </c>
      <c r="F1355" s="9">
        <v>3.09</v>
      </c>
    </row>
    <row r="1356" spans="1:6">
      <c r="A1356" t="s">
        <v>6</v>
      </c>
      <c r="B1356" t="s">
        <v>530</v>
      </c>
      <c r="C1356" s="3" t="s">
        <v>531</v>
      </c>
      <c r="D1356" s="7">
        <v>297</v>
      </c>
      <c r="E1356" s="2" t="s">
        <v>9</v>
      </c>
      <c r="F1356" s="10">
        <v>3.6</v>
      </c>
    </row>
    <row r="1357" spans="1:6">
      <c r="A1357" t="s">
        <v>6</v>
      </c>
      <c r="B1357" t="s">
        <v>530</v>
      </c>
      <c r="C1357" s="1" t="s">
        <v>532</v>
      </c>
      <c r="D1357" s="7">
        <v>5670</v>
      </c>
      <c r="E1357" t="s">
        <v>9</v>
      </c>
      <c r="F1357" s="9">
        <v>2.96</v>
      </c>
    </row>
    <row r="1358" spans="1:6">
      <c r="A1358" t="s">
        <v>6</v>
      </c>
      <c r="B1358" t="s">
        <v>530</v>
      </c>
      <c r="C1358" s="1" t="s">
        <v>533</v>
      </c>
      <c r="D1358" s="7">
        <v>5674</v>
      </c>
      <c r="E1358" t="s">
        <v>9</v>
      </c>
      <c r="F1358" s="9">
        <v>3.13</v>
      </c>
    </row>
    <row r="1359" spans="1:6">
      <c r="A1359" t="s">
        <v>6</v>
      </c>
      <c r="B1359" t="s">
        <v>530</v>
      </c>
      <c r="C1359" s="1" t="s">
        <v>534</v>
      </c>
      <c r="D1359" s="7">
        <v>5678</v>
      </c>
      <c r="E1359" t="s">
        <v>9</v>
      </c>
      <c r="F1359" s="9">
        <v>2.98</v>
      </c>
    </row>
    <row r="1360" spans="1:6">
      <c r="A1360" t="s">
        <v>6</v>
      </c>
      <c r="B1360" t="s">
        <v>530</v>
      </c>
      <c r="C1360" s="1" t="s">
        <v>535</v>
      </c>
      <c r="D1360" s="7">
        <v>6034</v>
      </c>
      <c r="E1360" t="s">
        <v>9</v>
      </c>
      <c r="F1360" s="9">
        <v>3</v>
      </c>
    </row>
    <row r="1361" spans="1:6">
      <c r="A1361" t="s">
        <v>6</v>
      </c>
      <c r="B1361" t="s">
        <v>530</v>
      </c>
      <c r="C1361" s="1" t="s">
        <v>536</v>
      </c>
      <c r="D1361" s="7">
        <v>6119</v>
      </c>
      <c r="E1361" t="s">
        <v>9</v>
      </c>
      <c r="F1361" s="9">
        <v>2.77</v>
      </c>
    </row>
    <row r="1362" spans="1:6">
      <c r="A1362" t="s">
        <v>6</v>
      </c>
      <c r="B1362" t="s">
        <v>530</v>
      </c>
      <c r="C1362" s="1" t="s">
        <v>537</v>
      </c>
      <c r="D1362" s="7">
        <v>6124</v>
      </c>
      <c r="E1362" t="s">
        <v>9</v>
      </c>
      <c r="F1362" s="9">
        <v>3.06</v>
      </c>
    </row>
    <row r="1363" spans="1:6">
      <c r="A1363" t="s">
        <v>6</v>
      </c>
      <c r="B1363" t="s">
        <v>530</v>
      </c>
      <c r="C1363" s="1" t="s">
        <v>538</v>
      </c>
      <c r="D1363" s="7">
        <v>5964</v>
      </c>
      <c r="E1363" t="s">
        <v>9</v>
      </c>
      <c r="F1363" s="9">
        <v>2.98</v>
      </c>
    </row>
    <row r="1364" spans="1:6">
      <c r="A1364" t="s">
        <v>6</v>
      </c>
      <c r="B1364" t="s">
        <v>530</v>
      </c>
      <c r="C1364" s="1" t="s">
        <v>539</v>
      </c>
      <c r="D1364" s="7">
        <v>5654</v>
      </c>
      <c r="E1364" t="s">
        <v>9</v>
      </c>
      <c r="F1364" s="9">
        <v>2.88</v>
      </c>
    </row>
    <row r="1365" spans="1:6">
      <c r="A1365" t="s">
        <v>6</v>
      </c>
      <c r="B1365" t="s">
        <v>530</v>
      </c>
      <c r="C1365" s="1" t="s">
        <v>540</v>
      </c>
      <c r="D1365" s="7">
        <v>6069</v>
      </c>
      <c r="E1365" t="s">
        <v>9</v>
      </c>
      <c r="F1365" s="9">
        <v>2.86</v>
      </c>
    </row>
    <row r="1366" spans="1:6">
      <c r="A1366" t="s">
        <v>6</v>
      </c>
      <c r="B1366" t="s">
        <v>530</v>
      </c>
      <c r="C1366" s="1" t="s">
        <v>541</v>
      </c>
      <c r="D1366" s="7">
        <v>5802</v>
      </c>
      <c r="E1366" t="s">
        <v>9</v>
      </c>
      <c r="F1366" s="9">
        <v>2.99</v>
      </c>
    </row>
    <row r="1367" spans="1:6">
      <c r="A1367" t="s">
        <v>6</v>
      </c>
      <c r="B1367" t="s">
        <v>530</v>
      </c>
      <c r="C1367" s="1" t="s">
        <v>542</v>
      </c>
      <c r="D1367" s="7">
        <v>5806</v>
      </c>
      <c r="E1367" t="s">
        <v>9</v>
      </c>
      <c r="F1367" s="9">
        <v>2.52</v>
      </c>
    </row>
    <row r="1368" spans="1:6">
      <c r="A1368" t="s">
        <v>6</v>
      </c>
      <c r="B1368" t="s">
        <v>530</v>
      </c>
      <c r="C1368" s="1" t="s">
        <v>543</v>
      </c>
      <c r="D1368" s="7">
        <v>3074</v>
      </c>
      <c r="E1368" t="s">
        <v>9</v>
      </c>
      <c r="F1368" s="9">
        <v>3.2</v>
      </c>
    </row>
    <row r="1369" spans="1:6">
      <c r="A1369" t="s">
        <v>6</v>
      </c>
      <c r="B1369" t="s">
        <v>530</v>
      </c>
      <c r="C1369" s="1" t="s">
        <v>544</v>
      </c>
      <c r="D1369" s="7">
        <v>3078</v>
      </c>
      <c r="E1369" t="s">
        <v>9</v>
      </c>
      <c r="F1369" s="9">
        <v>3.4</v>
      </c>
    </row>
    <row r="1370" spans="1:6">
      <c r="A1370" t="s">
        <v>6</v>
      </c>
      <c r="B1370" t="s">
        <v>530</v>
      </c>
      <c r="C1370" s="1" t="s">
        <v>545</v>
      </c>
      <c r="D1370" s="7">
        <v>3082</v>
      </c>
      <c r="E1370" t="s">
        <v>9</v>
      </c>
      <c r="F1370" s="9">
        <v>3.2</v>
      </c>
    </row>
    <row r="1371" spans="1:6">
      <c r="A1371" t="s">
        <v>6</v>
      </c>
      <c r="B1371" t="s">
        <v>530</v>
      </c>
      <c r="C1371" s="1" t="s">
        <v>546</v>
      </c>
      <c r="D1371" s="7">
        <v>3178</v>
      </c>
      <c r="E1371" t="s">
        <v>9</v>
      </c>
      <c r="F1371" s="9">
        <v>3.1</v>
      </c>
    </row>
    <row r="1372" spans="1:6">
      <c r="A1372" t="s">
        <v>6</v>
      </c>
      <c r="B1372" t="s">
        <v>530</v>
      </c>
      <c r="C1372" s="1" t="s">
        <v>547</v>
      </c>
      <c r="D1372" s="7">
        <v>3182</v>
      </c>
      <c r="E1372" t="s">
        <v>9</v>
      </c>
      <c r="F1372" s="9">
        <v>2.9</v>
      </c>
    </row>
    <row r="1373" spans="1:6">
      <c r="A1373" t="s">
        <v>6</v>
      </c>
      <c r="B1373" t="s">
        <v>530</v>
      </c>
      <c r="C1373" s="1" t="s">
        <v>548</v>
      </c>
      <c r="D1373" s="7">
        <v>3186</v>
      </c>
      <c r="E1373" t="s">
        <v>9</v>
      </c>
      <c r="F1373" s="9">
        <v>3.2</v>
      </c>
    </row>
    <row r="1374" spans="1:6">
      <c r="A1374" t="s">
        <v>6</v>
      </c>
      <c r="B1374" t="s">
        <v>530</v>
      </c>
      <c r="C1374" s="1" t="s">
        <v>549</v>
      </c>
      <c r="D1374" s="7">
        <v>4082</v>
      </c>
      <c r="E1374" t="s">
        <v>9</v>
      </c>
      <c r="F1374" s="9">
        <v>3.5</v>
      </c>
    </row>
    <row r="1375" spans="1:6">
      <c r="A1375" t="s">
        <v>6</v>
      </c>
      <c r="B1375" t="s">
        <v>530</v>
      </c>
      <c r="C1375" s="1" t="s">
        <v>550</v>
      </c>
      <c r="D1375" s="7">
        <v>4086</v>
      </c>
      <c r="E1375" t="s">
        <v>9</v>
      </c>
      <c r="F1375" s="9">
        <v>2.9</v>
      </c>
    </row>
    <row r="1376" spans="1:6">
      <c r="A1376" t="s">
        <v>6</v>
      </c>
      <c r="B1376" t="s">
        <v>530</v>
      </c>
      <c r="C1376" s="1" t="s">
        <v>551</v>
      </c>
      <c r="D1376" s="7">
        <v>4090</v>
      </c>
      <c r="E1376" t="s">
        <v>9</v>
      </c>
      <c r="F1376" s="9">
        <v>3.3</v>
      </c>
    </row>
    <row r="1377" spans="1:6">
      <c r="A1377" t="s">
        <v>6</v>
      </c>
      <c r="B1377" t="s">
        <v>530</v>
      </c>
      <c r="C1377" s="1" t="s">
        <v>552</v>
      </c>
      <c r="D1377" s="7">
        <v>4342</v>
      </c>
      <c r="E1377" t="s">
        <v>9</v>
      </c>
      <c r="F1377" s="9">
        <v>3.4</v>
      </c>
    </row>
    <row r="1378" spans="1:6">
      <c r="A1378" t="s">
        <v>6</v>
      </c>
      <c r="B1378" t="s">
        <v>530</v>
      </c>
      <c r="C1378" s="1" t="s">
        <v>553</v>
      </c>
      <c r="D1378" s="7">
        <v>4094</v>
      </c>
      <c r="E1378" t="s">
        <v>9</v>
      </c>
      <c r="F1378" s="9">
        <v>3.2</v>
      </c>
    </row>
    <row r="1379" spans="1:6">
      <c r="A1379" t="s">
        <v>6</v>
      </c>
      <c r="B1379" t="s">
        <v>530</v>
      </c>
      <c r="C1379" s="1" t="s">
        <v>554</v>
      </c>
      <c r="D1379" s="7">
        <v>3278</v>
      </c>
      <c r="E1379" t="s">
        <v>9</v>
      </c>
      <c r="F1379" s="9">
        <v>3.2</v>
      </c>
    </row>
    <row r="1380" spans="1:6">
      <c r="A1380" t="s">
        <v>6</v>
      </c>
      <c r="B1380" t="s">
        <v>530</v>
      </c>
      <c r="C1380" s="1" t="s">
        <v>555</v>
      </c>
      <c r="D1380" s="7">
        <v>3314</v>
      </c>
      <c r="E1380" t="s">
        <v>9</v>
      </c>
      <c r="F1380" s="9">
        <v>3.2</v>
      </c>
    </row>
    <row r="1381" spans="1:6">
      <c r="A1381" t="s">
        <v>6</v>
      </c>
      <c r="B1381" t="s">
        <v>530</v>
      </c>
      <c r="C1381" s="1" t="s">
        <v>556</v>
      </c>
      <c r="D1381" s="7">
        <v>4098</v>
      </c>
      <c r="E1381" t="s">
        <v>9</v>
      </c>
      <c r="F1381" s="9">
        <v>3.4</v>
      </c>
    </row>
    <row r="1382" spans="1:6">
      <c r="A1382" t="s">
        <v>6</v>
      </c>
      <c r="B1382" t="s">
        <v>530</v>
      </c>
      <c r="C1382" s="1" t="s">
        <v>557</v>
      </c>
      <c r="D1382" s="7">
        <v>3554</v>
      </c>
      <c r="E1382" t="s">
        <v>9</v>
      </c>
      <c r="F1382" s="9">
        <v>2.8</v>
      </c>
    </row>
    <row r="1383" spans="1:6">
      <c r="A1383" t="s">
        <v>6</v>
      </c>
      <c r="B1383" t="s">
        <v>530</v>
      </c>
      <c r="C1383" s="1" t="s">
        <v>558</v>
      </c>
      <c r="D1383" s="7">
        <v>3562</v>
      </c>
      <c r="E1383" t="s">
        <v>9</v>
      </c>
      <c r="F1383" s="9">
        <v>2.9</v>
      </c>
    </row>
    <row r="1384" spans="1:6">
      <c r="A1384" t="s">
        <v>6</v>
      </c>
      <c r="B1384" t="s">
        <v>530</v>
      </c>
      <c r="C1384" s="1" t="s">
        <v>559</v>
      </c>
      <c r="D1384" s="7">
        <v>3566</v>
      </c>
      <c r="E1384" t="s">
        <v>9</v>
      </c>
      <c r="F1384" s="9">
        <v>3</v>
      </c>
    </row>
    <row r="1385" spans="1:6">
      <c r="A1385" t="s">
        <v>6</v>
      </c>
      <c r="B1385" t="s">
        <v>530</v>
      </c>
      <c r="C1385" s="1" t="s">
        <v>560</v>
      </c>
      <c r="D1385" s="7">
        <v>4106</v>
      </c>
      <c r="E1385" t="s">
        <v>9</v>
      </c>
      <c r="F1385" s="9">
        <v>3.5</v>
      </c>
    </row>
    <row r="1386" spans="1:6">
      <c r="A1386" t="s">
        <v>6</v>
      </c>
      <c r="B1386" t="s">
        <v>530</v>
      </c>
      <c r="C1386" s="1" t="s">
        <v>561</v>
      </c>
      <c r="D1386" s="7">
        <v>4110</v>
      </c>
      <c r="E1386" t="s">
        <v>9</v>
      </c>
      <c r="F1386" s="9">
        <v>3.4</v>
      </c>
    </row>
    <row r="1387" spans="1:6">
      <c r="A1387" t="s">
        <v>6</v>
      </c>
      <c r="B1387" t="s">
        <v>530</v>
      </c>
      <c r="C1387" s="1" t="s">
        <v>562</v>
      </c>
      <c r="D1387" s="7">
        <v>4114</v>
      </c>
      <c r="E1387" t="s">
        <v>9</v>
      </c>
      <c r="F1387" s="9">
        <v>3.3</v>
      </c>
    </row>
    <row r="1388" spans="1:6">
      <c r="A1388" t="s">
        <v>6</v>
      </c>
      <c r="B1388" t="s">
        <v>530</v>
      </c>
      <c r="C1388" s="1" t="s">
        <v>563</v>
      </c>
      <c r="D1388" s="7">
        <v>4118</v>
      </c>
      <c r="E1388" t="s">
        <v>9</v>
      </c>
      <c r="F1388" s="9">
        <v>3.3</v>
      </c>
    </row>
    <row r="1389" spans="1:6">
      <c r="A1389" t="s">
        <v>6</v>
      </c>
      <c r="B1389" t="s">
        <v>530</v>
      </c>
      <c r="C1389" s="3" t="s">
        <v>531</v>
      </c>
      <c r="D1389" s="7">
        <v>295</v>
      </c>
      <c r="E1389" s="2" t="s">
        <v>10</v>
      </c>
      <c r="F1389" s="10">
        <v>11.1</v>
      </c>
    </row>
    <row r="1390" spans="1:6">
      <c r="A1390" t="s">
        <v>6</v>
      </c>
      <c r="B1390" t="s">
        <v>530</v>
      </c>
      <c r="C1390" s="1" t="s">
        <v>535</v>
      </c>
      <c r="D1390" s="7">
        <v>6037</v>
      </c>
      <c r="E1390" t="s">
        <v>10</v>
      </c>
      <c r="F1390" s="9">
        <v>9.98</v>
      </c>
    </row>
    <row r="1391" spans="1:6">
      <c r="A1391" t="s">
        <v>6</v>
      </c>
      <c r="B1391" t="s">
        <v>530</v>
      </c>
      <c r="C1391" s="1" t="s">
        <v>536</v>
      </c>
      <c r="D1391" s="7">
        <v>6122</v>
      </c>
      <c r="E1391" t="s">
        <v>10</v>
      </c>
      <c r="F1391" s="9">
        <v>10.34</v>
      </c>
    </row>
    <row r="1392" spans="1:6">
      <c r="A1392" t="s">
        <v>6</v>
      </c>
      <c r="B1392" t="s">
        <v>530</v>
      </c>
      <c r="C1392" s="1" t="s">
        <v>537</v>
      </c>
      <c r="D1392" s="7">
        <v>6127</v>
      </c>
      <c r="E1392" t="s">
        <v>10</v>
      </c>
      <c r="F1392" s="9">
        <v>10.6</v>
      </c>
    </row>
    <row r="1393" spans="1:6">
      <c r="A1393" t="s">
        <v>6</v>
      </c>
      <c r="B1393" t="s">
        <v>530</v>
      </c>
      <c r="C1393" s="1" t="s">
        <v>538</v>
      </c>
      <c r="D1393" s="7">
        <v>5967</v>
      </c>
      <c r="E1393" t="s">
        <v>10</v>
      </c>
      <c r="F1393" s="9">
        <v>10.83</v>
      </c>
    </row>
    <row r="1394" spans="1:6">
      <c r="A1394" t="s">
        <v>6</v>
      </c>
      <c r="B1394" t="s">
        <v>530</v>
      </c>
      <c r="C1394" s="1" t="s">
        <v>540</v>
      </c>
      <c r="D1394" s="7">
        <v>6072</v>
      </c>
      <c r="E1394" t="s">
        <v>10</v>
      </c>
      <c r="F1394" s="9">
        <v>11.99</v>
      </c>
    </row>
    <row r="1395" spans="1:6">
      <c r="A1395" t="s">
        <v>6</v>
      </c>
      <c r="B1395" t="s">
        <v>530</v>
      </c>
      <c r="C1395" s="1" t="s">
        <v>543</v>
      </c>
      <c r="D1395" s="7">
        <v>3075</v>
      </c>
      <c r="E1395" t="s">
        <v>10</v>
      </c>
      <c r="F1395" s="9">
        <v>9.6</v>
      </c>
    </row>
    <row r="1396" spans="1:6">
      <c r="A1396" t="s">
        <v>6</v>
      </c>
      <c r="B1396" t="s">
        <v>530</v>
      </c>
      <c r="C1396" s="1" t="s">
        <v>544</v>
      </c>
      <c r="D1396" s="7">
        <v>3079</v>
      </c>
      <c r="E1396" t="s">
        <v>10</v>
      </c>
      <c r="F1396" s="9">
        <v>9.1</v>
      </c>
    </row>
    <row r="1397" spans="1:6">
      <c r="A1397" t="s">
        <v>6</v>
      </c>
      <c r="B1397" t="s">
        <v>530</v>
      </c>
      <c r="C1397" s="1" t="s">
        <v>545</v>
      </c>
      <c r="D1397" s="7">
        <v>3083</v>
      </c>
      <c r="E1397" t="s">
        <v>10</v>
      </c>
      <c r="F1397" s="9">
        <v>10</v>
      </c>
    </row>
    <row r="1398" spans="1:6">
      <c r="A1398" t="s">
        <v>6</v>
      </c>
      <c r="B1398" t="s">
        <v>530</v>
      </c>
      <c r="C1398" s="1" t="s">
        <v>546</v>
      </c>
      <c r="D1398" s="7">
        <v>3179</v>
      </c>
      <c r="E1398" t="s">
        <v>10</v>
      </c>
      <c r="F1398" s="9">
        <v>9.8000000000000007</v>
      </c>
    </row>
    <row r="1399" spans="1:6">
      <c r="A1399" t="s">
        <v>6</v>
      </c>
      <c r="B1399" t="s">
        <v>530</v>
      </c>
      <c r="C1399" s="1" t="s">
        <v>547</v>
      </c>
      <c r="D1399" s="7">
        <v>3183</v>
      </c>
      <c r="E1399" t="s">
        <v>10</v>
      </c>
      <c r="F1399" s="9">
        <v>8.6</v>
      </c>
    </row>
    <row r="1400" spans="1:6">
      <c r="A1400" t="s">
        <v>6</v>
      </c>
      <c r="B1400" t="s">
        <v>530</v>
      </c>
      <c r="C1400" s="1" t="s">
        <v>548</v>
      </c>
      <c r="D1400" s="7">
        <v>3187</v>
      </c>
      <c r="E1400" t="s">
        <v>10</v>
      </c>
      <c r="F1400" s="9">
        <v>8.4</v>
      </c>
    </row>
    <row r="1401" spans="1:6">
      <c r="A1401" t="s">
        <v>6</v>
      </c>
      <c r="B1401" t="s">
        <v>530</v>
      </c>
      <c r="C1401" s="1" t="s">
        <v>549</v>
      </c>
      <c r="D1401" s="7">
        <v>4083</v>
      </c>
      <c r="E1401" t="s">
        <v>10</v>
      </c>
      <c r="F1401" s="9">
        <v>6.7</v>
      </c>
    </row>
    <row r="1402" spans="1:6">
      <c r="A1402" t="s">
        <v>6</v>
      </c>
      <c r="B1402" t="s">
        <v>530</v>
      </c>
      <c r="C1402" s="1" t="s">
        <v>550</v>
      </c>
      <c r="D1402" s="7">
        <v>4087</v>
      </c>
      <c r="E1402" t="s">
        <v>10</v>
      </c>
      <c r="F1402" s="9">
        <v>6</v>
      </c>
    </row>
    <row r="1403" spans="1:6">
      <c r="A1403" t="s">
        <v>6</v>
      </c>
      <c r="B1403" t="s">
        <v>530</v>
      </c>
      <c r="C1403" s="1" t="s">
        <v>551</v>
      </c>
      <c r="D1403" s="7">
        <v>4091</v>
      </c>
      <c r="E1403" t="s">
        <v>10</v>
      </c>
      <c r="F1403" s="9">
        <v>7.3</v>
      </c>
    </row>
    <row r="1404" spans="1:6">
      <c r="A1404" t="s">
        <v>6</v>
      </c>
      <c r="B1404" t="s">
        <v>530</v>
      </c>
      <c r="C1404" s="1" t="s">
        <v>552</v>
      </c>
      <c r="D1404" s="7">
        <v>4343</v>
      </c>
      <c r="E1404" t="s">
        <v>10</v>
      </c>
      <c r="F1404" s="9">
        <v>6.2</v>
      </c>
    </row>
    <row r="1405" spans="1:6">
      <c r="A1405" t="s">
        <v>6</v>
      </c>
      <c r="B1405" t="s">
        <v>530</v>
      </c>
      <c r="C1405" s="1" t="s">
        <v>553</v>
      </c>
      <c r="D1405" s="7">
        <v>4095</v>
      </c>
      <c r="E1405" t="s">
        <v>10</v>
      </c>
      <c r="F1405" s="9">
        <v>7.5</v>
      </c>
    </row>
    <row r="1406" spans="1:6">
      <c r="A1406" t="s">
        <v>6</v>
      </c>
      <c r="B1406" t="s">
        <v>530</v>
      </c>
      <c r="C1406" s="1" t="s">
        <v>554</v>
      </c>
      <c r="D1406" s="7">
        <v>3279</v>
      </c>
      <c r="E1406" t="s">
        <v>10</v>
      </c>
      <c r="F1406" s="9">
        <v>11</v>
      </c>
    </row>
    <row r="1407" spans="1:6">
      <c r="A1407" t="s">
        <v>6</v>
      </c>
      <c r="B1407" t="s">
        <v>530</v>
      </c>
      <c r="C1407" s="1" t="s">
        <v>555</v>
      </c>
      <c r="D1407" s="7">
        <v>3315</v>
      </c>
      <c r="E1407" t="s">
        <v>10</v>
      </c>
      <c r="F1407" s="9">
        <v>10.3</v>
      </c>
    </row>
    <row r="1408" spans="1:6">
      <c r="A1408" t="s">
        <v>6</v>
      </c>
      <c r="B1408" t="s">
        <v>530</v>
      </c>
      <c r="C1408" s="1" t="s">
        <v>556</v>
      </c>
      <c r="D1408" s="7">
        <v>4099</v>
      </c>
      <c r="E1408" t="s">
        <v>10</v>
      </c>
      <c r="F1408" s="9">
        <v>7.6</v>
      </c>
    </row>
    <row r="1409" spans="1:6">
      <c r="A1409" t="s">
        <v>6</v>
      </c>
      <c r="B1409" t="s">
        <v>530</v>
      </c>
      <c r="C1409" s="1" t="s">
        <v>557</v>
      </c>
      <c r="D1409" s="7">
        <v>3555</v>
      </c>
      <c r="E1409" t="s">
        <v>10</v>
      </c>
      <c r="F1409" s="9">
        <v>8.6</v>
      </c>
    </row>
    <row r="1410" spans="1:6">
      <c r="A1410" t="s">
        <v>6</v>
      </c>
      <c r="B1410" t="s">
        <v>530</v>
      </c>
      <c r="C1410" s="1" t="s">
        <v>558</v>
      </c>
      <c r="D1410" s="7">
        <v>3563</v>
      </c>
      <c r="E1410" t="s">
        <v>10</v>
      </c>
      <c r="F1410" s="9">
        <v>8.8000000000000007</v>
      </c>
    </row>
    <row r="1411" spans="1:6">
      <c r="A1411" t="s">
        <v>6</v>
      </c>
      <c r="B1411" t="s">
        <v>530</v>
      </c>
      <c r="C1411" s="1" t="s">
        <v>559</v>
      </c>
      <c r="D1411" s="7">
        <v>3567</v>
      </c>
      <c r="E1411" t="s">
        <v>10</v>
      </c>
      <c r="F1411" s="9">
        <v>8.6999999999999993</v>
      </c>
    </row>
    <row r="1412" spans="1:6">
      <c r="A1412" t="s">
        <v>6</v>
      </c>
      <c r="B1412" t="s">
        <v>530</v>
      </c>
      <c r="C1412" s="1" t="s">
        <v>560</v>
      </c>
      <c r="D1412" s="7">
        <v>4107</v>
      </c>
      <c r="E1412" t="s">
        <v>10</v>
      </c>
      <c r="F1412" s="9">
        <v>6.2</v>
      </c>
    </row>
    <row r="1413" spans="1:6">
      <c r="A1413" t="s">
        <v>6</v>
      </c>
      <c r="B1413" t="s">
        <v>530</v>
      </c>
      <c r="C1413" s="1" t="s">
        <v>561</v>
      </c>
      <c r="D1413" s="7">
        <v>4111</v>
      </c>
      <c r="E1413" t="s">
        <v>10</v>
      </c>
      <c r="F1413" s="9">
        <v>8</v>
      </c>
    </row>
    <row r="1414" spans="1:6">
      <c r="A1414" t="s">
        <v>6</v>
      </c>
      <c r="B1414" t="s">
        <v>530</v>
      </c>
      <c r="C1414" s="1" t="s">
        <v>562</v>
      </c>
      <c r="D1414" s="7">
        <v>4115</v>
      </c>
      <c r="E1414" t="s">
        <v>10</v>
      </c>
      <c r="F1414" s="9">
        <v>7.8</v>
      </c>
    </row>
    <row r="1415" spans="1:6">
      <c r="A1415" t="s">
        <v>6</v>
      </c>
      <c r="B1415" t="s">
        <v>530</v>
      </c>
      <c r="C1415" s="1" t="s">
        <v>563</v>
      </c>
      <c r="D1415" s="7">
        <v>4119</v>
      </c>
      <c r="E1415" t="s">
        <v>10</v>
      </c>
      <c r="F1415" s="9">
        <v>8</v>
      </c>
    </row>
    <row r="1416" spans="1:6">
      <c r="A1416" t="s">
        <v>6</v>
      </c>
      <c r="B1416" t="s">
        <v>530</v>
      </c>
      <c r="C1416" s="3" t="s">
        <v>531</v>
      </c>
      <c r="D1416" s="7">
        <v>296</v>
      </c>
      <c r="E1416" s="2" t="s">
        <v>11</v>
      </c>
      <c r="F1416" s="10">
        <v>8.1999999999999993</v>
      </c>
    </row>
    <row r="1417" spans="1:6">
      <c r="A1417" t="s">
        <v>6</v>
      </c>
      <c r="B1417" t="s">
        <v>530</v>
      </c>
      <c r="C1417" s="1" t="s">
        <v>532</v>
      </c>
      <c r="D1417" s="7">
        <v>5671</v>
      </c>
      <c r="E1417" t="s">
        <v>11</v>
      </c>
      <c r="F1417" s="9">
        <v>7.69</v>
      </c>
    </row>
    <row r="1418" spans="1:6">
      <c r="A1418" t="s">
        <v>6</v>
      </c>
      <c r="B1418" t="s">
        <v>530</v>
      </c>
      <c r="C1418" s="1" t="s">
        <v>533</v>
      </c>
      <c r="D1418" s="7">
        <v>5675</v>
      </c>
      <c r="E1418" t="s">
        <v>11</v>
      </c>
      <c r="F1418" s="9">
        <v>7.61</v>
      </c>
    </row>
    <row r="1419" spans="1:6">
      <c r="A1419" t="s">
        <v>6</v>
      </c>
      <c r="B1419" t="s">
        <v>530</v>
      </c>
      <c r="C1419" s="1" t="s">
        <v>534</v>
      </c>
      <c r="D1419" s="7">
        <v>5679</v>
      </c>
      <c r="E1419" t="s">
        <v>11</v>
      </c>
      <c r="F1419" s="9">
        <v>8.44</v>
      </c>
    </row>
    <row r="1420" spans="1:6">
      <c r="A1420" t="s">
        <v>6</v>
      </c>
      <c r="B1420" t="s">
        <v>530</v>
      </c>
      <c r="C1420" s="1" t="s">
        <v>535</v>
      </c>
      <c r="D1420" s="7">
        <v>6035</v>
      </c>
      <c r="E1420" t="s">
        <v>11</v>
      </c>
      <c r="F1420" s="9">
        <v>8.5</v>
      </c>
    </row>
    <row r="1421" spans="1:6">
      <c r="A1421" t="s">
        <v>6</v>
      </c>
      <c r="B1421" t="s">
        <v>530</v>
      </c>
      <c r="C1421" s="1" t="s">
        <v>536</v>
      </c>
      <c r="D1421" s="7">
        <v>6120</v>
      </c>
      <c r="E1421" t="s">
        <v>11</v>
      </c>
      <c r="F1421" s="9">
        <v>8.68</v>
      </c>
    </row>
    <row r="1422" spans="1:6">
      <c r="A1422" t="s">
        <v>6</v>
      </c>
      <c r="B1422" t="s">
        <v>530</v>
      </c>
      <c r="C1422" s="1" t="s">
        <v>537</v>
      </c>
      <c r="D1422" s="7">
        <v>6125</v>
      </c>
      <c r="E1422" t="s">
        <v>11</v>
      </c>
      <c r="F1422" s="9">
        <v>8.76</v>
      </c>
    </row>
    <row r="1423" spans="1:6">
      <c r="A1423" t="s">
        <v>6</v>
      </c>
      <c r="B1423" t="s">
        <v>530</v>
      </c>
      <c r="C1423" s="1" t="s">
        <v>538</v>
      </c>
      <c r="D1423" s="7">
        <v>5965</v>
      </c>
      <c r="E1423" t="s">
        <v>11</v>
      </c>
      <c r="F1423" s="9">
        <v>8.4</v>
      </c>
    </row>
    <row r="1424" spans="1:6">
      <c r="A1424" t="s">
        <v>6</v>
      </c>
      <c r="B1424" t="s">
        <v>530</v>
      </c>
      <c r="C1424" s="1" t="s">
        <v>539</v>
      </c>
      <c r="D1424" s="7">
        <v>5655</v>
      </c>
      <c r="E1424" t="s">
        <v>11</v>
      </c>
      <c r="F1424" s="9">
        <v>8.1300000000000008</v>
      </c>
    </row>
    <row r="1425" spans="1:6">
      <c r="A1425" t="s">
        <v>6</v>
      </c>
      <c r="B1425" t="s">
        <v>530</v>
      </c>
      <c r="C1425" s="1" t="s">
        <v>540</v>
      </c>
      <c r="D1425" s="7">
        <v>6070</v>
      </c>
      <c r="E1425" t="s">
        <v>11</v>
      </c>
      <c r="F1425" s="9">
        <v>8.67</v>
      </c>
    </row>
    <row r="1426" spans="1:6">
      <c r="A1426" t="s">
        <v>6</v>
      </c>
      <c r="B1426" t="s">
        <v>530</v>
      </c>
      <c r="C1426" s="1" t="s">
        <v>541</v>
      </c>
      <c r="D1426" s="7">
        <v>5803</v>
      </c>
      <c r="E1426" t="s">
        <v>11</v>
      </c>
      <c r="F1426" s="9">
        <v>8.5399999999999991</v>
      </c>
    </row>
    <row r="1427" spans="1:6">
      <c r="A1427" t="s">
        <v>6</v>
      </c>
      <c r="B1427" t="s">
        <v>530</v>
      </c>
      <c r="C1427" s="1" t="s">
        <v>542</v>
      </c>
      <c r="D1427" s="7">
        <v>5807</v>
      </c>
      <c r="E1427" t="s">
        <v>11</v>
      </c>
      <c r="F1427" s="9">
        <v>8.68</v>
      </c>
    </row>
    <row r="1428" spans="1:6">
      <c r="A1428" t="s">
        <v>6</v>
      </c>
      <c r="B1428" t="s">
        <v>530</v>
      </c>
      <c r="C1428" s="1" t="s">
        <v>543</v>
      </c>
      <c r="D1428" s="7">
        <v>3073</v>
      </c>
      <c r="E1428" t="s">
        <v>11</v>
      </c>
      <c r="F1428" s="9">
        <v>7.6</v>
      </c>
    </row>
    <row r="1429" spans="1:6">
      <c r="A1429" t="s">
        <v>6</v>
      </c>
      <c r="B1429" t="s">
        <v>530</v>
      </c>
      <c r="C1429" s="1" t="s">
        <v>544</v>
      </c>
      <c r="D1429" s="7">
        <v>3077</v>
      </c>
      <c r="E1429" t="s">
        <v>11</v>
      </c>
      <c r="F1429" s="9">
        <v>7.8</v>
      </c>
    </row>
    <row r="1430" spans="1:6">
      <c r="A1430" t="s">
        <v>6</v>
      </c>
      <c r="B1430" t="s">
        <v>530</v>
      </c>
      <c r="C1430" s="1" t="s">
        <v>545</v>
      </c>
      <c r="D1430" s="7">
        <v>3081</v>
      </c>
      <c r="E1430" t="s">
        <v>11</v>
      </c>
      <c r="F1430" s="9">
        <v>8.1999999999999993</v>
      </c>
    </row>
    <row r="1431" spans="1:6">
      <c r="A1431" t="s">
        <v>6</v>
      </c>
      <c r="B1431" t="s">
        <v>530</v>
      </c>
      <c r="C1431" s="1" t="s">
        <v>546</v>
      </c>
      <c r="D1431" s="7">
        <v>3177</v>
      </c>
      <c r="E1431" t="s">
        <v>11</v>
      </c>
      <c r="F1431" s="9">
        <v>8.1999999999999993</v>
      </c>
    </row>
    <row r="1432" spans="1:6">
      <c r="A1432" t="s">
        <v>6</v>
      </c>
      <c r="B1432" t="s">
        <v>530</v>
      </c>
      <c r="C1432" s="1" t="s">
        <v>547</v>
      </c>
      <c r="D1432" s="7">
        <v>3181</v>
      </c>
      <c r="E1432" t="s">
        <v>11</v>
      </c>
      <c r="F1432" s="9">
        <v>7</v>
      </c>
    </row>
    <row r="1433" spans="1:6">
      <c r="A1433" t="s">
        <v>6</v>
      </c>
      <c r="B1433" t="s">
        <v>530</v>
      </c>
      <c r="C1433" s="1" t="s">
        <v>548</v>
      </c>
      <c r="D1433" s="7">
        <v>3185</v>
      </c>
      <c r="E1433" t="s">
        <v>11</v>
      </c>
      <c r="F1433" s="9">
        <v>7.5</v>
      </c>
    </row>
    <row r="1434" spans="1:6">
      <c r="A1434" t="s">
        <v>6</v>
      </c>
      <c r="B1434" t="s">
        <v>530</v>
      </c>
      <c r="C1434" s="1" t="s">
        <v>549</v>
      </c>
      <c r="D1434" s="7">
        <v>4081</v>
      </c>
      <c r="E1434" t="s">
        <v>11</v>
      </c>
      <c r="F1434" s="9">
        <v>8.1</v>
      </c>
    </row>
    <row r="1435" spans="1:6">
      <c r="A1435" t="s">
        <v>6</v>
      </c>
      <c r="B1435" t="s">
        <v>530</v>
      </c>
      <c r="C1435" s="1" t="s">
        <v>550</v>
      </c>
      <c r="D1435" s="7">
        <v>4085</v>
      </c>
      <c r="E1435" t="s">
        <v>11</v>
      </c>
      <c r="F1435" s="9">
        <v>6.8</v>
      </c>
    </row>
    <row r="1436" spans="1:6">
      <c r="A1436" t="s">
        <v>6</v>
      </c>
      <c r="B1436" t="s">
        <v>530</v>
      </c>
      <c r="C1436" s="1" t="s">
        <v>551</v>
      </c>
      <c r="D1436" s="7">
        <v>4089</v>
      </c>
      <c r="E1436" t="s">
        <v>11</v>
      </c>
      <c r="F1436" s="9">
        <v>8</v>
      </c>
    </row>
    <row r="1437" spans="1:6">
      <c r="A1437" t="s">
        <v>6</v>
      </c>
      <c r="B1437" t="s">
        <v>530</v>
      </c>
      <c r="C1437" s="1" t="s">
        <v>552</v>
      </c>
      <c r="D1437" s="7">
        <v>4341</v>
      </c>
      <c r="E1437" t="s">
        <v>11</v>
      </c>
      <c r="F1437" s="9">
        <v>8</v>
      </c>
    </row>
    <row r="1438" spans="1:6">
      <c r="A1438" t="s">
        <v>6</v>
      </c>
      <c r="B1438" t="s">
        <v>530</v>
      </c>
      <c r="C1438" s="1" t="s">
        <v>553</v>
      </c>
      <c r="D1438" s="7">
        <v>4093</v>
      </c>
      <c r="E1438" t="s">
        <v>11</v>
      </c>
      <c r="F1438" s="9">
        <v>7.8</v>
      </c>
    </row>
    <row r="1439" spans="1:6">
      <c r="A1439" t="s">
        <v>6</v>
      </c>
      <c r="B1439" t="s">
        <v>530</v>
      </c>
      <c r="C1439" s="1" t="s">
        <v>554</v>
      </c>
      <c r="D1439" s="7">
        <v>3277</v>
      </c>
      <c r="E1439" t="s">
        <v>11</v>
      </c>
      <c r="F1439" s="9">
        <v>8.1</v>
      </c>
    </row>
    <row r="1440" spans="1:6">
      <c r="A1440" t="s">
        <v>6</v>
      </c>
      <c r="B1440" t="s">
        <v>530</v>
      </c>
      <c r="C1440" s="1" t="s">
        <v>555</v>
      </c>
      <c r="D1440" s="7">
        <v>3313</v>
      </c>
      <c r="E1440" t="s">
        <v>11</v>
      </c>
      <c r="F1440" s="9">
        <v>9</v>
      </c>
    </row>
    <row r="1441" spans="1:6">
      <c r="A1441" t="s">
        <v>6</v>
      </c>
      <c r="B1441" t="s">
        <v>530</v>
      </c>
      <c r="C1441" s="1" t="s">
        <v>556</v>
      </c>
      <c r="D1441" s="7">
        <v>4097</v>
      </c>
      <c r="E1441" t="s">
        <v>11</v>
      </c>
      <c r="F1441" s="9">
        <v>7.3</v>
      </c>
    </row>
    <row r="1442" spans="1:6">
      <c r="A1442" t="s">
        <v>6</v>
      </c>
      <c r="B1442" t="s">
        <v>530</v>
      </c>
      <c r="C1442" s="1" t="s">
        <v>557</v>
      </c>
      <c r="D1442" s="7">
        <v>3553</v>
      </c>
      <c r="E1442" t="s">
        <v>11</v>
      </c>
      <c r="F1442" s="9">
        <v>7.3</v>
      </c>
    </row>
    <row r="1443" spans="1:6">
      <c r="A1443" t="s">
        <v>6</v>
      </c>
      <c r="B1443" t="s">
        <v>530</v>
      </c>
      <c r="C1443" s="1" t="s">
        <v>558</v>
      </c>
      <c r="D1443" s="7">
        <v>3561</v>
      </c>
      <c r="E1443" t="s">
        <v>11</v>
      </c>
      <c r="F1443" s="9">
        <v>7.5</v>
      </c>
    </row>
    <row r="1444" spans="1:6">
      <c r="A1444" t="s">
        <v>6</v>
      </c>
      <c r="B1444" t="s">
        <v>530</v>
      </c>
      <c r="C1444" s="1" t="s">
        <v>559</v>
      </c>
      <c r="D1444" s="7">
        <v>3565</v>
      </c>
      <c r="E1444" t="s">
        <v>11</v>
      </c>
      <c r="F1444" s="9">
        <v>7.4</v>
      </c>
    </row>
    <row r="1445" spans="1:6">
      <c r="A1445" t="s">
        <v>6</v>
      </c>
      <c r="B1445" t="s">
        <v>530</v>
      </c>
      <c r="C1445" s="1" t="s">
        <v>560</v>
      </c>
      <c r="D1445" s="7">
        <v>4105</v>
      </c>
      <c r="E1445" t="s">
        <v>11</v>
      </c>
      <c r="F1445" s="9">
        <v>7.6</v>
      </c>
    </row>
    <row r="1446" spans="1:6">
      <c r="A1446" t="s">
        <v>6</v>
      </c>
      <c r="B1446" t="s">
        <v>530</v>
      </c>
      <c r="C1446" s="1" t="s">
        <v>561</v>
      </c>
      <c r="D1446" s="7">
        <v>4109</v>
      </c>
      <c r="E1446" t="s">
        <v>11</v>
      </c>
      <c r="F1446" s="9">
        <v>7.9</v>
      </c>
    </row>
    <row r="1447" spans="1:6">
      <c r="A1447" t="s">
        <v>6</v>
      </c>
      <c r="B1447" t="s">
        <v>530</v>
      </c>
      <c r="C1447" s="1" t="s">
        <v>562</v>
      </c>
      <c r="D1447" s="7">
        <v>4113</v>
      </c>
      <c r="E1447" t="s">
        <v>11</v>
      </c>
      <c r="F1447" s="9">
        <v>8</v>
      </c>
    </row>
    <row r="1448" spans="1:6">
      <c r="A1448" t="s">
        <v>6</v>
      </c>
      <c r="B1448" t="s">
        <v>530</v>
      </c>
      <c r="C1448" s="1" t="s">
        <v>563</v>
      </c>
      <c r="D1448" s="7">
        <v>4117</v>
      </c>
      <c r="E1448" t="s">
        <v>11</v>
      </c>
      <c r="F1448" s="9">
        <v>8.3000000000000007</v>
      </c>
    </row>
    <row r="1449" spans="1:6">
      <c r="A1449" t="s">
        <v>6</v>
      </c>
      <c r="B1449" t="s">
        <v>530</v>
      </c>
      <c r="C1449" s="1" t="s">
        <v>532</v>
      </c>
      <c r="D1449" s="7">
        <v>5672</v>
      </c>
      <c r="E1449" t="s">
        <v>12</v>
      </c>
      <c r="F1449" s="9">
        <v>2.4500000000000002</v>
      </c>
    </row>
    <row r="1450" spans="1:6">
      <c r="A1450" t="s">
        <v>6</v>
      </c>
      <c r="B1450" t="s">
        <v>530</v>
      </c>
      <c r="C1450" s="1" t="s">
        <v>533</v>
      </c>
      <c r="D1450" s="7">
        <v>5676</v>
      </c>
      <c r="E1450" t="s">
        <v>12</v>
      </c>
      <c r="F1450" s="9">
        <v>2.57</v>
      </c>
    </row>
    <row r="1451" spans="1:6">
      <c r="A1451" t="s">
        <v>6</v>
      </c>
      <c r="B1451" t="s">
        <v>530</v>
      </c>
      <c r="C1451" s="1" t="s">
        <v>534</v>
      </c>
      <c r="D1451" s="7">
        <v>5680</v>
      </c>
      <c r="E1451" t="s">
        <v>12</v>
      </c>
      <c r="F1451" s="9">
        <v>2.4900000000000002</v>
      </c>
    </row>
    <row r="1452" spans="1:6">
      <c r="A1452" t="s">
        <v>6</v>
      </c>
      <c r="B1452" t="s">
        <v>530</v>
      </c>
      <c r="C1452" s="1" t="s">
        <v>564</v>
      </c>
      <c r="D1452" s="7">
        <v>5635</v>
      </c>
      <c r="E1452" t="s">
        <v>12</v>
      </c>
      <c r="F1452" s="9">
        <v>2.66</v>
      </c>
    </row>
    <row r="1453" spans="1:6">
      <c r="A1453" t="s">
        <v>6</v>
      </c>
      <c r="B1453" t="s">
        <v>530</v>
      </c>
      <c r="C1453" s="1" t="s">
        <v>535</v>
      </c>
      <c r="D1453" s="7">
        <v>6036</v>
      </c>
      <c r="E1453" t="s">
        <v>12</v>
      </c>
      <c r="F1453" s="9">
        <v>2.4300000000000002</v>
      </c>
    </row>
    <row r="1454" spans="1:6">
      <c r="A1454" t="s">
        <v>6</v>
      </c>
      <c r="B1454" t="s">
        <v>530</v>
      </c>
      <c r="C1454" s="1" t="s">
        <v>536</v>
      </c>
      <c r="D1454" s="7">
        <v>6121</v>
      </c>
      <c r="E1454" t="s">
        <v>12</v>
      </c>
      <c r="F1454" s="9">
        <v>2.4500000000000002</v>
      </c>
    </row>
    <row r="1455" spans="1:6">
      <c r="A1455" t="s">
        <v>6</v>
      </c>
      <c r="B1455" t="s">
        <v>530</v>
      </c>
      <c r="C1455" s="1" t="s">
        <v>537</v>
      </c>
      <c r="D1455" s="7">
        <v>6126</v>
      </c>
      <c r="E1455" t="s">
        <v>12</v>
      </c>
      <c r="F1455" s="9">
        <v>2.2799999999999998</v>
      </c>
    </row>
    <row r="1456" spans="1:6">
      <c r="A1456" t="s">
        <v>6</v>
      </c>
      <c r="B1456" t="s">
        <v>530</v>
      </c>
      <c r="C1456" s="1" t="s">
        <v>538</v>
      </c>
      <c r="D1456" s="7">
        <v>5966</v>
      </c>
      <c r="E1456" t="s">
        <v>12</v>
      </c>
      <c r="F1456" s="9">
        <v>2.59</v>
      </c>
    </row>
    <row r="1457" spans="1:6">
      <c r="A1457" t="s">
        <v>6</v>
      </c>
      <c r="B1457" t="s">
        <v>530</v>
      </c>
      <c r="C1457" s="1" t="s">
        <v>539</v>
      </c>
      <c r="D1457" s="7">
        <v>5656</v>
      </c>
      <c r="E1457" t="s">
        <v>12</v>
      </c>
      <c r="F1457" s="9">
        <v>2.39</v>
      </c>
    </row>
    <row r="1458" spans="1:6">
      <c r="A1458" t="s">
        <v>6</v>
      </c>
      <c r="B1458" t="s">
        <v>530</v>
      </c>
      <c r="C1458" s="1" t="s">
        <v>540</v>
      </c>
      <c r="D1458" s="7">
        <v>6071</v>
      </c>
      <c r="E1458" t="s">
        <v>12</v>
      </c>
      <c r="F1458" s="9">
        <v>2.7</v>
      </c>
    </row>
    <row r="1459" spans="1:6">
      <c r="A1459" t="s">
        <v>6</v>
      </c>
      <c r="B1459" t="s">
        <v>530</v>
      </c>
      <c r="C1459" s="1" t="s">
        <v>541</v>
      </c>
      <c r="D1459" s="7">
        <v>5804</v>
      </c>
      <c r="E1459" t="s">
        <v>12</v>
      </c>
      <c r="F1459" s="9">
        <v>2.36</v>
      </c>
    </row>
    <row r="1460" spans="1:6">
      <c r="A1460" t="s">
        <v>6</v>
      </c>
      <c r="B1460" t="s">
        <v>530</v>
      </c>
      <c r="C1460" s="1" t="s">
        <v>542</v>
      </c>
      <c r="D1460" s="7">
        <v>5808</v>
      </c>
      <c r="E1460" t="s">
        <v>12</v>
      </c>
      <c r="F1460" s="9">
        <v>2.37</v>
      </c>
    </row>
    <row r="1461" spans="1:6">
      <c r="A1461" t="s">
        <v>6</v>
      </c>
      <c r="B1461" t="s">
        <v>565</v>
      </c>
      <c r="C1461" s="3" t="s">
        <v>566</v>
      </c>
      <c r="D1461" s="7">
        <v>321</v>
      </c>
      <c r="E1461" s="2" t="s">
        <v>9</v>
      </c>
      <c r="F1461" s="10">
        <v>4</v>
      </c>
    </row>
    <row r="1462" spans="1:6">
      <c r="A1462" t="s">
        <v>6</v>
      </c>
      <c r="B1462" s="6" t="s">
        <v>565</v>
      </c>
      <c r="C1462" s="3" t="s">
        <v>567</v>
      </c>
      <c r="D1462" s="7">
        <v>257</v>
      </c>
      <c r="E1462" s="2" t="s">
        <v>9</v>
      </c>
      <c r="F1462" s="10">
        <v>4.0999999999999996</v>
      </c>
    </row>
    <row r="1463" spans="1:6">
      <c r="A1463" t="s">
        <v>6</v>
      </c>
      <c r="B1463" s="6" t="s">
        <v>565</v>
      </c>
      <c r="C1463" s="3" t="s">
        <v>568</v>
      </c>
      <c r="D1463" s="7">
        <v>261</v>
      </c>
      <c r="E1463" s="2" t="s">
        <v>9</v>
      </c>
      <c r="F1463" s="10">
        <v>3.9</v>
      </c>
    </row>
    <row r="1464" spans="1:6">
      <c r="A1464" t="s">
        <v>6</v>
      </c>
      <c r="B1464" s="6" t="s">
        <v>565</v>
      </c>
      <c r="C1464" s="3" t="s">
        <v>569</v>
      </c>
      <c r="D1464" s="7">
        <v>265</v>
      </c>
      <c r="E1464" s="2" t="s">
        <v>9</v>
      </c>
      <c r="F1464" s="10">
        <v>4.0999999999999996</v>
      </c>
    </row>
    <row r="1465" spans="1:6">
      <c r="A1465" t="s">
        <v>6</v>
      </c>
      <c r="B1465" s="6" t="s">
        <v>565</v>
      </c>
      <c r="C1465" s="3" t="s">
        <v>570</v>
      </c>
      <c r="D1465" s="7">
        <v>269</v>
      </c>
      <c r="E1465" s="2" t="s">
        <v>9</v>
      </c>
      <c r="F1465" s="10">
        <v>4</v>
      </c>
    </row>
    <row r="1466" spans="1:6">
      <c r="A1466" t="s">
        <v>6</v>
      </c>
      <c r="B1466" s="6" t="s">
        <v>565</v>
      </c>
      <c r="C1466" s="3" t="s">
        <v>571</v>
      </c>
      <c r="D1466" s="7">
        <v>329</v>
      </c>
      <c r="E1466" s="2" t="s">
        <v>9</v>
      </c>
      <c r="F1466" s="10">
        <v>3.8</v>
      </c>
    </row>
    <row r="1467" spans="1:6">
      <c r="A1467" t="s">
        <v>6</v>
      </c>
      <c r="B1467" s="6" t="s">
        <v>565</v>
      </c>
      <c r="C1467" s="3" t="s">
        <v>572</v>
      </c>
      <c r="D1467" s="7">
        <v>333</v>
      </c>
      <c r="E1467" s="2" t="s">
        <v>9</v>
      </c>
      <c r="F1467" s="10">
        <v>3.9</v>
      </c>
    </row>
    <row r="1468" spans="1:6">
      <c r="A1468" t="s">
        <v>6</v>
      </c>
      <c r="B1468" t="s">
        <v>565</v>
      </c>
      <c r="C1468" s="1" t="s">
        <v>573</v>
      </c>
      <c r="D1468" s="7">
        <v>2910</v>
      </c>
      <c r="E1468" t="s">
        <v>9</v>
      </c>
      <c r="F1468" s="9">
        <v>3.8</v>
      </c>
    </row>
    <row r="1469" spans="1:6">
      <c r="A1469" t="s">
        <v>6</v>
      </c>
      <c r="B1469" t="s">
        <v>565</v>
      </c>
      <c r="C1469" s="1" t="s">
        <v>574</v>
      </c>
      <c r="D1469" s="7">
        <v>2914</v>
      </c>
      <c r="E1469" t="s">
        <v>9</v>
      </c>
      <c r="F1469" s="9">
        <v>3.7</v>
      </c>
    </row>
    <row r="1470" spans="1:6">
      <c r="A1470" t="s">
        <v>6</v>
      </c>
      <c r="B1470" t="s">
        <v>565</v>
      </c>
      <c r="C1470" s="1" t="s">
        <v>575</v>
      </c>
      <c r="D1470" s="7">
        <v>2918</v>
      </c>
      <c r="E1470" t="s">
        <v>9</v>
      </c>
      <c r="F1470" s="9">
        <v>3.8</v>
      </c>
    </row>
    <row r="1471" spans="1:6">
      <c r="A1471" t="s">
        <v>6</v>
      </c>
      <c r="B1471" t="s">
        <v>565</v>
      </c>
      <c r="C1471" s="1" t="s">
        <v>576</v>
      </c>
      <c r="D1471" s="7">
        <v>3034</v>
      </c>
      <c r="E1471" t="s">
        <v>9</v>
      </c>
      <c r="F1471" s="9">
        <v>3.5</v>
      </c>
    </row>
    <row r="1472" spans="1:6">
      <c r="A1472" t="s">
        <v>6</v>
      </c>
      <c r="B1472" t="s">
        <v>565</v>
      </c>
      <c r="C1472" s="1" t="s">
        <v>577</v>
      </c>
      <c r="D1472" s="7">
        <v>3410</v>
      </c>
      <c r="E1472" t="s">
        <v>9</v>
      </c>
      <c r="F1472" s="9">
        <v>3.8</v>
      </c>
    </row>
    <row r="1473" spans="1:6">
      <c r="A1473" t="s">
        <v>6</v>
      </c>
      <c r="B1473" t="s">
        <v>565</v>
      </c>
      <c r="C1473" s="1" t="s">
        <v>578</v>
      </c>
      <c r="D1473" s="7">
        <v>3614</v>
      </c>
      <c r="E1473" t="s">
        <v>9</v>
      </c>
      <c r="F1473" s="9">
        <v>3.3</v>
      </c>
    </row>
    <row r="1474" spans="1:6">
      <c r="A1474" t="s">
        <v>6</v>
      </c>
      <c r="B1474" t="s">
        <v>565</v>
      </c>
      <c r="C1474" s="1" t="s">
        <v>579</v>
      </c>
      <c r="D1474" s="7">
        <v>3770</v>
      </c>
      <c r="E1474" t="s">
        <v>9</v>
      </c>
      <c r="F1474" s="9">
        <v>3.9</v>
      </c>
    </row>
    <row r="1475" spans="1:6">
      <c r="A1475" t="s">
        <v>6</v>
      </c>
      <c r="B1475" t="s">
        <v>565</v>
      </c>
      <c r="C1475" s="1" t="s">
        <v>580</v>
      </c>
      <c r="D1475" s="7">
        <v>3778</v>
      </c>
      <c r="E1475" t="s">
        <v>9</v>
      </c>
      <c r="F1475" s="9">
        <v>3.9</v>
      </c>
    </row>
    <row r="1476" spans="1:6">
      <c r="A1476" t="s">
        <v>6</v>
      </c>
      <c r="B1476" t="s">
        <v>565</v>
      </c>
      <c r="C1476" s="1" t="s">
        <v>581</v>
      </c>
      <c r="D1476" s="7">
        <v>3782</v>
      </c>
      <c r="E1476" t="s">
        <v>9</v>
      </c>
      <c r="F1476" s="9">
        <v>3.7</v>
      </c>
    </row>
    <row r="1477" spans="1:6">
      <c r="A1477" t="s">
        <v>6</v>
      </c>
      <c r="B1477" t="s">
        <v>565</v>
      </c>
      <c r="C1477" s="1" t="s">
        <v>582</v>
      </c>
      <c r="D1477" s="7">
        <v>3786</v>
      </c>
      <c r="E1477" t="s">
        <v>9</v>
      </c>
      <c r="F1477" s="9">
        <v>3.8</v>
      </c>
    </row>
    <row r="1478" spans="1:6">
      <c r="A1478" t="s">
        <v>6</v>
      </c>
      <c r="B1478" t="s">
        <v>565</v>
      </c>
      <c r="C1478" s="1" t="s">
        <v>583</v>
      </c>
      <c r="D1478" s="7">
        <v>3830</v>
      </c>
      <c r="E1478" t="s">
        <v>9</v>
      </c>
      <c r="F1478" s="9">
        <v>3.8</v>
      </c>
    </row>
    <row r="1479" spans="1:6">
      <c r="A1479" t="s">
        <v>6</v>
      </c>
      <c r="B1479" t="s">
        <v>565</v>
      </c>
      <c r="C1479" s="1" t="s">
        <v>584</v>
      </c>
      <c r="D1479" s="7">
        <v>3894</v>
      </c>
      <c r="E1479" t="s">
        <v>9</v>
      </c>
      <c r="F1479" s="9">
        <v>3.2</v>
      </c>
    </row>
    <row r="1480" spans="1:6">
      <c r="A1480" t="s">
        <v>6</v>
      </c>
      <c r="B1480" t="s">
        <v>565</v>
      </c>
      <c r="C1480" s="1" t="s">
        <v>585</v>
      </c>
      <c r="D1480" s="7">
        <v>3926</v>
      </c>
      <c r="E1480" t="s">
        <v>9</v>
      </c>
      <c r="F1480" s="9">
        <v>3.8</v>
      </c>
    </row>
    <row r="1481" spans="1:6">
      <c r="A1481" t="s">
        <v>6</v>
      </c>
      <c r="B1481" t="s">
        <v>565</v>
      </c>
      <c r="C1481" s="3" t="s">
        <v>566</v>
      </c>
      <c r="D1481" s="7">
        <v>319</v>
      </c>
      <c r="E1481" s="2" t="s">
        <v>10</v>
      </c>
      <c r="F1481" s="10">
        <v>23.6</v>
      </c>
    </row>
    <row r="1482" spans="1:6">
      <c r="A1482" t="s">
        <v>6</v>
      </c>
      <c r="B1482" s="6" t="s">
        <v>565</v>
      </c>
      <c r="C1482" s="3" t="s">
        <v>567</v>
      </c>
      <c r="D1482" s="7">
        <v>255</v>
      </c>
      <c r="E1482" s="2" t="s">
        <v>10</v>
      </c>
      <c r="F1482" s="10">
        <v>22.4</v>
      </c>
    </row>
    <row r="1483" spans="1:6">
      <c r="A1483" t="s">
        <v>6</v>
      </c>
      <c r="B1483" s="6" t="s">
        <v>565</v>
      </c>
      <c r="C1483" s="3" t="s">
        <v>568</v>
      </c>
      <c r="D1483" s="7">
        <v>259</v>
      </c>
      <c r="E1483" s="2" t="s">
        <v>10</v>
      </c>
      <c r="F1483" s="10">
        <v>21.9</v>
      </c>
    </row>
    <row r="1484" spans="1:6">
      <c r="A1484" t="s">
        <v>6</v>
      </c>
      <c r="B1484" s="6" t="s">
        <v>565</v>
      </c>
      <c r="C1484" s="3" t="s">
        <v>569</v>
      </c>
      <c r="D1484" s="7">
        <v>263</v>
      </c>
      <c r="E1484" s="2" t="s">
        <v>10</v>
      </c>
      <c r="F1484" s="10">
        <v>22.8</v>
      </c>
    </row>
    <row r="1485" spans="1:6">
      <c r="A1485" t="s">
        <v>6</v>
      </c>
      <c r="B1485" s="6" t="s">
        <v>565</v>
      </c>
      <c r="C1485" s="3" t="s">
        <v>570</v>
      </c>
      <c r="D1485" s="7">
        <v>267</v>
      </c>
      <c r="E1485" s="2" t="s">
        <v>10</v>
      </c>
      <c r="F1485" s="10">
        <v>23</v>
      </c>
    </row>
    <row r="1486" spans="1:6">
      <c r="A1486" t="s">
        <v>6</v>
      </c>
      <c r="B1486" s="6" t="s">
        <v>565</v>
      </c>
      <c r="C1486" s="3" t="s">
        <v>571</v>
      </c>
      <c r="D1486" s="7">
        <v>327</v>
      </c>
      <c r="E1486" s="2" t="s">
        <v>10</v>
      </c>
      <c r="F1486" s="10">
        <v>23.2</v>
      </c>
    </row>
    <row r="1487" spans="1:6">
      <c r="A1487" t="s">
        <v>6</v>
      </c>
      <c r="B1487" s="6" t="s">
        <v>565</v>
      </c>
      <c r="C1487" s="3" t="s">
        <v>572</v>
      </c>
      <c r="D1487" s="7">
        <v>331</v>
      </c>
      <c r="E1487" s="2" t="s">
        <v>10</v>
      </c>
      <c r="F1487" s="10">
        <v>24.3</v>
      </c>
    </row>
    <row r="1488" spans="1:6">
      <c r="A1488" t="s">
        <v>6</v>
      </c>
      <c r="B1488" t="s">
        <v>565</v>
      </c>
      <c r="C1488" s="1" t="s">
        <v>573</v>
      </c>
      <c r="D1488" s="7">
        <v>2911</v>
      </c>
      <c r="E1488" t="s">
        <v>10</v>
      </c>
      <c r="F1488" s="9">
        <v>25.6</v>
      </c>
    </row>
    <row r="1489" spans="1:6">
      <c r="A1489" t="s">
        <v>6</v>
      </c>
      <c r="B1489" t="s">
        <v>565</v>
      </c>
      <c r="C1489" s="1" t="s">
        <v>574</v>
      </c>
      <c r="D1489" s="7">
        <v>2915</v>
      </c>
      <c r="E1489" t="s">
        <v>10</v>
      </c>
      <c r="F1489" s="9">
        <v>21.9</v>
      </c>
    </row>
    <row r="1490" spans="1:6">
      <c r="A1490" t="s">
        <v>6</v>
      </c>
      <c r="B1490" t="s">
        <v>565</v>
      </c>
      <c r="C1490" s="1" t="s">
        <v>575</v>
      </c>
      <c r="D1490" s="7">
        <v>2919</v>
      </c>
      <c r="E1490" t="s">
        <v>10</v>
      </c>
      <c r="F1490" s="9">
        <v>23.5</v>
      </c>
    </row>
    <row r="1491" spans="1:6">
      <c r="A1491" t="s">
        <v>6</v>
      </c>
      <c r="B1491" t="s">
        <v>565</v>
      </c>
      <c r="C1491" s="1" t="s">
        <v>576</v>
      </c>
      <c r="D1491" s="7">
        <v>3035</v>
      </c>
      <c r="E1491" t="s">
        <v>10</v>
      </c>
      <c r="F1491" s="9">
        <v>22.1</v>
      </c>
    </row>
    <row r="1492" spans="1:6">
      <c r="A1492" t="s">
        <v>6</v>
      </c>
      <c r="B1492" t="s">
        <v>565</v>
      </c>
      <c r="C1492" s="1" t="s">
        <v>577</v>
      </c>
      <c r="D1492" s="7">
        <v>3411</v>
      </c>
      <c r="E1492" t="s">
        <v>10</v>
      </c>
      <c r="F1492" s="9">
        <v>21.7</v>
      </c>
    </row>
    <row r="1493" spans="1:6">
      <c r="A1493" t="s">
        <v>6</v>
      </c>
      <c r="B1493" t="s">
        <v>565</v>
      </c>
      <c r="C1493" s="1" t="s">
        <v>578</v>
      </c>
      <c r="D1493" s="7">
        <v>3615</v>
      </c>
      <c r="E1493" t="s">
        <v>10</v>
      </c>
      <c r="F1493" s="9">
        <v>19.399999999999999</v>
      </c>
    </row>
    <row r="1494" spans="1:6">
      <c r="A1494" t="s">
        <v>6</v>
      </c>
      <c r="B1494" t="s">
        <v>565</v>
      </c>
      <c r="C1494" s="1" t="s">
        <v>579</v>
      </c>
      <c r="D1494" s="7">
        <v>3771</v>
      </c>
      <c r="E1494" t="s">
        <v>10</v>
      </c>
      <c r="F1494" s="9">
        <v>23</v>
      </c>
    </row>
    <row r="1495" spans="1:6">
      <c r="A1495" t="s">
        <v>6</v>
      </c>
      <c r="B1495" t="s">
        <v>565</v>
      </c>
      <c r="C1495" s="1" t="s">
        <v>580</v>
      </c>
      <c r="D1495" s="7">
        <v>3779</v>
      </c>
      <c r="E1495" t="s">
        <v>10</v>
      </c>
      <c r="F1495" s="9">
        <v>22.9</v>
      </c>
    </row>
    <row r="1496" spans="1:6">
      <c r="A1496" t="s">
        <v>6</v>
      </c>
      <c r="B1496" t="s">
        <v>565</v>
      </c>
      <c r="C1496" s="1" t="s">
        <v>581</v>
      </c>
      <c r="D1496" s="7">
        <v>3783</v>
      </c>
      <c r="E1496" t="s">
        <v>10</v>
      </c>
      <c r="F1496" s="9">
        <v>22.2</v>
      </c>
    </row>
    <row r="1497" spans="1:6">
      <c r="A1497" t="s">
        <v>6</v>
      </c>
      <c r="B1497" t="s">
        <v>565</v>
      </c>
      <c r="C1497" s="1" t="s">
        <v>582</v>
      </c>
      <c r="D1497" s="7">
        <v>3787</v>
      </c>
      <c r="E1497" t="s">
        <v>10</v>
      </c>
      <c r="F1497" s="9">
        <v>23.8</v>
      </c>
    </row>
    <row r="1498" spans="1:6">
      <c r="A1498" t="s">
        <v>6</v>
      </c>
      <c r="B1498" t="s">
        <v>565</v>
      </c>
      <c r="C1498" s="1" t="s">
        <v>583</v>
      </c>
      <c r="D1498" s="7">
        <v>3831</v>
      </c>
      <c r="E1498" t="s">
        <v>10</v>
      </c>
      <c r="F1498" s="9">
        <v>23</v>
      </c>
    </row>
    <row r="1499" spans="1:6">
      <c r="A1499" t="s">
        <v>6</v>
      </c>
      <c r="B1499" t="s">
        <v>565</v>
      </c>
      <c r="C1499" s="1" t="s">
        <v>584</v>
      </c>
      <c r="D1499" s="7">
        <v>3895</v>
      </c>
      <c r="E1499" t="s">
        <v>10</v>
      </c>
      <c r="F1499" s="9">
        <v>19.8</v>
      </c>
    </row>
    <row r="1500" spans="1:6">
      <c r="A1500" t="s">
        <v>6</v>
      </c>
      <c r="B1500" t="s">
        <v>565</v>
      </c>
      <c r="C1500" s="1" t="s">
        <v>585</v>
      </c>
      <c r="D1500" s="7">
        <v>3927</v>
      </c>
      <c r="E1500" t="s">
        <v>10</v>
      </c>
      <c r="F1500" s="9">
        <v>22.8</v>
      </c>
    </row>
    <row r="1501" spans="1:6">
      <c r="A1501" t="s">
        <v>6</v>
      </c>
      <c r="B1501" t="s">
        <v>565</v>
      </c>
      <c r="C1501" s="3" t="s">
        <v>566</v>
      </c>
      <c r="D1501" s="7">
        <v>320</v>
      </c>
      <c r="E1501" s="2" t="s">
        <v>11</v>
      </c>
      <c r="F1501" s="10">
        <v>11.2</v>
      </c>
    </row>
    <row r="1502" spans="1:6">
      <c r="A1502" t="s">
        <v>6</v>
      </c>
      <c r="B1502" s="6" t="s">
        <v>565</v>
      </c>
      <c r="C1502" s="3" t="s">
        <v>567</v>
      </c>
      <c r="D1502" s="7">
        <v>256</v>
      </c>
      <c r="E1502" s="2" t="s">
        <v>11</v>
      </c>
      <c r="F1502" s="10">
        <v>9.3000000000000007</v>
      </c>
    </row>
    <row r="1503" spans="1:6">
      <c r="A1503" t="s">
        <v>6</v>
      </c>
      <c r="B1503" s="6" t="s">
        <v>565</v>
      </c>
      <c r="C1503" s="3" t="s">
        <v>568</v>
      </c>
      <c r="D1503" s="7">
        <v>260</v>
      </c>
      <c r="E1503" s="2" t="s">
        <v>11</v>
      </c>
      <c r="F1503" s="10">
        <v>10.6</v>
      </c>
    </row>
    <row r="1504" spans="1:6">
      <c r="A1504" t="s">
        <v>6</v>
      </c>
      <c r="B1504" s="6" t="s">
        <v>565</v>
      </c>
      <c r="C1504" s="3" t="s">
        <v>569</v>
      </c>
      <c r="D1504" s="7">
        <v>264</v>
      </c>
      <c r="E1504" s="2" t="s">
        <v>11</v>
      </c>
      <c r="F1504" s="10">
        <v>11.3</v>
      </c>
    </row>
    <row r="1505" spans="1:6">
      <c r="A1505" t="s">
        <v>6</v>
      </c>
      <c r="B1505" s="6" t="s">
        <v>565</v>
      </c>
      <c r="C1505" s="3" t="s">
        <v>570</v>
      </c>
      <c r="D1505" s="7">
        <v>268</v>
      </c>
      <c r="E1505" s="2" t="s">
        <v>11</v>
      </c>
      <c r="F1505" s="10">
        <v>10.9</v>
      </c>
    </row>
    <row r="1506" spans="1:6">
      <c r="A1506" t="s">
        <v>6</v>
      </c>
      <c r="B1506" s="6" t="s">
        <v>565</v>
      </c>
      <c r="C1506" s="3" t="s">
        <v>571</v>
      </c>
      <c r="D1506" s="7">
        <v>328</v>
      </c>
      <c r="E1506" s="2" t="s">
        <v>11</v>
      </c>
      <c r="F1506" s="10">
        <v>10.3</v>
      </c>
    </row>
    <row r="1507" spans="1:6">
      <c r="A1507" t="s">
        <v>6</v>
      </c>
      <c r="B1507" s="6" t="s">
        <v>565</v>
      </c>
      <c r="C1507" s="3" t="s">
        <v>572</v>
      </c>
      <c r="D1507" s="7">
        <v>332</v>
      </c>
      <c r="E1507" s="2" t="s">
        <v>11</v>
      </c>
      <c r="F1507" s="10">
        <v>10.1</v>
      </c>
    </row>
    <row r="1508" spans="1:6">
      <c r="A1508" t="s">
        <v>6</v>
      </c>
      <c r="B1508" t="s">
        <v>565</v>
      </c>
      <c r="C1508" s="1" t="s">
        <v>573</v>
      </c>
      <c r="D1508" s="7">
        <v>2909</v>
      </c>
      <c r="E1508" t="s">
        <v>11</v>
      </c>
      <c r="F1508" s="9">
        <v>11</v>
      </c>
    </row>
    <row r="1509" spans="1:6">
      <c r="A1509" t="s">
        <v>6</v>
      </c>
      <c r="B1509" t="s">
        <v>565</v>
      </c>
      <c r="C1509" s="1" t="s">
        <v>574</v>
      </c>
      <c r="D1509" s="7">
        <v>2913</v>
      </c>
      <c r="E1509" t="s">
        <v>11</v>
      </c>
      <c r="F1509" s="9">
        <v>10.199999999999999</v>
      </c>
    </row>
    <row r="1510" spans="1:6">
      <c r="A1510" t="s">
        <v>6</v>
      </c>
      <c r="B1510" t="s">
        <v>565</v>
      </c>
      <c r="C1510" s="1" t="s">
        <v>575</v>
      </c>
      <c r="D1510" s="7">
        <v>2917</v>
      </c>
      <c r="E1510" t="s">
        <v>11</v>
      </c>
      <c r="F1510" s="9">
        <v>11.3</v>
      </c>
    </row>
    <row r="1511" spans="1:6">
      <c r="A1511" t="s">
        <v>6</v>
      </c>
      <c r="B1511" t="s">
        <v>565</v>
      </c>
      <c r="C1511" s="1" t="s">
        <v>576</v>
      </c>
      <c r="D1511" s="7">
        <v>3033</v>
      </c>
      <c r="E1511" t="s">
        <v>11</v>
      </c>
      <c r="F1511" s="9">
        <v>10.7</v>
      </c>
    </row>
    <row r="1512" spans="1:6">
      <c r="A1512" t="s">
        <v>6</v>
      </c>
      <c r="B1512" t="s">
        <v>565</v>
      </c>
      <c r="C1512" s="1" t="s">
        <v>577</v>
      </c>
      <c r="D1512" s="7">
        <v>3409</v>
      </c>
      <c r="E1512" t="s">
        <v>11</v>
      </c>
      <c r="F1512" s="9">
        <v>10.5</v>
      </c>
    </row>
    <row r="1513" spans="1:6">
      <c r="A1513" t="s">
        <v>6</v>
      </c>
      <c r="B1513" t="s">
        <v>565</v>
      </c>
      <c r="C1513" s="1" t="s">
        <v>578</v>
      </c>
      <c r="D1513" s="7">
        <v>3613</v>
      </c>
      <c r="E1513" t="s">
        <v>11</v>
      </c>
      <c r="F1513" s="9">
        <v>10.7</v>
      </c>
    </row>
    <row r="1514" spans="1:6">
      <c r="A1514" t="s">
        <v>6</v>
      </c>
      <c r="B1514" t="s">
        <v>565</v>
      </c>
      <c r="C1514" s="1" t="s">
        <v>579</v>
      </c>
      <c r="D1514" s="7">
        <v>3769</v>
      </c>
      <c r="E1514" t="s">
        <v>11</v>
      </c>
      <c r="F1514" s="9">
        <v>11.2</v>
      </c>
    </row>
    <row r="1515" spans="1:6">
      <c r="A1515" t="s">
        <v>6</v>
      </c>
      <c r="B1515" t="s">
        <v>565</v>
      </c>
      <c r="C1515" s="1" t="s">
        <v>580</v>
      </c>
      <c r="D1515" s="7">
        <v>3777</v>
      </c>
      <c r="E1515" t="s">
        <v>11</v>
      </c>
      <c r="F1515" s="9">
        <v>10.9</v>
      </c>
    </row>
    <row r="1516" spans="1:6">
      <c r="A1516" t="s">
        <v>6</v>
      </c>
      <c r="B1516" t="s">
        <v>565</v>
      </c>
      <c r="C1516" s="1" t="s">
        <v>581</v>
      </c>
      <c r="D1516" s="7">
        <v>3781</v>
      </c>
      <c r="E1516" t="s">
        <v>11</v>
      </c>
      <c r="F1516" s="9">
        <v>10.8</v>
      </c>
    </row>
    <row r="1517" spans="1:6">
      <c r="A1517" t="s">
        <v>6</v>
      </c>
      <c r="B1517" t="s">
        <v>565</v>
      </c>
      <c r="C1517" s="1" t="s">
        <v>582</v>
      </c>
      <c r="D1517" s="7">
        <v>3785</v>
      </c>
      <c r="E1517" t="s">
        <v>11</v>
      </c>
      <c r="F1517" s="9">
        <v>11.6</v>
      </c>
    </row>
    <row r="1518" spans="1:6">
      <c r="A1518" t="s">
        <v>6</v>
      </c>
      <c r="B1518" t="s">
        <v>565</v>
      </c>
      <c r="C1518" s="1" t="s">
        <v>583</v>
      </c>
      <c r="D1518" s="7">
        <v>3829</v>
      </c>
      <c r="E1518" t="s">
        <v>11</v>
      </c>
      <c r="F1518" s="9">
        <v>11.3</v>
      </c>
    </row>
    <row r="1519" spans="1:6">
      <c r="A1519" t="s">
        <v>6</v>
      </c>
      <c r="B1519" t="s">
        <v>565</v>
      </c>
      <c r="C1519" s="1" t="s">
        <v>584</v>
      </c>
      <c r="D1519" s="7">
        <v>3893</v>
      </c>
      <c r="E1519" t="s">
        <v>11</v>
      </c>
      <c r="F1519" s="9">
        <v>9.3000000000000007</v>
      </c>
    </row>
    <row r="1520" spans="1:6">
      <c r="A1520" t="s">
        <v>6</v>
      </c>
      <c r="B1520" t="s">
        <v>565</v>
      </c>
      <c r="C1520" s="1" t="s">
        <v>585</v>
      </c>
      <c r="D1520" s="7">
        <v>3925</v>
      </c>
      <c r="E1520" t="s">
        <v>11</v>
      </c>
      <c r="F1520" s="9">
        <v>11.3</v>
      </c>
    </row>
    <row r="1521" spans="1:6">
      <c r="A1521" t="s">
        <v>6</v>
      </c>
      <c r="B1521" t="s">
        <v>565</v>
      </c>
      <c r="C1521" s="1" t="s">
        <v>586</v>
      </c>
      <c r="D1521" s="7">
        <v>5519</v>
      </c>
      <c r="E1521" t="s">
        <v>12</v>
      </c>
      <c r="F1521" s="9">
        <v>3.47</v>
      </c>
    </row>
    <row r="1522" spans="1:6">
      <c r="A1522" t="s">
        <v>6</v>
      </c>
      <c r="B1522" t="s">
        <v>565</v>
      </c>
      <c r="C1522" s="1" t="s">
        <v>587</v>
      </c>
      <c r="D1522" s="7">
        <v>5523</v>
      </c>
      <c r="E1522" t="s">
        <v>12</v>
      </c>
      <c r="F1522" s="9">
        <v>2.97</v>
      </c>
    </row>
    <row r="1523" spans="1:6">
      <c r="A1523" t="s">
        <v>6</v>
      </c>
      <c r="B1523" t="s">
        <v>565</v>
      </c>
      <c r="C1523" s="1" t="s">
        <v>588</v>
      </c>
      <c r="D1523" s="7">
        <v>5716</v>
      </c>
      <c r="E1523" t="s">
        <v>12</v>
      </c>
      <c r="F1523" s="9">
        <v>3.24</v>
      </c>
    </row>
    <row r="1524" spans="1:6">
      <c r="A1524" t="s">
        <v>6</v>
      </c>
      <c r="B1524" t="s">
        <v>565</v>
      </c>
      <c r="C1524" s="1" t="s">
        <v>589</v>
      </c>
      <c r="D1524" s="7">
        <v>5720</v>
      </c>
      <c r="E1524" t="s">
        <v>12</v>
      </c>
      <c r="F1524" s="9">
        <v>3.29</v>
      </c>
    </row>
    <row r="1525" spans="1:6">
      <c r="A1525" t="s">
        <v>6</v>
      </c>
      <c r="B1525" t="s">
        <v>565</v>
      </c>
      <c r="C1525" s="1" t="s">
        <v>590</v>
      </c>
      <c r="D1525" s="7">
        <v>5724</v>
      </c>
      <c r="E1525" t="s">
        <v>12</v>
      </c>
      <c r="F1525" s="9">
        <v>3.33</v>
      </c>
    </row>
    <row r="1526" spans="1:6">
      <c r="A1526" t="s">
        <v>6</v>
      </c>
      <c r="B1526" t="s">
        <v>565</v>
      </c>
      <c r="C1526" s="1" t="s">
        <v>591</v>
      </c>
      <c r="D1526" s="7">
        <v>5728</v>
      </c>
      <c r="E1526" t="s">
        <v>12</v>
      </c>
      <c r="F1526" s="9">
        <v>3.27</v>
      </c>
    </row>
    <row r="1527" spans="1:6">
      <c r="A1527" t="s">
        <v>6</v>
      </c>
      <c r="B1527" t="s">
        <v>565</v>
      </c>
      <c r="C1527" s="1" t="s">
        <v>592</v>
      </c>
      <c r="D1527" s="7">
        <v>5732</v>
      </c>
      <c r="E1527" t="s">
        <v>12</v>
      </c>
      <c r="F1527" s="9">
        <v>3.09</v>
      </c>
    </row>
    <row r="1528" spans="1:6">
      <c r="A1528" t="s">
        <v>6</v>
      </c>
      <c r="B1528" t="s">
        <v>565</v>
      </c>
      <c r="C1528" s="1" t="s">
        <v>593</v>
      </c>
      <c r="D1528" s="7">
        <v>5736</v>
      </c>
      <c r="E1528" t="s">
        <v>12</v>
      </c>
      <c r="F1528" s="9">
        <v>3.3</v>
      </c>
    </row>
    <row r="1529" spans="1:6">
      <c r="A1529" t="s">
        <v>6</v>
      </c>
      <c r="B1529" t="s">
        <v>565</v>
      </c>
      <c r="C1529" s="1" t="s">
        <v>594</v>
      </c>
      <c r="D1529" s="7">
        <v>5740</v>
      </c>
      <c r="E1529" t="s">
        <v>12</v>
      </c>
      <c r="F1529" s="9">
        <v>3.26</v>
      </c>
    </row>
    <row r="1530" spans="1:6">
      <c r="A1530" t="s">
        <v>6</v>
      </c>
      <c r="B1530" t="s">
        <v>565</v>
      </c>
      <c r="C1530" s="1" t="s">
        <v>595</v>
      </c>
      <c r="D1530" s="7">
        <v>5792</v>
      </c>
      <c r="E1530" t="s">
        <v>12</v>
      </c>
      <c r="F1530" s="9">
        <v>3.42</v>
      </c>
    </row>
    <row r="1531" spans="1:6">
      <c r="A1531" t="s">
        <v>6</v>
      </c>
      <c r="B1531" s="6" t="s">
        <v>596</v>
      </c>
      <c r="C1531" s="3" t="s">
        <v>597</v>
      </c>
      <c r="D1531" s="7">
        <v>161</v>
      </c>
      <c r="E1531" s="2" t="s">
        <v>9</v>
      </c>
      <c r="F1531" s="10">
        <v>4.0999999999999996</v>
      </c>
    </row>
    <row r="1532" spans="1:6">
      <c r="A1532" t="s">
        <v>6</v>
      </c>
      <c r="B1532" s="6" t="s">
        <v>596</v>
      </c>
      <c r="C1532" s="1" t="s">
        <v>597</v>
      </c>
      <c r="D1532" s="7">
        <v>4246</v>
      </c>
      <c r="E1532" t="s">
        <v>9</v>
      </c>
      <c r="F1532" s="9">
        <v>3.3</v>
      </c>
    </row>
    <row r="1533" spans="1:6">
      <c r="A1533" t="s">
        <v>6</v>
      </c>
      <c r="B1533" t="s">
        <v>596</v>
      </c>
      <c r="C1533" s="1" t="s">
        <v>598</v>
      </c>
      <c r="D1533" s="7">
        <v>4282</v>
      </c>
      <c r="E1533" t="s">
        <v>9</v>
      </c>
      <c r="F1533" s="9">
        <v>3.4</v>
      </c>
    </row>
    <row r="1534" spans="1:6">
      <c r="A1534" t="s">
        <v>6</v>
      </c>
      <c r="B1534" t="s">
        <v>596</v>
      </c>
      <c r="C1534" s="1" t="s">
        <v>599</v>
      </c>
      <c r="D1534" s="7">
        <v>4286</v>
      </c>
      <c r="E1534" t="s">
        <v>9</v>
      </c>
      <c r="F1534" s="9">
        <v>3.5</v>
      </c>
    </row>
    <row r="1535" spans="1:6">
      <c r="A1535" t="s">
        <v>6</v>
      </c>
      <c r="B1535" t="s">
        <v>596</v>
      </c>
      <c r="C1535" s="1" t="s">
        <v>600</v>
      </c>
      <c r="D1535" s="7">
        <v>4290</v>
      </c>
      <c r="E1535" t="s">
        <v>9</v>
      </c>
      <c r="F1535" s="9">
        <v>3.5</v>
      </c>
    </row>
    <row r="1536" spans="1:6">
      <c r="A1536" t="s">
        <v>6</v>
      </c>
      <c r="B1536" t="s">
        <v>596</v>
      </c>
      <c r="C1536" s="1" t="s">
        <v>601</v>
      </c>
      <c r="D1536" s="7">
        <v>4294</v>
      </c>
      <c r="E1536" t="s">
        <v>9</v>
      </c>
      <c r="F1536" s="9">
        <v>3.8</v>
      </c>
    </row>
    <row r="1537" spans="1:6">
      <c r="A1537" t="s">
        <v>6</v>
      </c>
      <c r="B1537" t="s">
        <v>596</v>
      </c>
      <c r="C1537" s="1" t="s">
        <v>602</v>
      </c>
      <c r="D1537" s="7">
        <v>6349</v>
      </c>
      <c r="E1537" t="s">
        <v>9</v>
      </c>
      <c r="F1537" s="9">
        <v>2.93</v>
      </c>
    </row>
    <row r="1538" spans="1:6">
      <c r="A1538" t="s">
        <v>6</v>
      </c>
      <c r="B1538" t="s">
        <v>596</v>
      </c>
      <c r="C1538" s="1" t="s">
        <v>603</v>
      </c>
      <c r="D1538" s="7">
        <v>6368</v>
      </c>
      <c r="E1538" t="s">
        <v>9</v>
      </c>
      <c r="F1538" s="9">
        <v>3.12</v>
      </c>
    </row>
    <row r="1539" spans="1:6">
      <c r="A1539" t="s">
        <v>6</v>
      </c>
      <c r="B1539" t="s">
        <v>596</v>
      </c>
      <c r="C1539" s="1" t="s">
        <v>604</v>
      </c>
      <c r="D1539" s="7">
        <v>6373</v>
      </c>
      <c r="E1539" t="s">
        <v>9</v>
      </c>
      <c r="F1539" s="9">
        <v>3.07</v>
      </c>
    </row>
    <row r="1540" spans="1:6">
      <c r="A1540" t="s">
        <v>6</v>
      </c>
      <c r="B1540" t="s">
        <v>596</v>
      </c>
      <c r="C1540" s="1" t="s">
        <v>605</v>
      </c>
      <c r="D1540" s="7">
        <v>6383</v>
      </c>
      <c r="E1540" t="s">
        <v>9</v>
      </c>
      <c r="F1540" s="9">
        <v>3.03</v>
      </c>
    </row>
    <row r="1541" spans="1:6">
      <c r="A1541" t="s">
        <v>6</v>
      </c>
      <c r="B1541" t="s">
        <v>596</v>
      </c>
      <c r="C1541" s="1" t="s">
        <v>606</v>
      </c>
      <c r="D1541" s="7">
        <v>6388</v>
      </c>
      <c r="E1541" t="s">
        <v>9</v>
      </c>
      <c r="F1541" s="9">
        <v>3.15</v>
      </c>
    </row>
    <row r="1542" spans="1:6">
      <c r="A1542" t="s">
        <v>6</v>
      </c>
      <c r="B1542" t="s">
        <v>596</v>
      </c>
      <c r="C1542" s="1" t="s">
        <v>607</v>
      </c>
      <c r="D1542" s="7">
        <v>6393</v>
      </c>
      <c r="E1542" t="s">
        <v>9</v>
      </c>
      <c r="F1542" s="9">
        <v>3.33</v>
      </c>
    </row>
    <row r="1543" spans="1:6">
      <c r="A1543" t="s">
        <v>6</v>
      </c>
      <c r="B1543" t="s">
        <v>596</v>
      </c>
      <c r="C1543" s="1" t="s">
        <v>608</v>
      </c>
      <c r="D1543" s="7">
        <v>6398</v>
      </c>
      <c r="E1543" t="s">
        <v>9</v>
      </c>
      <c r="F1543" s="9">
        <v>3.2</v>
      </c>
    </row>
    <row r="1544" spans="1:6">
      <c r="A1544" t="s">
        <v>6</v>
      </c>
      <c r="B1544" t="s">
        <v>596</v>
      </c>
      <c r="C1544" s="1" t="s">
        <v>609</v>
      </c>
      <c r="D1544" s="7">
        <v>6364</v>
      </c>
      <c r="E1544" t="s">
        <v>9</v>
      </c>
      <c r="F1544" s="9">
        <v>3.53</v>
      </c>
    </row>
    <row r="1545" spans="1:6">
      <c r="A1545" t="s">
        <v>6</v>
      </c>
      <c r="B1545" t="s">
        <v>596</v>
      </c>
      <c r="C1545" s="1" t="s">
        <v>610</v>
      </c>
      <c r="D1545" s="7">
        <v>6403</v>
      </c>
      <c r="E1545" t="s">
        <v>9</v>
      </c>
      <c r="F1545" s="9">
        <v>2.76</v>
      </c>
    </row>
    <row r="1546" spans="1:6">
      <c r="A1546" t="s">
        <v>6</v>
      </c>
      <c r="B1546" t="s">
        <v>596</v>
      </c>
      <c r="C1546" s="1" t="s">
        <v>611</v>
      </c>
      <c r="D1546" s="7">
        <v>6408</v>
      </c>
      <c r="E1546" t="s">
        <v>9</v>
      </c>
      <c r="F1546" s="9">
        <v>3.23</v>
      </c>
    </row>
    <row r="1547" spans="1:6">
      <c r="A1547" t="s">
        <v>6</v>
      </c>
      <c r="B1547" t="s">
        <v>596</v>
      </c>
      <c r="C1547" s="1" t="s">
        <v>612</v>
      </c>
      <c r="D1547" s="7">
        <v>6413</v>
      </c>
      <c r="E1547" t="s">
        <v>9</v>
      </c>
      <c r="F1547" s="9">
        <v>2.91</v>
      </c>
    </row>
    <row r="1548" spans="1:6">
      <c r="A1548" t="s">
        <v>6</v>
      </c>
      <c r="B1548" t="s">
        <v>596</v>
      </c>
      <c r="C1548" s="1" t="s">
        <v>613</v>
      </c>
      <c r="D1548" s="7">
        <v>5292</v>
      </c>
      <c r="E1548" t="s">
        <v>9</v>
      </c>
      <c r="F1548" s="9">
        <v>3.13</v>
      </c>
    </row>
    <row r="1549" spans="1:6">
      <c r="A1549" t="s">
        <v>6</v>
      </c>
      <c r="B1549" t="s">
        <v>596</v>
      </c>
      <c r="C1549" s="1" t="s">
        <v>614</v>
      </c>
      <c r="D1549" s="7">
        <v>6354</v>
      </c>
      <c r="E1549" t="s">
        <v>9</v>
      </c>
      <c r="F1549" s="9">
        <v>3.18</v>
      </c>
    </row>
    <row r="1550" spans="1:6">
      <c r="A1550" t="s">
        <v>6</v>
      </c>
      <c r="B1550" t="s">
        <v>596</v>
      </c>
      <c r="C1550" s="1" t="s">
        <v>529</v>
      </c>
      <c r="D1550" s="7">
        <v>6359</v>
      </c>
      <c r="E1550" t="s">
        <v>9</v>
      </c>
      <c r="F1550" s="9">
        <v>3.25</v>
      </c>
    </row>
    <row r="1551" spans="1:6">
      <c r="A1551" t="s">
        <v>6</v>
      </c>
      <c r="B1551" t="s">
        <v>596</v>
      </c>
      <c r="C1551" s="1" t="s">
        <v>615</v>
      </c>
      <c r="D1551" s="7">
        <v>6418</v>
      </c>
      <c r="E1551" t="s">
        <v>9</v>
      </c>
      <c r="F1551" s="9">
        <v>2.39</v>
      </c>
    </row>
    <row r="1552" spans="1:6">
      <c r="A1552" t="s">
        <v>6</v>
      </c>
      <c r="B1552" t="s">
        <v>596</v>
      </c>
      <c r="C1552" s="1" t="s">
        <v>616</v>
      </c>
      <c r="D1552" s="7">
        <v>5256</v>
      </c>
      <c r="E1552" t="s">
        <v>9</v>
      </c>
      <c r="F1552" s="9">
        <v>3.23</v>
      </c>
    </row>
    <row r="1553" spans="1:6">
      <c r="A1553" t="s">
        <v>6</v>
      </c>
      <c r="B1553" t="s">
        <v>596</v>
      </c>
      <c r="C1553" s="1" t="s">
        <v>617</v>
      </c>
      <c r="D1553" s="7">
        <v>5268</v>
      </c>
      <c r="E1553" t="s">
        <v>9</v>
      </c>
      <c r="F1553" s="9">
        <v>3.41</v>
      </c>
    </row>
    <row r="1554" spans="1:6">
      <c r="A1554" t="s">
        <v>6</v>
      </c>
      <c r="B1554" t="s">
        <v>596</v>
      </c>
      <c r="C1554" s="1" t="s">
        <v>618</v>
      </c>
      <c r="D1554" s="7">
        <v>6378</v>
      </c>
      <c r="E1554" t="s">
        <v>9</v>
      </c>
      <c r="F1554" s="9">
        <v>3.35</v>
      </c>
    </row>
    <row r="1555" spans="1:6">
      <c r="A1555" t="s">
        <v>6</v>
      </c>
      <c r="B1555" t="s">
        <v>596</v>
      </c>
      <c r="C1555" s="1" t="s">
        <v>619</v>
      </c>
      <c r="D1555" s="7">
        <v>2930</v>
      </c>
      <c r="E1555" t="s">
        <v>9</v>
      </c>
      <c r="F1555" s="9">
        <v>3.2</v>
      </c>
    </row>
    <row r="1556" spans="1:6">
      <c r="A1556" t="s">
        <v>6</v>
      </c>
      <c r="B1556" t="s">
        <v>596</v>
      </c>
      <c r="C1556" s="1" t="s">
        <v>620</v>
      </c>
      <c r="D1556" s="7">
        <v>2938</v>
      </c>
      <c r="E1556" t="s">
        <v>9</v>
      </c>
      <c r="F1556" s="9">
        <v>3.1</v>
      </c>
    </row>
    <row r="1557" spans="1:6">
      <c r="A1557" t="s">
        <v>6</v>
      </c>
      <c r="B1557" t="s">
        <v>596</v>
      </c>
      <c r="C1557" s="1" t="s">
        <v>621</v>
      </c>
      <c r="D1557" s="7">
        <v>2942</v>
      </c>
      <c r="E1557" t="s">
        <v>9</v>
      </c>
      <c r="F1557" s="9">
        <v>3.3</v>
      </c>
    </row>
    <row r="1558" spans="1:6">
      <c r="A1558" t="s">
        <v>6</v>
      </c>
      <c r="B1558" t="s">
        <v>596</v>
      </c>
      <c r="C1558" s="1" t="s">
        <v>622</v>
      </c>
      <c r="D1558" s="7">
        <v>3090</v>
      </c>
      <c r="E1558" t="s">
        <v>9</v>
      </c>
      <c r="F1558" s="9">
        <v>3.5</v>
      </c>
    </row>
    <row r="1559" spans="1:6">
      <c r="A1559" t="s">
        <v>6</v>
      </c>
      <c r="B1559" t="s">
        <v>596</v>
      </c>
      <c r="C1559" s="1" t="s">
        <v>623</v>
      </c>
      <c r="D1559" s="7">
        <v>4462</v>
      </c>
      <c r="E1559" t="s">
        <v>9</v>
      </c>
      <c r="F1559" s="9">
        <v>3.6</v>
      </c>
    </row>
    <row r="1560" spans="1:6">
      <c r="A1560" t="s">
        <v>6</v>
      </c>
      <c r="B1560" t="s">
        <v>596</v>
      </c>
      <c r="C1560" s="1" t="s">
        <v>624</v>
      </c>
      <c r="D1560" s="7">
        <v>4466</v>
      </c>
      <c r="E1560" t="s">
        <v>9</v>
      </c>
      <c r="F1560" s="9">
        <v>3.5</v>
      </c>
    </row>
    <row r="1561" spans="1:6">
      <c r="A1561" t="s">
        <v>6</v>
      </c>
      <c r="B1561" s="6" t="s">
        <v>596</v>
      </c>
      <c r="C1561" s="1" t="s">
        <v>597</v>
      </c>
      <c r="D1561" s="7">
        <v>4247</v>
      </c>
      <c r="E1561" t="s">
        <v>10</v>
      </c>
      <c r="F1561" s="9">
        <v>17.7</v>
      </c>
    </row>
    <row r="1562" spans="1:6">
      <c r="A1562" t="s">
        <v>6</v>
      </c>
      <c r="B1562" t="s">
        <v>596</v>
      </c>
      <c r="C1562" s="1" t="s">
        <v>598</v>
      </c>
      <c r="D1562" s="7">
        <v>4283</v>
      </c>
      <c r="E1562" t="s">
        <v>10</v>
      </c>
      <c r="F1562" s="9">
        <v>18.5</v>
      </c>
    </row>
    <row r="1563" spans="1:6">
      <c r="A1563" t="s">
        <v>6</v>
      </c>
      <c r="B1563" t="s">
        <v>596</v>
      </c>
      <c r="C1563" s="1" t="s">
        <v>599</v>
      </c>
      <c r="D1563" s="7">
        <v>4287</v>
      </c>
      <c r="E1563" t="s">
        <v>10</v>
      </c>
      <c r="F1563" s="9">
        <v>19.7</v>
      </c>
    </row>
    <row r="1564" spans="1:6">
      <c r="A1564" t="s">
        <v>6</v>
      </c>
      <c r="B1564" t="s">
        <v>596</v>
      </c>
      <c r="C1564" s="1" t="s">
        <v>600</v>
      </c>
      <c r="D1564" s="7">
        <v>4291</v>
      </c>
      <c r="E1564" t="s">
        <v>10</v>
      </c>
      <c r="F1564" s="9">
        <v>20</v>
      </c>
    </row>
    <row r="1565" spans="1:6">
      <c r="A1565" t="s">
        <v>6</v>
      </c>
      <c r="B1565" t="s">
        <v>596</v>
      </c>
      <c r="C1565" s="1" t="s">
        <v>601</v>
      </c>
      <c r="D1565" s="7">
        <v>4295</v>
      </c>
      <c r="E1565" t="s">
        <v>10</v>
      </c>
      <c r="F1565" s="9">
        <v>19.5</v>
      </c>
    </row>
    <row r="1566" spans="1:6">
      <c r="A1566" t="s">
        <v>6</v>
      </c>
      <c r="B1566" t="s">
        <v>596</v>
      </c>
      <c r="C1566" s="1" t="s">
        <v>602</v>
      </c>
      <c r="D1566" s="7">
        <v>6352</v>
      </c>
      <c r="E1566" t="s">
        <v>10</v>
      </c>
      <c r="F1566" s="9">
        <v>21.93</v>
      </c>
    </row>
    <row r="1567" spans="1:6">
      <c r="A1567" t="s">
        <v>6</v>
      </c>
      <c r="B1567" t="s">
        <v>596</v>
      </c>
      <c r="C1567" s="1" t="s">
        <v>603</v>
      </c>
      <c r="D1567" s="7">
        <v>6371</v>
      </c>
      <c r="E1567" t="s">
        <v>10</v>
      </c>
      <c r="F1567" s="9">
        <v>22.85</v>
      </c>
    </row>
    <row r="1568" spans="1:6">
      <c r="A1568" t="s">
        <v>6</v>
      </c>
      <c r="B1568" t="s">
        <v>596</v>
      </c>
      <c r="C1568" s="1" t="s">
        <v>604</v>
      </c>
      <c r="D1568" s="7">
        <v>6376</v>
      </c>
      <c r="E1568" t="s">
        <v>10</v>
      </c>
      <c r="F1568" s="9">
        <v>21.55</v>
      </c>
    </row>
    <row r="1569" spans="1:6">
      <c r="A1569" t="s">
        <v>6</v>
      </c>
      <c r="B1569" t="s">
        <v>596</v>
      </c>
      <c r="C1569" s="1" t="s">
        <v>605</v>
      </c>
      <c r="D1569" s="7">
        <v>6386</v>
      </c>
      <c r="E1569" t="s">
        <v>10</v>
      </c>
      <c r="F1569" s="9">
        <v>22.97</v>
      </c>
    </row>
    <row r="1570" spans="1:6">
      <c r="A1570" t="s">
        <v>6</v>
      </c>
      <c r="B1570" t="s">
        <v>596</v>
      </c>
      <c r="C1570" s="1" t="s">
        <v>606</v>
      </c>
      <c r="D1570" s="7">
        <v>6391</v>
      </c>
      <c r="E1570" t="s">
        <v>10</v>
      </c>
      <c r="F1570" s="9">
        <v>22.75</v>
      </c>
    </row>
    <row r="1571" spans="1:6">
      <c r="A1571" t="s">
        <v>6</v>
      </c>
      <c r="B1571" t="s">
        <v>596</v>
      </c>
      <c r="C1571" s="1" t="s">
        <v>607</v>
      </c>
      <c r="D1571" s="7">
        <v>6396</v>
      </c>
      <c r="E1571" t="s">
        <v>10</v>
      </c>
      <c r="F1571" s="9">
        <v>24.98</v>
      </c>
    </row>
    <row r="1572" spans="1:6">
      <c r="A1572" t="s">
        <v>6</v>
      </c>
      <c r="B1572" t="s">
        <v>596</v>
      </c>
      <c r="C1572" s="1" t="s">
        <v>608</v>
      </c>
      <c r="D1572" s="7">
        <v>6401</v>
      </c>
      <c r="E1572" t="s">
        <v>10</v>
      </c>
      <c r="F1572" s="9">
        <v>22.27</v>
      </c>
    </row>
    <row r="1573" spans="1:6">
      <c r="A1573" t="s">
        <v>6</v>
      </c>
      <c r="B1573" t="s">
        <v>596</v>
      </c>
      <c r="C1573" s="1" t="s">
        <v>609</v>
      </c>
      <c r="D1573" s="7">
        <v>6366</v>
      </c>
      <c r="E1573" t="s">
        <v>10</v>
      </c>
      <c r="F1573" s="9">
        <v>23.94</v>
      </c>
    </row>
    <row r="1574" spans="1:6">
      <c r="A1574" t="s">
        <v>6</v>
      </c>
      <c r="B1574" t="s">
        <v>596</v>
      </c>
      <c r="C1574" s="1" t="s">
        <v>610</v>
      </c>
      <c r="D1574" s="7">
        <v>6406</v>
      </c>
      <c r="E1574" t="s">
        <v>10</v>
      </c>
      <c r="F1574" s="9">
        <v>22.53</v>
      </c>
    </row>
    <row r="1575" spans="1:6">
      <c r="A1575" t="s">
        <v>6</v>
      </c>
      <c r="B1575" t="s">
        <v>596</v>
      </c>
      <c r="C1575" s="1" t="s">
        <v>611</v>
      </c>
      <c r="D1575" s="7">
        <v>6411</v>
      </c>
      <c r="E1575" t="s">
        <v>10</v>
      </c>
      <c r="F1575" s="9">
        <v>21.73</v>
      </c>
    </row>
    <row r="1576" spans="1:6">
      <c r="A1576" t="s">
        <v>6</v>
      </c>
      <c r="B1576" t="s">
        <v>596</v>
      </c>
      <c r="C1576" s="1" t="s">
        <v>612</v>
      </c>
      <c r="D1576" s="7">
        <v>6416</v>
      </c>
      <c r="E1576" t="s">
        <v>10</v>
      </c>
      <c r="F1576" s="9">
        <v>21.2</v>
      </c>
    </row>
    <row r="1577" spans="1:6">
      <c r="A1577" t="s">
        <v>6</v>
      </c>
      <c r="B1577" t="s">
        <v>596</v>
      </c>
      <c r="C1577" s="1" t="s">
        <v>614</v>
      </c>
      <c r="D1577" s="7">
        <v>6357</v>
      </c>
      <c r="E1577" t="s">
        <v>10</v>
      </c>
      <c r="F1577" s="9">
        <v>21.73</v>
      </c>
    </row>
    <row r="1578" spans="1:6">
      <c r="A1578" t="s">
        <v>6</v>
      </c>
      <c r="B1578" t="s">
        <v>596</v>
      </c>
      <c r="C1578" s="1" t="s">
        <v>529</v>
      </c>
      <c r="D1578" s="7">
        <v>6362</v>
      </c>
      <c r="E1578" t="s">
        <v>10</v>
      </c>
      <c r="F1578" s="9">
        <v>22.67</v>
      </c>
    </row>
    <row r="1579" spans="1:6">
      <c r="A1579" t="s">
        <v>6</v>
      </c>
      <c r="B1579" t="s">
        <v>596</v>
      </c>
      <c r="C1579" s="1" t="s">
        <v>615</v>
      </c>
      <c r="D1579" s="7">
        <v>6421</v>
      </c>
      <c r="E1579" t="s">
        <v>10</v>
      </c>
      <c r="F1579" s="9">
        <v>17.190000000000001</v>
      </c>
    </row>
    <row r="1580" spans="1:6">
      <c r="A1580" t="s">
        <v>6</v>
      </c>
      <c r="B1580" t="s">
        <v>596</v>
      </c>
      <c r="C1580" s="1" t="s">
        <v>618</v>
      </c>
      <c r="D1580" s="7">
        <v>6381</v>
      </c>
      <c r="E1580" t="s">
        <v>10</v>
      </c>
      <c r="F1580" s="9">
        <v>22.85</v>
      </c>
    </row>
    <row r="1581" spans="1:6">
      <c r="A1581" t="s">
        <v>6</v>
      </c>
      <c r="B1581" t="s">
        <v>596</v>
      </c>
      <c r="C1581" s="1" t="s">
        <v>619</v>
      </c>
      <c r="D1581" s="7">
        <v>2931</v>
      </c>
      <c r="E1581" t="s">
        <v>10</v>
      </c>
      <c r="F1581" s="9">
        <v>21.9</v>
      </c>
    </row>
    <row r="1582" spans="1:6">
      <c r="A1582" t="s">
        <v>6</v>
      </c>
      <c r="B1582" t="s">
        <v>596</v>
      </c>
      <c r="C1582" s="1" t="s">
        <v>620</v>
      </c>
      <c r="D1582" s="7">
        <v>2939</v>
      </c>
      <c r="E1582" t="s">
        <v>10</v>
      </c>
      <c r="F1582" s="9">
        <v>22</v>
      </c>
    </row>
    <row r="1583" spans="1:6">
      <c r="A1583" t="s">
        <v>6</v>
      </c>
      <c r="B1583" t="s">
        <v>596</v>
      </c>
      <c r="C1583" s="1" t="s">
        <v>621</v>
      </c>
      <c r="D1583" s="7">
        <v>2943</v>
      </c>
      <c r="E1583" t="s">
        <v>10</v>
      </c>
      <c r="F1583" s="9">
        <v>22.9</v>
      </c>
    </row>
    <row r="1584" spans="1:6">
      <c r="A1584" t="s">
        <v>6</v>
      </c>
      <c r="B1584" t="s">
        <v>596</v>
      </c>
      <c r="C1584" s="1" t="s">
        <v>622</v>
      </c>
      <c r="D1584" s="7">
        <v>3091</v>
      </c>
      <c r="E1584" t="s">
        <v>10</v>
      </c>
      <c r="F1584" s="9">
        <v>23.4</v>
      </c>
    </row>
    <row r="1585" spans="1:6">
      <c r="A1585" t="s">
        <v>6</v>
      </c>
      <c r="B1585" t="s">
        <v>596</v>
      </c>
      <c r="C1585" s="1" t="s">
        <v>623</v>
      </c>
      <c r="D1585" s="7">
        <v>4463</v>
      </c>
      <c r="E1585" t="s">
        <v>10</v>
      </c>
      <c r="F1585" s="9">
        <v>17.100000000000001</v>
      </c>
    </row>
    <row r="1586" spans="1:6">
      <c r="A1586" t="s">
        <v>6</v>
      </c>
      <c r="B1586" t="s">
        <v>596</v>
      </c>
      <c r="C1586" s="1" t="s">
        <v>624</v>
      </c>
      <c r="D1586" s="7">
        <v>4467</v>
      </c>
      <c r="E1586" t="s">
        <v>10</v>
      </c>
      <c r="F1586" s="9">
        <v>17.100000000000001</v>
      </c>
    </row>
    <row r="1587" spans="1:6">
      <c r="A1587" t="s">
        <v>6</v>
      </c>
      <c r="B1587" s="6" t="s">
        <v>596</v>
      </c>
      <c r="C1587" s="3" t="s">
        <v>597</v>
      </c>
      <c r="D1587" s="7">
        <v>160</v>
      </c>
      <c r="E1587" s="2" t="s">
        <v>11</v>
      </c>
      <c r="F1587" s="10">
        <v>12.6</v>
      </c>
    </row>
    <row r="1588" spans="1:6">
      <c r="A1588" t="s">
        <v>6</v>
      </c>
      <c r="B1588" s="6" t="s">
        <v>596</v>
      </c>
      <c r="C1588" s="1" t="s">
        <v>597</v>
      </c>
      <c r="D1588" s="7">
        <v>4245</v>
      </c>
      <c r="E1588" t="s">
        <v>11</v>
      </c>
      <c r="F1588" s="9">
        <v>9.6</v>
      </c>
    </row>
    <row r="1589" spans="1:6">
      <c r="A1589" t="s">
        <v>6</v>
      </c>
      <c r="B1589" t="s">
        <v>596</v>
      </c>
      <c r="C1589" s="1" t="s">
        <v>598</v>
      </c>
      <c r="D1589" s="7">
        <v>4281</v>
      </c>
      <c r="E1589" t="s">
        <v>11</v>
      </c>
      <c r="F1589" s="9">
        <v>9.6999999999999993</v>
      </c>
    </row>
    <row r="1590" spans="1:6">
      <c r="A1590" t="s">
        <v>6</v>
      </c>
      <c r="B1590" t="s">
        <v>596</v>
      </c>
      <c r="C1590" s="1" t="s">
        <v>599</v>
      </c>
      <c r="D1590" s="7">
        <v>4285</v>
      </c>
      <c r="E1590" t="s">
        <v>11</v>
      </c>
      <c r="F1590" s="9">
        <v>10.199999999999999</v>
      </c>
    </row>
    <row r="1591" spans="1:6">
      <c r="A1591" t="s">
        <v>6</v>
      </c>
      <c r="B1591" t="s">
        <v>596</v>
      </c>
      <c r="C1591" s="1" t="s">
        <v>600</v>
      </c>
      <c r="D1591" s="7">
        <v>4289</v>
      </c>
      <c r="E1591" t="s">
        <v>11</v>
      </c>
      <c r="F1591" s="9">
        <v>10</v>
      </c>
    </row>
    <row r="1592" spans="1:6">
      <c r="A1592" t="s">
        <v>6</v>
      </c>
      <c r="B1592" t="s">
        <v>596</v>
      </c>
      <c r="C1592" s="1" t="s">
        <v>601</v>
      </c>
      <c r="D1592" s="7">
        <v>4293</v>
      </c>
      <c r="E1592" t="s">
        <v>11</v>
      </c>
      <c r="F1592" s="9">
        <v>10.3</v>
      </c>
    </row>
    <row r="1593" spans="1:6">
      <c r="A1593" t="s">
        <v>6</v>
      </c>
      <c r="B1593" t="s">
        <v>596</v>
      </c>
      <c r="C1593" s="1" t="s">
        <v>602</v>
      </c>
      <c r="D1593" s="7">
        <v>6350</v>
      </c>
      <c r="E1593" t="s">
        <v>11</v>
      </c>
      <c r="F1593" s="9">
        <v>9.8699999999999992</v>
      </c>
    </row>
    <row r="1594" spans="1:6">
      <c r="A1594" t="s">
        <v>6</v>
      </c>
      <c r="B1594" t="s">
        <v>596</v>
      </c>
      <c r="C1594" s="1" t="s">
        <v>603</v>
      </c>
      <c r="D1594" s="7">
        <v>6369</v>
      </c>
      <c r="E1594" t="s">
        <v>11</v>
      </c>
      <c r="F1594" s="9">
        <v>10.32</v>
      </c>
    </row>
    <row r="1595" spans="1:6">
      <c r="A1595" t="s">
        <v>6</v>
      </c>
      <c r="B1595" t="s">
        <v>596</v>
      </c>
      <c r="C1595" s="1" t="s">
        <v>604</v>
      </c>
      <c r="D1595" s="7">
        <v>6374</v>
      </c>
      <c r="E1595" t="s">
        <v>11</v>
      </c>
      <c r="F1595" s="9">
        <v>10.1</v>
      </c>
    </row>
    <row r="1596" spans="1:6">
      <c r="A1596" t="s">
        <v>6</v>
      </c>
      <c r="B1596" t="s">
        <v>596</v>
      </c>
      <c r="C1596" s="1" t="s">
        <v>605</v>
      </c>
      <c r="D1596" s="7">
        <v>6384</v>
      </c>
      <c r="E1596" t="s">
        <v>11</v>
      </c>
      <c r="F1596" s="9">
        <v>9.75</v>
      </c>
    </row>
    <row r="1597" spans="1:6">
      <c r="A1597" t="s">
        <v>6</v>
      </c>
      <c r="B1597" t="s">
        <v>596</v>
      </c>
      <c r="C1597" s="1" t="s">
        <v>606</v>
      </c>
      <c r="D1597" s="7">
        <v>6389</v>
      </c>
      <c r="E1597" t="s">
        <v>11</v>
      </c>
      <c r="F1597" s="9">
        <v>10.63</v>
      </c>
    </row>
    <row r="1598" spans="1:6">
      <c r="A1598" t="s">
        <v>6</v>
      </c>
      <c r="B1598" t="s">
        <v>596</v>
      </c>
      <c r="C1598" s="1" t="s">
        <v>607</v>
      </c>
      <c r="D1598" s="7">
        <v>6394</v>
      </c>
      <c r="E1598" t="s">
        <v>11</v>
      </c>
      <c r="F1598" s="9">
        <v>10.54</v>
      </c>
    </row>
    <row r="1599" spans="1:6">
      <c r="A1599" t="s">
        <v>6</v>
      </c>
      <c r="B1599" t="s">
        <v>596</v>
      </c>
      <c r="C1599" s="1" t="s">
        <v>608</v>
      </c>
      <c r="D1599" s="7">
        <v>6399</v>
      </c>
      <c r="E1599" t="s">
        <v>11</v>
      </c>
      <c r="F1599" s="9">
        <v>10.32</v>
      </c>
    </row>
    <row r="1600" spans="1:6">
      <c r="A1600" t="s">
        <v>6</v>
      </c>
      <c r="B1600" t="s">
        <v>596</v>
      </c>
      <c r="C1600" s="1" t="s">
        <v>609</v>
      </c>
      <c r="D1600" s="7">
        <v>6365</v>
      </c>
      <c r="E1600" t="s">
        <v>11</v>
      </c>
      <c r="F1600" s="9">
        <v>11.06</v>
      </c>
    </row>
    <row r="1601" spans="1:6">
      <c r="A1601" t="s">
        <v>6</v>
      </c>
      <c r="B1601" t="s">
        <v>596</v>
      </c>
      <c r="C1601" s="1" t="s">
        <v>610</v>
      </c>
      <c r="D1601" s="7">
        <v>6404</v>
      </c>
      <c r="E1601" t="s">
        <v>11</v>
      </c>
      <c r="F1601" s="9">
        <v>9.9499999999999993</v>
      </c>
    </row>
    <row r="1602" spans="1:6">
      <c r="A1602" t="s">
        <v>6</v>
      </c>
      <c r="B1602" t="s">
        <v>596</v>
      </c>
      <c r="C1602" s="1" t="s">
        <v>611</v>
      </c>
      <c r="D1602" s="7">
        <v>6409</v>
      </c>
      <c r="E1602" t="s">
        <v>11</v>
      </c>
      <c r="F1602" s="9">
        <v>9.56</v>
      </c>
    </row>
    <row r="1603" spans="1:6">
      <c r="A1603" t="s">
        <v>6</v>
      </c>
      <c r="B1603" t="s">
        <v>596</v>
      </c>
      <c r="C1603" s="1" t="s">
        <v>612</v>
      </c>
      <c r="D1603" s="7">
        <v>6414</v>
      </c>
      <c r="E1603" t="s">
        <v>11</v>
      </c>
      <c r="F1603" s="9">
        <v>9.15</v>
      </c>
    </row>
    <row r="1604" spans="1:6">
      <c r="A1604" t="s">
        <v>6</v>
      </c>
      <c r="B1604" t="s">
        <v>596</v>
      </c>
      <c r="C1604" s="1" t="s">
        <v>613</v>
      </c>
      <c r="D1604" s="7">
        <v>5293</v>
      </c>
      <c r="E1604" t="s">
        <v>11</v>
      </c>
      <c r="F1604" s="9">
        <v>9.83</v>
      </c>
    </row>
    <row r="1605" spans="1:6">
      <c r="A1605" t="s">
        <v>6</v>
      </c>
      <c r="B1605" t="s">
        <v>596</v>
      </c>
      <c r="C1605" s="1" t="s">
        <v>614</v>
      </c>
      <c r="D1605" s="7">
        <v>6355</v>
      </c>
      <c r="E1605" t="s">
        <v>11</v>
      </c>
      <c r="F1605" s="9">
        <v>9.9499999999999993</v>
      </c>
    </row>
    <row r="1606" spans="1:6">
      <c r="A1606" t="s">
        <v>6</v>
      </c>
      <c r="B1606" t="s">
        <v>596</v>
      </c>
      <c r="C1606" s="1" t="s">
        <v>529</v>
      </c>
      <c r="D1606" s="7">
        <v>6360</v>
      </c>
      <c r="E1606" t="s">
        <v>11</v>
      </c>
      <c r="F1606" s="9">
        <v>9.92</v>
      </c>
    </row>
    <row r="1607" spans="1:6">
      <c r="A1607" t="s">
        <v>6</v>
      </c>
      <c r="B1607" t="s">
        <v>596</v>
      </c>
      <c r="C1607" s="1" t="s">
        <v>615</v>
      </c>
      <c r="D1607" s="7">
        <v>6419</v>
      </c>
      <c r="E1607" t="s">
        <v>11</v>
      </c>
      <c r="F1607" s="9">
        <v>8.3000000000000007</v>
      </c>
    </row>
    <row r="1608" spans="1:6">
      <c r="A1608" t="s">
        <v>6</v>
      </c>
      <c r="B1608" t="s">
        <v>596</v>
      </c>
      <c r="C1608" s="1" t="s">
        <v>616</v>
      </c>
      <c r="D1608" s="7">
        <v>5257</v>
      </c>
      <c r="E1608" t="s">
        <v>11</v>
      </c>
      <c r="F1608" s="9">
        <v>9.91</v>
      </c>
    </row>
    <row r="1609" spans="1:6">
      <c r="A1609" t="s">
        <v>6</v>
      </c>
      <c r="B1609" t="s">
        <v>596</v>
      </c>
      <c r="C1609" s="1" t="s">
        <v>617</v>
      </c>
      <c r="D1609" s="7">
        <v>5269</v>
      </c>
      <c r="E1609" t="s">
        <v>11</v>
      </c>
      <c r="F1609" s="9">
        <v>10.48</v>
      </c>
    </row>
    <row r="1610" spans="1:6">
      <c r="A1610" t="s">
        <v>6</v>
      </c>
      <c r="B1610" t="s">
        <v>596</v>
      </c>
      <c r="C1610" s="1" t="s">
        <v>618</v>
      </c>
      <c r="D1610" s="7">
        <v>6379</v>
      </c>
      <c r="E1610" t="s">
        <v>11</v>
      </c>
      <c r="F1610" s="9">
        <v>10.33</v>
      </c>
    </row>
    <row r="1611" spans="1:6">
      <c r="A1611" t="s">
        <v>6</v>
      </c>
      <c r="B1611" t="s">
        <v>596</v>
      </c>
      <c r="C1611" s="1" t="s">
        <v>619</v>
      </c>
      <c r="D1611" s="7">
        <v>2929</v>
      </c>
      <c r="E1611" t="s">
        <v>11</v>
      </c>
      <c r="F1611" s="9">
        <v>10.7</v>
      </c>
    </row>
    <row r="1612" spans="1:6">
      <c r="A1612" t="s">
        <v>6</v>
      </c>
      <c r="B1612" t="s">
        <v>596</v>
      </c>
      <c r="C1612" s="1" t="s">
        <v>620</v>
      </c>
      <c r="D1612" s="7">
        <v>2937</v>
      </c>
      <c r="E1612" t="s">
        <v>11</v>
      </c>
      <c r="F1612" s="9">
        <v>10.6</v>
      </c>
    </row>
    <row r="1613" spans="1:6">
      <c r="A1613" t="s">
        <v>6</v>
      </c>
      <c r="B1613" t="s">
        <v>596</v>
      </c>
      <c r="C1613" s="1" t="s">
        <v>621</v>
      </c>
      <c r="D1613" s="7">
        <v>2941</v>
      </c>
      <c r="E1613" t="s">
        <v>11</v>
      </c>
      <c r="F1613" s="9">
        <v>10.9</v>
      </c>
    </row>
    <row r="1614" spans="1:6">
      <c r="A1614" t="s">
        <v>6</v>
      </c>
      <c r="B1614" t="s">
        <v>596</v>
      </c>
      <c r="C1614" s="1" t="s">
        <v>622</v>
      </c>
      <c r="D1614" s="7">
        <v>3089</v>
      </c>
      <c r="E1614" t="s">
        <v>11</v>
      </c>
      <c r="F1614" s="9">
        <v>10.3</v>
      </c>
    </row>
    <row r="1615" spans="1:6">
      <c r="A1615" t="s">
        <v>6</v>
      </c>
      <c r="B1615" t="s">
        <v>596</v>
      </c>
      <c r="C1615" s="1" t="s">
        <v>623</v>
      </c>
      <c r="D1615" s="7">
        <v>4461</v>
      </c>
      <c r="E1615" t="s">
        <v>11</v>
      </c>
      <c r="F1615" s="9">
        <v>9.6</v>
      </c>
    </row>
    <row r="1616" spans="1:6">
      <c r="A1616" t="s">
        <v>6</v>
      </c>
      <c r="B1616" t="s">
        <v>596</v>
      </c>
      <c r="C1616" s="1" t="s">
        <v>624</v>
      </c>
      <c r="D1616" s="7">
        <v>4465</v>
      </c>
      <c r="E1616" t="s">
        <v>11</v>
      </c>
      <c r="F1616" s="9">
        <v>10.199999999999999</v>
      </c>
    </row>
    <row r="1617" spans="1:6">
      <c r="A1617" t="s">
        <v>6</v>
      </c>
      <c r="B1617" t="s">
        <v>596</v>
      </c>
      <c r="C1617" s="1" t="s">
        <v>602</v>
      </c>
      <c r="D1617" s="7">
        <v>6351</v>
      </c>
      <c r="E1617" t="s">
        <v>12</v>
      </c>
      <c r="F1617" s="9">
        <v>2.82</v>
      </c>
    </row>
    <row r="1618" spans="1:6">
      <c r="A1618" t="s">
        <v>6</v>
      </c>
      <c r="B1618" t="s">
        <v>596</v>
      </c>
      <c r="C1618" s="1" t="s">
        <v>603</v>
      </c>
      <c r="D1618" s="7">
        <v>6370</v>
      </c>
      <c r="E1618" t="s">
        <v>12</v>
      </c>
      <c r="F1618" s="9">
        <v>3.09</v>
      </c>
    </row>
    <row r="1619" spans="1:6">
      <c r="A1619" t="s">
        <v>6</v>
      </c>
      <c r="B1619" t="s">
        <v>596</v>
      </c>
      <c r="C1619" s="1" t="s">
        <v>604</v>
      </c>
      <c r="D1619" s="7">
        <v>6375</v>
      </c>
      <c r="E1619" t="s">
        <v>12</v>
      </c>
      <c r="F1619" s="9">
        <v>3.02</v>
      </c>
    </row>
    <row r="1620" spans="1:6">
      <c r="A1620" t="s">
        <v>6</v>
      </c>
      <c r="B1620" t="s">
        <v>596</v>
      </c>
      <c r="C1620" s="1" t="s">
        <v>605</v>
      </c>
      <c r="D1620" s="7">
        <v>6385</v>
      </c>
      <c r="E1620" t="s">
        <v>12</v>
      </c>
      <c r="F1620" s="9">
        <v>3.22</v>
      </c>
    </row>
    <row r="1621" spans="1:6">
      <c r="A1621" t="s">
        <v>6</v>
      </c>
      <c r="B1621" t="s">
        <v>596</v>
      </c>
      <c r="C1621" s="1" t="s">
        <v>606</v>
      </c>
      <c r="D1621" s="7">
        <v>6390</v>
      </c>
      <c r="E1621" t="s">
        <v>12</v>
      </c>
      <c r="F1621" s="9">
        <v>3.31</v>
      </c>
    </row>
    <row r="1622" spans="1:6">
      <c r="A1622" t="s">
        <v>6</v>
      </c>
      <c r="B1622" t="s">
        <v>596</v>
      </c>
      <c r="C1622" s="1" t="s">
        <v>607</v>
      </c>
      <c r="D1622" s="7">
        <v>6395</v>
      </c>
      <c r="E1622" t="s">
        <v>12</v>
      </c>
      <c r="F1622" s="9">
        <v>3.38</v>
      </c>
    </row>
    <row r="1623" spans="1:6">
      <c r="A1623" t="s">
        <v>6</v>
      </c>
      <c r="B1623" t="s">
        <v>596</v>
      </c>
      <c r="C1623" s="1" t="s">
        <v>608</v>
      </c>
      <c r="D1623" s="7">
        <v>6400</v>
      </c>
      <c r="E1623" t="s">
        <v>12</v>
      </c>
      <c r="F1623" s="9">
        <v>3.18</v>
      </c>
    </row>
    <row r="1624" spans="1:6">
      <c r="A1624" t="s">
        <v>6</v>
      </c>
      <c r="B1624" t="s">
        <v>596</v>
      </c>
      <c r="C1624" s="1" t="s">
        <v>610</v>
      </c>
      <c r="D1624" s="7">
        <v>6405</v>
      </c>
      <c r="E1624" t="s">
        <v>12</v>
      </c>
      <c r="F1624" s="9">
        <v>3</v>
      </c>
    </row>
    <row r="1625" spans="1:6">
      <c r="A1625" t="s">
        <v>6</v>
      </c>
      <c r="B1625" t="s">
        <v>596</v>
      </c>
      <c r="C1625" s="1" t="s">
        <v>611</v>
      </c>
      <c r="D1625" s="7">
        <v>6410</v>
      </c>
      <c r="E1625" t="s">
        <v>12</v>
      </c>
      <c r="F1625" s="9">
        <v>3.14</v>
      </c>
    </row>
    <row r="1626" spans="1:6">
      <c r="A1626" t="s">
        <v>6</v>
      </c>
      <c r="B1626" t="s">
        <v>596</v>
      </c>
      <c r="C1626" s="1" t="s">
        <v>612</v>
      </c>
      <c r="D1626" s="7">
        <v>6415</v>
      </c>
      <c r="E1626" t="s">
        <v>12</v>
      </c>
      <c r="F1626" s="9">
        <v>2.98</v>
      </c>
    </row>
    <row r="1627" spans="1:6">
      <c r="A1627" t="s">
        <v>6</v>
      </c>
      <c r="B1627" t="s">
        <v>596</v>
      </c>
      <c r="C1627" s="1" t="s">
        <v>625</v>
      </c>
      <c r="D1627" s="7">
        <v>5446</v>
      </c>
      <c r="E1627" t="s">
        <v>12</v>
      </c>
      <c r="F1627" s="9">
        <v>3.09</v>
      </c>
    </row>
    <row r="1628" spans="1:6">
      <c r="A1628" t="s">
        <v>6</v>
      </c>
      <c r="B1628" t="s">
        <v>596</v>
      </c>
      <c r="C1628" s="1" t="s">
        <v>626</v>
      </c>
      <c r="D1628" s="7">
        <v>5450</v>
      </c>
      <c r="E1628" t="s">
        <v>12</v>
      </c>
      <c r="F1628" s="9">
        <v>3.26</v>
      </c>
    </row>
    <row r="1629" spans="1:6">
      <c r="A1629" t="s">
        <v>6</v>
      </c>
      <c r="B1629" t="s">
        <v>596</v>
      </c>
      <c r="C1629" s="1" t="s">
        <v>613</v>
      </c>
      <c r="D1629" s="7">
        <v>5294</v>
      </c>
      <c r="E1629" t="s">
        <v>12</v>
      </c>
      <c r="F1629" s="9">
        <v>2.95</v>
      </c>
    </row>
    <row r="1630" spans="1:6">
      <c r="A1630" t="s">
        <v>6</v>
      </c>
      <c r="B1630" t="s">
        <v>596</v>
      </c>
      <c r="C1630" s="1" t="s">
        <v>614</v>
      </c>
      <c r="D1630" s="7">
        <v>6356</v>
      </c>
      <c r="E1630" t="s">
        <v>12</v>
      </c>
      <c r="F1630" s="9">
        <v>3.13</v>
      </c>
    </row>
    <row r="1631" spans="1:6">
      <c r="A1631" t="s">
        <v>6</v>
      </c>
      <c r="B1631" t="s">
        <v>596</v>
      </c>
      <c r="C1631" s="1" t="s">
        <v>529</v>
      </c>
      <c r="D1631" s="7">
        <v>6361</v>
      </c>
      <c r="E1631" t="s">
        <v>12</v>
      </c>
      <c r="F1631" s="9">
        <v>3.34</v>
      </c>
    </row>
    <row r="1632" spans="1:6">
      <c r="A1632" t="s">
        <v>6</v>
      </c>
      <c r="B1632" t="s">
        <v>596</v>
      </c>
      <c r="C1632" s="1" t="s">
        <v>615</v>
      </c>
      <c r="D1632" s="7">
        <v>6420</v>
      </c>
      <c r="E1632" t="s">
        <v>12</v>
      </c>
      <c r="F1632" s="9">
        <v>2.67</v>
      </c>
    </row>
    <row r="1633" spans="1:6">
      <c r="A1633" t="s">
        <v>6</v>
      </c>
      <c r="B1633" t="s">
        <v>596</v>
      </c>
      <c r="C1633" s="1" t="s">
        <v>616</v>
      </c>
      <c r="D1633" s="7">
        <v>5254</v>
      </c>
      <c r="E1633" t="s">
        <v>12</v>
      </c>
      <c r="F1633" s="9">
        <v>3.18</v>
      </c>
    </row>
    <row r="1634" spans="1:6">
      <c r="A1634" t="s">
        <v>6</v>
      </c>
      <c r="B1634" t="s">
        <v>596</v>
      </c>
      <c r="C1634" s="1" t="s">
        <v>616</v>
      </c>
      <c r="D1634" s="7">
        <v>5258</v>
      </c>
      <c r="E1634" t="s">
        <v>12</v>
      </c>
      <c r="F1634" s="9">
        <v>2.91</v>
      </c>
    </row>
    <row r="1635" spans="1:6">
      <c r="A1635" t="s">
        <v>6</v>
      </c>
      <c r="B1635" t="s">
        <v>596</v>
      </c>
      <c r="C1635" s="1" t="s">
        <v>617</v>
      </c>
      <c r="D1635" s="7">
        <v>5270</v>
      </c>
      <c r="E1635" t="s">
        <v>12</v>
      </c>
      <c r="F1635" s="9">
        <v>3.32</v>
      </c>
    </row>
    <row r="1636" spans="1:6">
      <c r="A1636" t="s">
        <v>6</v>
      </c>
      <c r="B1636" t="s">
        <v>596</v>
      </c>
      <c r="C1636" s="1" t="s">
        <v>618</v>
      </c>
      <c r="D1636" s="7">
        <v>6380</v>
      </c>
      <c r="E1636" t="s">
        <v>12</v>
      </c>
      <c r="F1636" s="9">
        <v>3.31</v>
      </c>
    </row>
    <row r="1637" spans="1:6">
      <c r="A1637" t="s">
        <v>6</v>
      </c>
      <c r="B1637" t="s">
        <v>627</v>
      </c>
      <c r="C1637" s="3" t="s">
        <v>628</v>
      </c>
      <c r="D1637" s="7">
        <v>353</v>
      </c>
      <c r="E1637" s="2" t="s">
        <v>9</v>
      </c>
      <c r="F1637" s="10">
        <v>3.4</v>
      </c>
    </row>
    <row r="1638" spans="1:6">
      <c r="A1638" t="s">
        <v>6</v>
      </c>
      <c r="B1638" t="s">
        <v>627</v>
      </c>
      <c r="C1638" s="3" t="s">
        <v>629</v>
      </c>
      <c r="D1638" s="7">
        <v>357</v>
      </c>
      <c r="E1638" s="2" t="s">
        <v>9</v>
      </c>
      <c r="F1638" s="10">
        <v>3.4</v>
      </c>
    </row>
    <row r="1639" spans="1:6">
      <c r="A1639" t="s">
        <v>6</v>
      </c>
      <c r="B1639" t="s">
        <v>627</v>
      </c>
      <c r="C1639" s="3" t="s">
        <v>630</v>
      </c>
      <c r="D1639" s="7">
        <v>361</v>
      </c>
      <c r="E1639" s="2" t="s">
        <v>9</v>
      </c>
      <c r="F1639" s="10">
        <v>3.5</v>
      </c>
    </row>
    <row r="1640" spans="1:6">
      <c r="A1640" t="s">
        <v>6</v>
      </c>
      <c r="B1640" t="s">
        <v>627</v>
      </c>
      <c r="C1640" s="3" t="s">
        <v>631</v>
      </c>
      <c r="D1640" s="7">
        <v>365</v>
      </c>
      <c r="E1640" s="2" t="s">
        <v>9</v>
      </c>
      <c r="F1640" s="10">
        <v>3.1</v>
      </c>
    </row>
    <row r="1641" spans="1:6">
      <c r="A1641" t="s">
        <v>6</v>
      </c>
      <c r="B1641" t="s">
        <v>627</v>
      </c>
      <c r="C1641" s="1" t="s">
        <v>632</v>
      </c>
      <c r="D1641" s="7">
        <v>4374</v>
      </c>
      <c r="E1641" t="s">
        <v>9</v>
      </c>
      <c r="F1641" s="9">
        <v>3.2</v>
      </c>
    </row>
    <row r="1642" spans="1:6">
      <c r="A1642" t="s">
        <v>6</v>
      </c>
      <c r="B1642" t="s">
        <v>627</v>
      </c>
      <c r="C1642" s="1" t="s">
        <v>633</v>
      </c>
      <c r="D1642" s="7">
        <v>4378</v>
      </c>
      <c r="E1642" t="s">
        <v>9</v>
      </c>
      <c r="F1642" s="9">
        <v>3.3</v>
      </c>
    </row>
    <row r="1643" spans="1:6">
      <c r="A1643" t="s">
        <v>6</v>
      </c>
      <c r="B1643" t="s">
        <v>627</v>
      </c>
      <c r="C1643" s="1" t="s">
        <v>634</v>
      </c>
      <c r="D1643" s="7">
        <v>4382</v>
      </c>
      <c r="E1643" t="s">
        <v>9</v>
      </c>
      <c r="F1643" s="9">
        <v>3.3</v>
      </c>
    </row>
    <row r="1644" spans="1:6">
      <c r="A1644" t="s">
        <v>6</v>
      </c>
      <c r="B1644" t="s">
        <v>627</v>
      </c>
      <c r="C1644" s="1" t="s">
        <v>635</v>
      </c>
      <c r="D1644" s="7">
        <v>4386</v>
      </c>
      <c r="E1644" t="s">
        <v>9</v>
      </c>
      <c r="F1644" s="9">
        <v>3.4</v>
      </c>
    </row>
    <row r="1645" spans="1:6">
      <c r="A1645" t="s">
        <v>6</v>
      </c>
      <c r="B1645" s="6" t="s">
        <v>627</v>
      </c>
      <c r="C1645" s="3" t="s">
        <v>636</v>
      </c>
      <c r="D1645" s="7">
        <v>237</v>
      </c>
      <c r="E1645" s="2" t="s">
        <v>9</v>
      </c>
      <c r="F1645" s="10">
        <v>3.2</v>
      </c>
    </row>
    <row r="1646" spans="1:6">
      <c r="A1646" t="s">
        <v>6</v>
      </c>
      <c r="B1646" t="s">
        <v>627</v>
      </c>
      <c r="C1646" s="1" t="s">
        <v>636</v>
      </c>
      <c r="D1646" s="7">
        <v>4390</v>
      </c>
      <c r="E1646" t="s">
        <v>9</v>
      </c>
      <c r="F1646" s="9">
        <v>3.1</v>
      </c>
    </row>
    <row r="1647" spans="1:6">
      <c r="A1647" t="s">
        <v>6</v>
      </c>
      <c r="B1647" s="6" t="s">
        <v>627</v>
      </c>
      <c r="C1647" s="3" t="s">
        <v>637</v>
      </c>
      <c r="D1647" s="7">
        <v>241</v>
      </c>
      <c r="E1647" s="2" t="s">
        <v>9</v>
      </c>
      <c r="F1647" s="10">
        <v>3.5</v>
      </c>
    </row>
    <row r="1648" spans="1:6">
      <c r="A1648" t="s">
        <v>6</v>
      </c>
      <c r="B1648" t="s">
        <v>627</v>
      </c>
      <c r="C1648" s="1" t="s">
        <v>637</v>
      </c>
      <c r="D1648" s="7">
        <v>4394</v>
      </c>
      <c r="E1648" t="s">
        <v>9</v>
      </c>
      <c r="F1648" s="9">
        <v>3.3</v>
      </c>
    </row>
    <row r="1649" spans="1:6">
      <c r="A1649" t="s">
        <v>6</v>
      </c>
      <c r="B1649" s="6" t="s">
        <v>627</v>
      </c>
      <c r="C1649" s="3" t="s">
        <v>638</v>
      </c>
      <c r="D1649" s="7">
        <v>245</v>
      </c>
      <c r="E1649" s="2" t="s">
        <v>9</v>
      </c>
      <c r="F1649" s="10">
        <v>3.2</v>
      </c>
    </row>
    <row r="1650" spans="1:6">
      <c r="A1650" t="s">
        <v>6</v>
      </c>
      <c r="B1650" t="s">
        <v>627</v>
      </c>
      <c r="C1650" s="1" t="s">
        <v>639</v>
      </c>
      <c r="D1650" s="7">
        <v>5465</v>
      </c>
      <c r="E1650" t="s">
        <v>9</v>
      </c>
      <c r="F1650" s="9">
        <v>3.04</v>
      </c>
    </row>
    <row r="1651" spans="1:6">
      <c r="A1651" t="s">
        <v>6</v>
      </c>
      <c r="B1651" t="s">
        <v>627</v>
      </c>
      <c r="C1651" s="1" t="s">
        <v>640</v>
      </c>
      <c r="D1651" s="7">
        <v>5356</v>
      </c>
      <c r="E1651" t="s">
        <v>9</v>
      </c>
      <c r="F1651" s="9">
        <v>3.13</v>
      </c>
    </row>
    <row r="1652" spans="1:6">
      <c r="A1652" t="s">
        <v>6</v>
      </c>
      <c r="B1652" t="s">
        <v>627</v>
      </c>
      <c r="C1652" s="1" t="s">
        <v>641</v>
      </c>
      <c r="D1652" s="7">
        <v>2978</v>
      </c>
      <c r="E1652" t="s">
        <v>9</v>
      </c>
      <c r="F1652" s="9">
        <v>3.1</v>
      </c>
    </row>
    <row r="1653" spans="1:6">
      <c r="A1653" t="s">
        <v>6</v>
      </c>
      <c r="B1653" t="s">
        <v>627</v>
      </c>
      <c r="C1653" s="1" t="s">
        <v>642</v>
      </c>
      <c r="D1653" s="7">
        <v>3030</v>
      </c>
      <c r="E1653" t="s">
        <v>9</v>
      </c>
      <c r="F1653" s="9">
        <v>3.2</v>
      </c>
    </row>
    <row r="1654" spans="1:6">
      <c r="A1654" t="s">
        <v>6</v>
      </c>
      <c r="B1654" t="s">
        <v>627</v>
      </c>
      <c r="C1654" s="1" t="s">
        <v>643</v>
      </c>
      <c r="D1654" s="7">
        <v>3346</v>
      </c>
      <c r="E1654" t="s">
        <v>9</v>
      </c>
      <c r="F1654" s="9">
        <v>3.5</v>
      </c>
    </row>
    <row r="1655" spans="1:6">
      <c r="A1655" t="s">
        <v>6</v>
      </c>
      <c r="B1655" t="s">
        <v>627</v>
      </c>
      <c r="C1655" s="1" t="s">
        <v>644</v>
      </c>
      <c r="D1655" s="7">
        <v>4370</v>
      </c>
      <c r="E1655" t="s">
        <v>9</v>
      </c>
      <c r="F1655" s="9">
        <v>3.3</v>
      </c>
    </row>
    <row r="1656" spans="1:6">
      <c r="A1656" t="s">
        <v>6</v>
      </c>
      <c r="B1656" t="s">
        <v>627</v>
      </c>
      <c r="C1656" s="1" t="s">
        <v>645</v>
      </c>
      <c r="D1656" s="7">
        <v>3534</v>
      </c>
      <c r="E1656" t="s">
        <v>9</v>
      </c>
      <c r="F1656" s="9">
        <v>3.1</v>
      </c>
    </row>
    <row r="1657" spans="1:6">
      <c r="A1657" t="s">
        <v>6</v>
      </c>
      <c r="B1657" t="s">
        <v>627</v>
      </c>
      <c r="C1657" s="3" t="s">
        <v>628</v>
      </c>
      <c r="D1657" s="7">
        <v>351</v>
      </c>
      <c r="E1657" s="2" t="s">
        <v>10</v>
      </c>
      <c r="F1657" s="10">
        <v>6.6</v>
      </c>
    </row>
    <row r="1658" spans="1:6">
      <c r="A1658" t="s">
        <v>6</v>
      </c>
      <c r="B1658" t="s">
        <v>627</v>
      </c>
      <c r="C1658" s="3" t="s">
        <v>629</v>
      </c>
      <c r="D1658" s="7">
        <v>355</v>
      </c>
      <c r="E1658" s="2" t="s">
        <v>10</v>
      </c>
      <c r="F1658" s="10">
        <v>8.6999999999999993</v>
      </c>
    </row>
    <row r="1659" spans="1:6">
      <c r="A1659" t="s">
        <v>6</v>
      </c>
      <c r="B1659" t="s">
        <v>627</v>
      </c>
      <c r="C1659" s="3" t="s">
        <v>630</v>
      </c>
      <c r="D1659" s="7">
        <v>359</v>
      </c>
      <c r="E1659" s="2" t="s">
        <v>10</v>
      </c>
      <c r="F1659" s="10">
        <v>9.8000000000000007</v>
      </c>
    </row>
    <row r="1660" spans="1:6">
      <c r="A1660" t="s">
        <v>6</v>
      </c>
      <c r="B1660" t="s">
        <v>627</v>
      </c>
      <c r="C1660" s="3" t="s">
        <v>631</v>
      </c>
      <c r="D1660" s="7">
        <v>363</v>
      </c>
      <c r="E1660" s="2" t="s">
        <v>10</v>
      </c>
      <c r="F1660" s="10">
        <v>9.3000000000000007</v>
      </c>
    </row>
    <row r="1661" spans="1:6">
      <c r="A1661" t="s">
        <v>6</v>
      </c>
      <c r="B1661" t="s">
        <v>627</v>
      </c>
      <c r="C1661" s="1" t="s">
        <v>632</v>
      </c>
      <c r="D1661" s="7">
        <v>4375</v>
      </c>
      <c r="E1661" t="s">
        <v>10</v>
      </c>
      <c r="F1661" s="9">
        <v>6.4</v>
      </c>
    </row>
    <row r="1662" spans="1:6">
      <c r="A1662" t="s">
        <v>6</v>
      </c>
      <c r="B1662" t="s">
        <v>627</v>
      </c>
      <c r="C1662" s="1" t="s">
        <v>633</v>
      </c>
      <c r="D1662" s="7">
        <v>4379</v>
      </c>
      <c r="E1662" t="s">
        <v>10</v>
      </c>
      <c r="F1662" s="9">
        <v>6.8</v>
      </c>
    </row>
    <row r="1663" spans="1:6">
      <c r="A1663" t="s">
        <v>6</v>
      </c>
      <c r="B1663" t="s">
        <v>627</v>
      </c>
      <c r="C1663" s="1" t="s">
        <v>634</v>
      </c>
      <c r="D1663" s="7">
        <v>4383</v>
      </c>
      <c r="E1663" t="s">
        <v>10</v>
      </c>
      <c r="F1663" s="9">
        <v>5.4</v>
      </c>
    </row>
    <row r="1664" spans="1:6">
      <c r="A1664" t="s">
        <v>6</v>
      </c>
      <c r="B1664" t="s">
        <v>627</v>
      </c>
      <c r="C1664" s="1" t="s">
        <v>635</v>
      </c>
      <c r="D1664" s="7">
        <v>4387</v>
      </c>
      <c r="E1664" t="s">
        <v>10</v>
      </c>
      <c r="F1664" s="9">
        <v>6.2</v>
      </c>
    </row>
    <row r="1665" spans="1:6">
      <c r="A1665" t="s">
        <v>6</v>
      </c>
      <c r="B1665" s="6" t="s">
        <v>627</v>
      </c>
      <c r="C1665" s="3" t="s">
        <v>636</v>
      </c>
      <c r="D1665" s="7">
        <v>235</v>
      </c>
      <c r="E1665" s="2" t="s">
        <v>10</v>
      </c>
      <c r="F1665" s="10">
        <v>12.7</v>
      </c>
    </row>
    <row r="1666" spans="1:6">
      <c r="A1666" t="s">
        <v>6</v>
      </c>
      <c r="B1666" t="s">
        <v>627</v>
      </c>
      <c r="C1666" s="1" t="s">
        <v>636</v>
      </c>
      <c r="D1666" s="7">
        <v>4391</v>
      </c>
      <c r="E1666" t="s">
        <v>10</v>
      </c>
      <c r="F1666" s="9">
        <v>6.3</v>
      </c>
    </row>
    <row r="1667" spans="1:6">
      <c r="A1667" t="s">
        <v>6</v>
      </c>
      <c r="B1667" s="6" t="s">
        <v>627</v>
      </c>
      <c r="C1667" s="3" t="s">
        <v>637</v>
      </c>
      <c r="D1667" s="7">
        <v>239</v>
      </c>
      <c r="E1667" s="2" t="s">
        <v>10</v>
      </c>
      <c r="F1667" s="10">
        <v>9.9</v>
      </c>
    </row>
    <row r="1668" spans="1:6">
      <c r="A1668" t="s">
        <v>6</v>
      </c>
      <c r="B1668" t="s">
        <v>627</v>
      </c>
      <c r="C1668" s="1" t="s">
        <v>637</v>
      </c>
      <c r="D1668" s="7">
        <v>4395</v>
      </c>
      <c r="E1668" t="s">
        <v>10</v>
      </c>
      <c r="F1668" s="9">
        <v>6</v>
      </c>
    </row>
    <row r="1669" spans="1:6">
      <c r="A1669" t="s">
        <v>6</v>
      </c>
      <c r="B1669" s="6" t="s">
        <v>627</v>
      </c>
      <c r="C1669" s="3" t="s">
        <v>638</v>
      </c>
      <c r="D1669" s="7">
        <v>243</v>
      </c>
      <c r="E1669" s="2" t="s">
        <v>10</v>
      </c>
      <c r="F1669" s="10">
        <v>11</v>
      </c>
    </row>
    <row r="1670" spans="1:6">
      <c r="A1670" t="s">
        <v>6</v>
      </c>
      <c r="B1670" t="s">
        <v>627</v>
      </c>
      <c r="C1670" s="1" t="s">
        <v>641</v>
      </c>
      <c r="D1670" s="7">
        <v>2979</v>
      </c>
      <c r="E1670" t="s">
        <v>10</v>
      </c>
      <c r="F1670" s="9">
        <v>6.9</v>
      </c>
    </row>
    <row r="1671" spans="1:6">
      <c r="A1671" t="s">
        <v>6</v>
      </c>
      <c r="B1671" t="s">
        <v>627</v>
      </c>
      <c r="C1671" s="1" t="s">
        <v>642</v>
      </c>
      <c r="D1671" s="7">
        <v>3031</v>
      </c>
      <c r="E1671" t="s">
        <v>10</v>
      </c>
      <c r="F1671" s="9">
        <v>8.1999999999999993</v>
      </c>
    </row>
    <row r="1672" spans="1:6">
      <c r="A1672" t="s">
        <v>6</v>
      </c>
      <c r="B1672" t="s">
        <v>627</v>
      </c>
      <c r="C1672" s="1" t="s">
        <v>643</v>
      </c>
      <c r="D1672" s="7">
        <v>3347</v>
      </c>
      <c r="E1672" t="s">
        <v>10</v>
      </c>
      <c r="F1672" s="9">
        <v>8.6999999999999993</v>
      </c>
    </row>
    <row r="1673" spans="1:6">
      <c r="A1673" t="s">
        <v>6</v>
      </c>
      <c r="B1673" t="s">
        <v>627</v>
      </c>
      <c r="C1673" s="1" t="s">
        <v>644</v>
      </c>
      <c r="D1673" s="7">
        <v>4371</v>
      </c>
      <c r="E1673" t="s">
        <v>10</v>
      </c>
      <c r="F1673" s="9">
        <v>5.7</v>
      </c>
    </row>
    <row r="1674" spans="1:6">
      <c r="A1674" t="s">
        <v>6</v>
      </c>
      <c r="B1674" t="s">
        <v>627</v>
      </c>
      <c r="C1674" s="1" t="s">
        <v>645</v>
      </c>
      <c r="D1674" s="7">
        <v>3535</v>
      </c>
      <c r="E1674" t="s">
        <v>10</v>
      </c>
      <c r="F1674" s="9">
        <v>8.8000000000000007</v>
      </c>
    </row>
    <row r="1675" spans="1:6">
      <c r="A1675" t="s">
        <v>6</v>
      </c>
      <c r="B1675" t="s">
        <v>627</v>
      </c>
      <c r="C1675" s="3" t="s">
        <v>628</v>
      </c>
      <c r="D1675" s="7">
        <v>352</v>
      </c>
      <c r="E1675" s="2" t="s">
        <v>11</v>
      </c>
      <c r="F1675" s="10">
        <v>7.4</v>
      </c>
    </row>
    <row r="1676" spans="1:6">
      <c r="A1676" t="s">
        <v>6</v>
      </c>
      <c r="B1676" t="s">
        <v>627</v>
      </c>
      <c r="C1676" s="3" t="s">
        <v>629</v>
      </c>
      <c r="D1676" s="7">
        <v>356</v>
      </c>
      <c r="E1676" s="2" t="s">
        <v>11</v>
      </c>
      <c r="F1676" s="10">
        <v>8.1999999999999993</v>
      </c>
    </row>
    <row r="1677" spans="1:6">
      <c r="A1677" t="s">
        <v>6</v>
      </c>
      <c r="B1677" t="s">
        <v>627</v>
      </c>
      <c r="C1677" s="3" t="s">
        <v>630</v>
      </c>
      <c r="D1677" s="7">
        <v>360</v>
      </c>
      <c r="E1677" s="2" t="s">
        <v>11</v>
      </c>
      <c r="F1677" s="10">
        <v>8.5</v>
      </c>
    </row>
    <row r="1678" spans="1:6">
      <c r="A1678" t="s">
        <v>6</v>
      </c>
      <c r="B1678" t="s">
        <v>627</v>
      </c>
      <c r="C1678" s="3" t="s">
        <v>631</v>
      </c>
      <c r="D1678" s="7">
        <v>364</v>
      </c>
      <c r="E1678" s="2" t="s">
        <v>11</v>
      </c>
      <c r="F1678" s="10">
        <v>7.8</v>
      </c>
    </row>
    <row r="1679" spans="1:6">
      <c r="A1679" t="s">
        <v>6</v>
      </c>
      <c r="B1679" t="s">
        <v>627</v>
      </c>
      <c r="C1679" s="1" t="s">
        <v>632</v>
      </c>
      <c r="D1679" s="7">
        <v>4373</v>
      </c>
      <c r="E1679" t="s">
        <v>11</v>
      </c>
      <c r="F1679" s="9">
        <v>8.1999999999999993</v>
      </c>
    </row>
    <row r="1680" spans="1:6">
      <c r="A1680" t="s">
        <v>6</v>
      </c>
      <c r="B1680" t="s">
        <v>627</v>
      </c>
      <c r="C1680" s="1" t="s">
        <v>633</v>
      </c>
      <c r="D1680" s="7">
        <v>4377</v>
      </c>
      <c r="E1680" t="s">
        <v>11</v>
      </c>
      <c r="F1680" s="9">
        <v>7.7</v>
      </c>
    </row>
    <row r="1681" spans="1:6">
      <c r="A1681" t="s">
        <v>6</v>
      </c>
      <c r="B1681" t="s">
        <v>627</v>
      </c>
      <c r="C1681" s="1" t="s">
        <v>634</v>
      </c>
      <c r="D1681" s="7">
        <v>4381</v>
      </c>
      <c r="E1681" t="s">
        <v>11</v>
      </c>
      <c r="F1681" s="9">
        <v>8.5</v>
      </c>
    </row>
    <row r="1682" spans="1:6">
      <c r="A1682" t="s">
        <v>6</v>
      </c>
      <c r="B1682" t="s">
        <v>627</v>
      </c>
      <c r="C1682" s="1" t="s">
        <v>635</v>
      </c>
      <c r="D1682" s="7">
        <v>4385</v>
      </c>
      <c r="E1682" t="s">
        <v>11</v>
      </c>
      <c r="F1682" s="9">
        <v>7.8</v>
      </c>
    </row>
    <row r="1683" spans="1:6">
      <c r="A1683" t="s">
        <v>6</v>
      </c>
      <c r="B1683" s="6" t="s">
        <v>627</v>
      </c>
      <c r="C1683" s="3" t="s">
        <v>636</v>
      </c>
      <c r="D1683" s="7">
        <v>236</v>
      </c>
      <c r="E1683" s="2" t="s">
        <v>11</v>
      </c>
      <c r="F1683" s="10">
        <v>7.2</v>
      </c>
    </row>
    <row r="1684" spans="1:6">
      <c r="A1684" t="s">
        <v>6</v>
      </c>
      <c r="B1684" t="s">
        <v>627</v>
      </c>
      <c r="C1684" s="1" t="s">
        <v>636</v>
      </c>
      <c r="D1684" s="7">
        <v>4389</v>
      </c>
      <c r="E1684" t="s">
        <v>11</v>
      </c>
      <c r="F1684" s="9">
        <v>8</v>
      </c>
    </row>
    <row r="1685" spans="1:6">
      <c r="A1685" t="s">
        <v>6</v>
      </c>
      <c r="B1685" s="6" t="s">
        <v>627</v>
      </c>
      <c r="C1685" s="3" t="s">
        <v>637</v>
      </c>
      <c r="D1685" s="7">
        <v>240</v>
      </c>
      <c r="E1685" s="2" t="s">
        <v>11</v>
      </c>
      <c r="F1685" s="10">
        <v>7.5</v>
      </c>
    </row>
    <row r="1686" spans="1:6">
      <c r="A1686" t="s">
        <v>6</v>
      </c>
      <c r="B1686" t="s">
        <v>627</v>
      </c>
      <c r="C1686" s="1" t="s">
        <v>637</v>
      </c>
      <c r="D1686" s="7">
        <v>4393</v>
      </c>
      <c r="E1686" t="s">
        <v>11</v>
      </c>
      <c r="F1686" s="9">
        <v>7.3</v>
      </c>
    </row>
    <row r="1687" spans="1:6">
      <c r="A1687" t="s">
        <v>6</v>
      </c>
      <c r="B1687" s="6" t="s">
        <v>627</v>
      </c>
      <c r="C1687" s="3" t="s">
        <v>638</v>
      </c>
      <c r="D1687" s="7">
        <v>244</v>
      </c>
      <c r="E1687" s="2" t="s">
        <v>11</v>
      </c>
      <c r="F1687" s="10">
        <v>7.4</v>
      </c>
    </row>
    <row r="1688" spans="1:6">
      <c r="A1688" t="s">
        <v>6</v>
      </c>
      <c r="B1688" t="s">
        <v>627</v>
      </c>
      <c r="C1688" s="1" t="s">
        <v>639</v>
      </c>
      <c r="D1688" s="7">
        <v>5466</v>
      </c>
      <c r="E1688" t="s">
        <v>11</v>
      </c>
      <c r="F1688" s="9">
        <v>7.81</v>
      </c>
    </row>
    <row r="1689" spans="1:6">
      <c r="A1689" t="s">
        <v>6</v>
      </c>
      <c r="B1689" t="s">
        <v>627</v>
      </c>
      <c r="C1689" s="1" t="s">
        <v>640</v>
      </c>
      <c r="D1689" s="7">
        <v>5357</v>
      </c>
      <c r="E1689" t="s">
        <v>11</v>
      </c>
      <c r="F1689" s="9">
        <v>8.09</v>
      </c>
    </row>
    <row r="1690" spans="1:6">
      <c r="A1690" t="s">
        <v>6</v>
      </c>
      <c r="B1690" t="s">
        <v>627</v>
      </c>
      <c r="C1690" s="1" t="s">
        <v>641</v>
      </c>
      <c r="D1690" s="7">
        <v>2977</v>
      </c>
      <c r="E1690" t="s">
        <v>11</v>
      </c>
      <c r="F1690" s="9">
        <v>8.1</v>
      </c>
    </row>
    <row r="1691" spans="1:6">
      <c r="A1691" t="s">
        <v>6</v>
      </c>
      <c r="B1691" t="s">
        <v>627</v>
      </c>
      <c r="C1691" s="1" t="s">
        <v>642</v>
      </c>
      <c r="D1691" s="7">
        <v>3029</v>
      </c>
      <c r="E1691" t="s">
        <v>11</v>
      </c>
      <c r="F1691" s="9">
        <v>8.1999999999999993</v>
      </c>
    </row>
    <row r="1692" spans="1:6">
      <c r="A1692" t="s">
        <v>6</v>
      </c>
      <c r="B1692" t="s">
        <v>627</v>
      </c>
      <c r="C1692" s="1" t="s">
        <v>643</v>
      </c>
      <c r="D1692" s="7">
        <v>3345</v>
      </c>
      <c r="E1692" t="s">
        <v>11</v>
      </c>
      <c r="F1692" s="9">
        <v>8.9</v>
      </c>
    </row>
    <row r="1693" spans="1:6">
      <c r="A1693" t="s">
        <v>6</v>
      </c>
      <c r="B1693" t="s">
        <v>627</v>
      </c>
      <c r="C1693" s="1" t="s">
        <v>644</v>
      </c>
      <c r="D1693" s="7">
        <v>4369</v>
      </c>
      <c r="E1693" t="s">
        <v>11</v>
      </c>
      <c r="F1693" s="9">
        <v>7</v>
      </c>
    </row>
    <row r="1694" spans="1:6">
      <c r="A1694" t="s">
        <v>6</v>
      </c>
      <c r="B1694" t="s">
        <v>627</v>
      </c>
      <c r="C1694" s="1" t="s">
        <v>645</v>
      </c>
      <c r="D1694" s="7">
        <v>3533</v>
      </c>
      <c r="E1694" t="s">
        <v>11</v>
      </c>
      <c r="F1694" s="9">
        <v>8.6</v>
      </c>
    </row>
    <row r="1695" spans="1:6">
      <c r="A1695" t="s">
        <v>6</v>
      </c>
      <c r="B1695" t="s">
        <v>627</v>
      </c>
      <c r="C1695" s="1" t="s">
        <v>646</v>
      </c>
      <c r="D1695" s="7">
        <v>5483</v>
      </c>
      <c r="E1695" t="s">
        <v>12</v>
      </c>
      <c r="F1695" s="9">
        <v>2.4</v>
      </c>
    </row>
    <row r="1696" spans="1:6">
      <c r="A1696" t="s">
        <v>6</v>
      </c>
      <c r="B1696" t="s">
        <v>627</v>
      </c>
      <c r="C1696" s="1" t="s">
        <v>647</v>
      </c>
      <c r="D1696" s="7">
        <v>5487</v>
      </c>
      <c r="E1696" t="s">
        <v>12</v>
      </c>
      <c r="F1696" s="9">
        <v>2.54</v>
      </c>
    </row>
    <row r="1697" spans="1:6">
      <c r="A1697" t="s">
        <v>6</v>
      </c>
      <c r="B1697" t="s">
        <v>627</v>
      </c>
      <c r="C1697" s="1" t="s">
        <v>648</v>
      </c>
      <c r="D1697" s="7">
        <v>5491</v>
      </c>
      <c r="E1697" t="s">
        <v>12</v>
      </c>
      <c r="F1697" s="9">
        <v>3.34</v>
      </c>
    </row>
    <row r="1698" spans="1:6">
      <c r="A1698" t="s">
        <v>6</v>
      </c>
      <c r="B1698" t="s">
        <v>627</v>
      </c>
      <c r="C1698" s="1" t="s">
        <v>639</v>
      </c>
      <c r="D1698" s="7">
        <v>5467</v>
      </c>
      <c r="E1698" t="s">
        <v>12</v>
      </c>
      <c r="F1698" s="9">
        <v>2.5499999999999998</v>
      </c>
    </row>
    <row r="1699" spans="1:6">
      <c r="A1699" t="s">
        <v>6</v>
      </c>
      <c r="B1699" t="s">
        <v>627</v>
      </c>
      <c r="C1699" s="1" t="s">
        <v>649</v>
      </c>
      <c r="D1699" s="7">
        <v>5471</v>
      </c>
      <c r="E1699" t="s">
        <v>12</v>
      </c>
      <c r="F1699" s="9">
        <v>2.4</v>
      </c>
    </row>
    <row r="1700" spans="1:6">
      <c r="A1700" t="s">
        <v>6</v>
      </c>
      <c r="B1700" t="s">
        <v>627</v>
      </c>
      <c r="C1700" s="1" t="s">
        <v>650</v>
      </c>
      <c r="D1700" s="7">
        <v>5475</v>
      </c>
      <c r="E1700" t="s">
        <v>12</v>
      </c>
      <c r="F1700" s="9">
        <v>2.67</v>
      </c>
    </row>
    <row r="1701" spans="1:6">
      <c r="A1701" t="s">
        <v>6</v>
      </c>
      <c r="B1701" t="s">
        <v>627</v>
      </c>
      <c r="C1701" s="1" t="s">
        <v>651</v>
      </c>
      <c r="D1701" s="7">
        <v>5414</v>
      </c>
      <c r="E1701" t="s">
        <v>12</v>
      </c>
      <c r="F1701" s="9">
        <v>2.67</v>
      </c>
    </row>
    <row r="1702" spans="1:6">
      <c r="A1702" t="s">
        <v>6</v>
      </c>
      <c r="B1702" t="s">
        <v>627</v>
      </c>
      <c r="C1702" s="1" t="s">
        <v>652</v>
      </c>
      <c r="D1702" s="7">
        <v>5422</v>
      </c>
      <c r="E1702" t="s">
        <v>12</v>
      </c>
      <c r="F1702" s="9">
        <v>2.42</v>
      </c>
    </row>
    <row r="1703" spans="1:6">
      <c r="A1703" t="s">
        <v>6</v>
      </c>
      <c r="B1703" t="s">
        <v>627</v>
      </c>
      <c r="C1703" s="1" t="s">
        <v>653</v>
      </c>
      <c r="D1703" s="7">
        <v>5426</v>
      </c>
      <c r="E1703" t="s">
        <v>12</v>
      </c>
      <c r="F1703" s="9">
        <v>2.31</v>
      </c>
    </row>
    <row r="1704" spans="1:6">
      <c r="A1704" t="s">
        <v>6</v>
      </c>
      <c r="B1704" t="s">
        <v>627</v>
      </c>
      <c r="C1704" s="1" t="s">
        <v>640</v>
      </c>
      <c r="D1704" s="7">
        <v>5358</v>
      </c>
      <c r="E1704" t="s">
        <v>12</v>
      </c>
      <c r="F1704" s="9">
        <v>2.23</v>
      </c>
    </row>
    <row r="1705" spans="1:6">
      <c r="A1705" t="s">
        <v>6</v>
      </c>
      <c r="B1705" t="s">
        <v>654</v>
      </c>
      <c r="C1705" s="1" t="s">
        <v>655</v>
      </c>
      <c r="D1705" s="7">
        <v>3538</v>
      </c>
      <c r="E1705" t="s">
        <v>9</v>
      </c>
      <c r="F1705" s="9">
        <v>2.8</v>
      </c>
    </row>
    <row r="1706" spans="1:6">
      <c r="A1706" t="s">
        <v>6</v>
      </c>
      <c r="B1706" t="s">
        <v>654</v>
      </c>
      <c r="C1706" s="1" t="s">
        <v>655</v>
      </c>
      <c r="D1706" s="7">
        <v>3539</v>
      </c>
      <c r="E1706" t="s">
        <v>10</v>
      </c>
      <c r="F1706" s="9">
        <v>12.7</v>
      </c>
    </row>
    <row r="1707" spans="1:6">
      <c r="A1707" t="s">
        <v>6</v>
      </c>
      <c r="B1707" t="s">
        <v>654</v>
      </c>
      <c r="C1707" s="1" t="s">
        <v>655</v>
      </c>
      <c r="D1707" s="7">
        <v>3537</v>
      </c>
      <c r="E1707" t="s">
        <v>11</v>
      </c>
      <c r="F1707" s="9">
        <v>9.1</v>
      </c>
    </row>
    <row r="1708" spans="1:6">
      <c r="A1708" t="s">
        <v>6</v>
      </c>
      <c r="B1708" t="s">
        <v>656</v>
      </c>
      <c r="C1708" s="1" t="s">
        <v>657</v>
      </c>
      <c r="D1708" s="7">
        <v>6004</v>
      </c>
      <c r="E1708" t="s">
        <v>9</v>
      </c>
      <c r="F1708" s="9">
        <v>3.58</v>
      </c>
    </row>
    <row r="1709" spans="1:6">
      <c r="A1709" t="s">
        <v>6</v>
      </c>
      <c r="B1709" t="s">
        <v>656</v>
      </c>
      <c r="C1709" s="1" t="s">
        <v>658</v>
      </c>
      <c r="D1709" s="7">
        <v>3974</v>
      </c>
      <c r="E1709" t="s">
        <v>9</v>
      </c>
      <c r="F1709" s="9">
        <v>3.9</v>
      </c>
    </row>
    <row r="1710" spans="1:6">
      <c r="A1710" t="s">
        <v>6</v>
      </c>
      <c r="B1710" t="s">
        <v>656</v>
      </c>
      <c r="C1710" s="1" t="s">
        <v>657</v>
      </c>
      <c r="D1710" s="7">
        <v>6007</v>
      </c>
      <c r="E1710" t="s">
        <v>10</v>
      </c>
      <c r="F1710" s="9">
        <v>30.75</v>
      </c>
    </row>
    <row r="1711" spans="1:6">
      <c r="A1711" t="s">
        <v>6</v>
      </c>
      <c r="B1711" t="s">
        <v>656</v>
      </c>
      <c r="C1711" s="1" t="s">
        <v>658</v>
      </c>
      <c r="D1711" s="7">
        <v>3975</v>
      </c>
      <c r="E1711" t="s">
        <v>10</v>
      </c>
      <c r="F1711" s="9">
        <v>28.58</v>
      </c>
    </row>
    <row r="1712" spans="1:6">
      <c r="A1712" t="s">
        <v>6</v>
      </c>
      <c r="B1712" t="s">
        <v>656</v>
      </c>
      <c r="C1712" s="1" t="s">
        <v>657</v>
      </c>
      <c r="D1712" s="7">
        <v>6005</v>
      </c>
      <c r="E1712" t="s">
        <v>11</v>
      </c>
      <c r="F1712" s="9">
        <v>12.29</v>
      </c>
    </row>
    <row r="1713" spans="1:6">
      <c r="A1713" t="s">
        <v>6</v>
      </c>
      <c r="B1713" t="s">
        <v>656</v>
      </c>
      <c r="C1713" s="1" t="s">
        <v>658</v>
      </c>
      <c r="D1713" s="7">
        <v>3973</v>
      </c>
      <c r="E1713" t="s">
        <v>11</v>
      </c>
      <c r="F1713" s="9">
        <v>11.73</v>
      </c>
    </row>
    <row r="1714" spans="1:6">
      <c r="A1714" t="s">
        <v>6</v>
      </c>
      <c r="B1714" t="s">
        <v>656</v>
      </c>
      <c r="C1714" s="1" t="s">
        <v>657</v>
      </c>
      <c r="D1714" s="7">
        <v>6006</v>
      </c>
      <c r="E1714" t="s">
        <v>12</v>
      </c>
      <c r="F1714" s="9">
        <v>3.47</v>
      </c>
    </row>
    <row r="1715" spans="1:6">
      <c r="A1715" t="s">
        <v>6</v>
      </c>
      <c r="B1715" t="s">
        <v>659</v>
      </c>
      <c r="C1715" s="1" t="s">
        <v>660</v>
      </c>
      <c r="D1715" s="7">
        <v>4470</v>
      </c>
      <c r="E1715" t="s">
        <v>9</v>
      </c>
      <c r="F1715" s="9">
        <v>2.7</v>
      </c>
    </row>
    <row r="1716" spans="1:6">
      <c r="A1716" t="s">
        <v>6</v>
      </c>
      <c r="B1716" t="s">
        <v>659</v>
      </c>
      <c r="C1716" s="1" t="s">
        <v>660</v>
      </c>
      <c r="D1716" s="7">
        <v>4471</v>
      </c>
      <c r="E1716" t="s">
        <v>10</v>
      </c>
      <c r="F1716" s="9">
        <v>5.8</v>
      </c>
    </row>
    <row r="1717" spans="1:6">
      <c r="A1717" t="s">
        <v>6</v>
      </c>
      <c r="B1717" t="s">
        <v>659</v>
      </c>
      <c r="C1717" s="1" t="s">
        <v>660</v>
      </c>
      <c r="D1717" s="7">
        <v>4469</v>
      </c>
      <c r="E1717" t="s">
        <v>11</v>
      </c>
      <c r="F1717" s="9">
        <v>6.6</v>
      </c>
    </row>
    <row r="1718" spans="1:6">
      <c r="A1718" t="s">
        <v>6</v>
      </c>
      <c r="B1718" t="s">
        <v>661</v>
      </c>
      <c r="C1718" s="1" t="s">
        <v>662</v>
      </c>
      <c r="D1718" s="7">
        <v>4158</v>
      </c>
      <c r="E1718" t="s">
        <v>9</v>
      </c>
      <c r="F1718" s="9">
        <v>3.1</v>
      </c>
    </row>
    <row r="1719" spans="1:6">
      <c r="A1719" t="s">
        <v>6</v>
      </c>
      <c r="B1719" t="s">
        <v>661</v>
      </c>
      <c r="C1719" s="1" t="s">
        <v>663</v>
      </c>
      <c r="D1719" s="7">
        <v>4278</v>
      </c>
      <c r="E1719" t="s">
        <v>9</v>
      </c>
      <c r="F1719" s="9">
        <v>2.9</v>
      </c>
    </row>
    <row r="1720" spans="1:6">
      <c r="A1720" t="s">
        <v>6</v>
      </c>
      <c r="B1720" t="s">
        <v>661</v>
      </c>
      <c r="C1720" s="1" t="s">
        <v>662</v>
      </c>
      <c r="D1720" s="7">
        <v>4159</v>
      </c>
      <c r="E1720" t="s">
        <v>10</v>
      </c>
      <c r="F1720" s="9">
        <v>7.9</v>
      </c>
    </row>
    <row r="1721" spans="1:6">
      <c r="A1721" t="s">
        <v>6</v>
      </c>
      <c r="B1721" t="s">
        <v>661</v>
      </c>
      <c r="C1721" s="1" t="s">
        <v>663</v>
      </c>
      <c r="D1721" s="7">
        <v>4279</v>
      </c>
      <c r="E1721" t="s">
        <v>10</v>
      </c>
      <c r="F1721" s="9">
        <v>8.1</v>
      </c>
    </row>
    <row r="1722" spans="1:6">
      <c r="A1722" t="s">
        <v>6</v>
      </c>
      <c r="B1722" t="s">
        <v>661</v>
      </c>
      <c r="C1722" s="1" t="s">
        <v>662</v>
      </c>
      <c r="D1722" s="7">
        <v>4157</v>
      </c>
      <c r="E1722" t="s">
        <v>11</v>
      </c>
      <c r="F1722" s="9">
        <v>7.2</v>
      </c>
    </row>
    <row r="1723" spans="1:6">
      <c r="A1723" t="s">
        <v>6</v>
      </c>
      <c r="B1723" t="s">
        <v>661</v>
      </c>
      <c r="C1723" s="1" t="s">
        <v>663</v>
      </c>
      <c r="D1723" s="7">
        <v>4277</v>
      </c>
      <c r="E1723" t="s">
        <v>11</v>
      </c>
      <c r="F1723" s="9">
        <v>7.2</v>
      </c>
    </row>
    <row r="1724" spans="1:6">
      <c r="A1724" t="s">
        <v>6</v>
      </c>
      <c r="B1724" t="s">
        <v>664</v>
      </c>
      <c r="C1724" s="1" t="s">
        <v>665</v>
      </c>
      <c r="D1724" s="7">
        <v>4454</v>
      </c>
      <c r="E1724" t="s">
        <v>9</v>
      </c>
      <c r="F1724" s="9">
        <v>3.4</v>
      </c>
    </row>
    <row r="1725" spans="1:6">
      <c r="A1725" t="s">
        <v>6</v>
      </c>
      <c r="B1725" t="s">
        <v>664</v>
      </c>
      <c r="C1725" s="3" t="s">
        <v>665</v>
      </c>
      <c r="D1725" s="7">
        <v>149</v>
      </c>
      <c r="E1725" s="2" t="s">
        <v>9</v>
      </c>
      <c r="F1725" s="10">
        <v>3.7</v>
      </c>
    </row>
    <row r="1726" spans="1:6">
      <c r="A1726" t="s">
        <v>6</v>
      </c>
      <c r="B1726" t="s">
        <v>664</v>
      </c>
      <c r="C1726" s="1" t="s">
        <v>666</v>
      </c>
      <c r="D1726" s="7">
        <v>4458</v>
      </c>
      <c r="E1726" t="s">
        <v>9</v>
      </c>
      <c r="F1726" s="9">
        <v>3.5</v>
      </c>
    </row>
    <row r="1727" spans="1:6">
      <c r="A1727" t="s">
        <v>6</v>
      </c>
      <c r="B1727" t="s">
        <v>664</v>
      </c>
      <c r="C1727" s="1" t="s">
        <v>665</v>
      </c>
      <c r="D1727" s="7">
        <v>4455</v>
      </c>
      <c r="E1727" t="s">
        <v>10</v>
      </c>
      <c r="F1727" s="9">
        <v>4.8</v>
      </c>
    </row>
    <row r="1728" spans="1:6">
      <c r="A1728" t="s">
        <v>6</v>
      </c>
      <c r="B1728" t="s">
        <v>664</v>
      </c>
      <c r="C1728" s="3" t="s">
        <v>665</v>
      </c>
      <c r="D1728" s="7">
        <v>147</v>
      </c>
      <c r="E1728" s="2" t="s">
        <v>10</v>
      </c>
      <c r="F1728" s="10">
        <v>11.1</v>
      </c>
    </row>
    <row r="1729" spans="1:6">
      <c r="A1729" t="s">
        <v>6</v>
      </c>
      <c r="B1729" t="s">
        <v>664</v>
      </c>
      <c r="C1729" s="1" t="s">
        <v>666</v>
      </c>
      <c r="D1729" s="7">
        <v>4459</v>
      </c>
      <c r="E1729" t="s">
        <v>10</v>
      </c>
      <c r="F1729" s="9">
        <v>6.5</v>
      </c>
    </row>
    <row r="1730" spans="1:6">
      <c r="A1730" t="s">
        <v>6</v>
      </c>
      <c r="B1730" t="s">
        <v>664</v>
      </c>
      <c r="C1730" s="1" t="s">
        <v>665</v>
      </c>
      <c r="D1730" s="7">
        <v>4453</v>
      </c>
      <c r="E1730" t="s">
        <v>11</v>
      </c>
      <c r="F1730" s="9">
        <v>7.6</v>
      </c>
    </row>
    <row r="1731" spans="1:6">
      <c r="A1731" t="s">
        <v>6</v>
      </c>
      <c r="B1731" t="s">
        <v>664</v>
      </c>
      <c r="C1731" s="3" t="s">
        <v>665</v>
      </c>
      <c r="D1731" s="7">
        <v>148</v>
      </c>
      <c r="E1731" s="2" t="s">
        <v>11</v>
      </c>
      <c r="F1731" s="10">
        <v>8.8000000000000007</v>
      </c>
    </row>
    <row r="1732" spans="1:6">
      <c r="A1732" t="s">
        <v>6</v>
      </c>
      <c r="B1732" t="s">
        <v>664</v>
      </c>
      <c r="C1732" s="1" t="s">
        <v>666</v>
      </c>
      <c r="D1732" s="7">
        <v>4457</v>
      </c>
      <c r="E1732" t="s">
        <v>11</v>
      </c>
      <c r="F1732" s="9">
        <v>8.1</v>
      </c>
    </row>
    <row r="1733" spans="1:6">
      <c r="A1733" t="s">
        <v>6</v>
      </c>
      <c r="B1733" t="s">
        <v>667</v>
      </c>
      <c r="C1733" s="1" t="s">
        <v>668</v>
      </c>
      <c r="D1733" s="7">
        <v>4474</v>
      </c>
      <c r="E1733" t="s">
        <v>9</v>
      </c>
      <c r="F1733" s="9">
        <v>3.4</v>
      </c>
    </row>
    <row r="1734" spans="1:6">
      <c r="A1734" t="s">
        <v>6</v>
      </c>
      <c r="B1734" t="s">
        <v>667</v>
      </c>
      <c r="C1734" s="1" t="s">
        <v>668</v>
      </c>
      <c r="D1734" s="7">
        <v>4475</v>
      </c>
      <c r="E1734" t="s">
        <v>10</v>
      </c>
      <c r="F1734" s="9">
        <v>14.6</v>
      </c>
    </row>
    <row r="1735" spans="1:6">
      <c r="A1735" t="s">
        <v>6</v>
      </c>
      <c r="B1735" t="s">
        <v>667</v>
      </c>
      <c r="C1735" s="1" t="s">
        <v>668</v>
      </c>
      <c r="D1735" s="7">
        <v>4473</v>
      </c>
      <c r="E1735" t="s">
        <v>11</v>
      </c>
      <c r="F1735" s="9">
        <v>8.3000000000000007</v>
      </c>
    </row>
    <row r="1736" spans="1:6">
      <c r="A1736" t="s">
        <v>6</v>
      </c>
      <c r="B1736" t="s">
        <v>669</v>
      </c>
      <c r="C1736" s="3" t="s">
        <v>670</v>
      </c>
      <c r="D1736" s="7">
        <v>169</v>
      </c>
      <c r="E1736" s="2" t="s">
        <v>9</v>
      </c>
      <c r="F1736" s="10">
        <v>3.3</v>
      </c>
    </row>
    <row r="1737" spans="1:6">
      <c r="A1737" t="s">
        <v>6</v>
      </c>
      <c r="B1737" t="s">
        <v>669</v>
      </c>
      <c r="C1737" s="1" t="s">
        <v>671</v>
      </c>
      <c r="D1737" s="7">
        <v>5565</v>
      </c>
      <c r="E1737" t="s">
        <v>9</v>
      </c>
      <c r="F1737" s="9">
        <v>2.67</v>
      </c>
    </row>
    <row r="1738" spans="1:6">
      <c r="A1738" t="s">
        <v>6</v>
      </c>
      <c r="B1738" t="s">
        <v>669</v>
      </c>
      <c r="C1738" s="1" t="s">
        <v>672</v>
      </c>
      <c r="D1738" s="7">
        <v>5969</v>
      </c>
      <c r="E1738" t="s">
        <v>9</v>
      </c>
      <c r="F1738" s="9">
        <v>2.5499999999999998</v>
      </c>
    </row>
    <row r="1739" spans="1:6">
      <c r="A1739" t="s">
        <v>6</v>
      </c>
      <c r="B1739" t="s">
        <v>669</v>
      </c>
      <c r="C1739" s="1" t="s">
        <v>673</v>
      </c>
      <c r="D1739" s="7">
        <v>5432</v>
      </c>
      <c r="E1739" t="s">
        <v>9</v>
      </c>
      <c r="F1739" s="9">
        <v>2.62</v>
      </c>
    </row>
    <row r="1740" spans="1:6">
      <c r="A1740" t="s">
        <v>6</v>
      </c>
      <c r="B1740" t="s">
        <v>669</v>
      </c>
      <c r="C1740" s="1" t="s">
        <v>674</v>
      </c>
      <c r="D1740" s="7">
        <v>6049</v>
      </c>
      <c r="E1740" t="s">
        <v>9</v>
      </c>
      <c r="F1740" s="9">
        <v>2.56</v>
      </c>
    </row>
    <row r="1741" spans="1:6">
      <c r="A1741" t="s">
        <v>6</v>
      </c>
      <c r="B1741" t="s">
        <v>669</v>
      </c>
      <c r="C1741" s="1" t="s">
        <v>675</v>
      </c>
      <c r="D1741" s="7">
        <v>5944</v>
      </c>
      <c r="E1741" t="s">
        <v>9</v>
      </c>
      <c r="F1741" s="9">
        <v>2.8</v>
      </c>
    </row>
    <row r="1742" spans="1:6">
      <c r="A1742" t="s">
        <v>6</v>
      </c>
      <c r="B1742" t="s">
        <v>669</v>
      </c>
      <c r="C1742" s="1" t="s">
        <v>676</v>
      </c>
      <c r="D1742" s="7">
        <v>5288</v>
      </c>
      <c r="E1742" t="s">
        <v>9</v>
      </c>
      <c r="F1742" s="9">
        <v>3.04</v>
      </c>
    </row>
    <row r="1743" spans="1:6">
      <c r="A1743" t="s">
        <v>6</v>
      </c>
      <c r="B1743" t="s">
        <v>669</v>
      </c>
      <c r="C1743" s="1" t="s">
        <v>677</v>
      </c>
      <c r="D1743" s="7">
        <v>6139</v>
      </c>
      <c r="E1743" t="s">
        <v>9</v>
      </c>
      <c r="F1743" s="9">
        <v>2.96</v>
      </c>
    </row>
    <row r="1744" spans="1:6">
      <c r="A1744" t="s">
        <v>6</v>
      </c>
      <c r="B1744" t="s">
        <v>669</v>
      </c>
      <c r="C1744" s="1" t="s">
        <v>678</v>
      </c>
      <c r="D1744" s="7">
        <v>5364</v>
      </c>
      <c r="E1744" t="s">
        <v>9</v>
      </c>
      <c r="F1744" s="9">
        <v>2.72</v>
      </c>
    </row>
    <row r="1745" spans="1:6">
      <c r="A1745" t="s">
        <v>6</v>
      </c>
      <c r="B1745" t="s">
        <v>669</v>
      </c>
      <c r="C1745" s="1" t="s">
        <v>679</v>
      </c>
      <c r="D1745" s="7">
        <v>6144</v>
      </c>
      <c r="E1745" t="s">
        <v>9</v>
      </c>
      <c r="F1745" s="9">
        <v>2.9</v>
      </c>
    </row>
    <row r="1746" spans="1:6">
      <c r="A1746" t="s">
        <v>6</v>
      </c>
      <c r="B1746" t="s">
        <v>669</v>
      </c>
      <c r="C1746" s="1" t="s">
        <v>680</v>
      </c>
      <c r="D1746" s="7">
        <v>6149</v>
      </c>
      <c r="E1746" t="s">
        <v>9</v>
      </c>
      <c r="F1746" s="9">
        <v>2.75</v>
      </c>
    </row>
    <row r="1747" spans="1:6">
      <c r="A1747" t="s">
        <v>6</v>
      </c>
      <c r="B1747" t="s">
        <v>669</v>
      </c>
      <c r="C1747" s="1" t="s">
        <v>681</v>
      </c>
      <c r="D1747" s="7">
        <v>6039</v>
      </c>
      <c r="E1747" t="s">
        <v>9</v>
      </c>
      <c r="F1747" s="9">
        <v>2.4900000000000002</v>
      </c>
    </row>
    <row r="1748" spans="1:6">
      <c r="A1748" t="s">
        <v>6</v>
      </c>
      <c r="B1748" t="s">
        <v>669</v>
      </c>
      <c r="C1748" s="1" t="s">
        <v>682</v>
      </c>
      <c r="D1748" s="7">
        <v>6129</v>
      </c>
      <c r="E1748" t="s">
        <v>9</v>
      </c>
      <c r="F1748" s="9">
        <v>2.59</v>
      </c>
    </row>
    <row r="1749" spans="1:6">
      <c r="A1749" t="s">
        <v>6</v>
      </c>
      <c r="B1749" t="s">
        <v>669</v>
      </c>
      <c r="C1749" s="1" t="s">
        <v>683</v>
      </c>
      <c r="D1749" s="7">
        <v>5400</v>
      </c>
      <c r="E1749" t="s">
        <v>9</v>
      </c>
      <c r="F1749" s="9">
        <v>2.74</v>
      </c>
    </row>
    <row r="1750" spans="1:6">
      <c r="A1750" t="s">
        <v>6</v>
      </c>
      <c r="B1750" t="s">
        <v>669</v>
      </c>
      <c r="C1750" s="1" t="s">
        <v>684</v>
      </c>
      <c r="D1750" s="7">
        <v>5798</v>
      </c>
      <c r="E1750" t="s">
        <v>9</v>
      </c>
      <c r="F1750" s="9">
        <v>2.7</v>
      </c>
    </row>
    <row r="1751" spans="1:6">
      <c r="A1751" t="s">
        <v>6</v>
      </c>
      <c r="B1751" t="s">
        <v>669</v>
      </c>
      <c r="C1751" s="1" t="s">
        <v>685</v>
      </c>
      <c r="D1751" s="7">
        <v>4478</v>
      </c>
      <c r="E1751" t="s">
        <v>9</v>
      </c>
      <c r="F1751" s="9">
        <v>3.2</v>
      </c>
    </row>
    <row r="1752" spans="1:6">
      <c r="A1752" t="s">
        <v>6</v>
      </c>
      <c r="B1752" t="s">
        <v>669</v>
      </c>
      <c r="C1752" s="1" t="s">
        <v>686</v>
      </c>
      <c r="D1752" s="7">
        <v>3582</v>
      </c>
      <c r="E1752" t="s">
        <v>9</v>
      </c>
      <c r="F1752" s="9">
        <v>2.6</v>
      </c>
    </row>
    <row r="1753" spans="1:6">
      <c r="A1753" t="s">
        <v>6</v>
      </c>
      <c r="B1753" t="s">
        <v>669</v>
      </c>
      <c r="C1753" s="1" t="s">
        <v>687</v>
      </c>
      <c r="D1753" s="7">
        <v>4482</v>
      </c>
      <c r="E1753" t="s">
        <v>9</v>
      </c>
      <c r="F1753" s="9">
        <v>3.3</v>
      </c>
    </row>
    <row r="1754" spans="1:6">
      <c r="A1754" t="s">
        <v>6</v>
      </c>
      <c r="B1754" t="s">
        <v>669</v>
      </c>
      <c r="C1754" s="3" t="s">
        <v>670</v>
      </c>
      <c r="D1754" s="7">
        <v>167</v>
      </c>
      <c r="E1754" s="2" t="s">
        <v>10</v>
      </c>
      <c r="F1754" s="10">
        <v>8</v>
      </c>
    </row>
    <row r="1755" spans="1:6">
      <c r="A1755" t="s">
        <v>6</v>
      </c>
      <c r="B1755" t="s">
        <v>669</v>
      </c>
      <c r="C1755" s="1" t="s">
        <v>672</v>
      </c>
      <c r="D1755" s="7">
        <v>5972</v>
      </c>
      <c r="E1755" t="s">
        <v>10</v>
      </c>
      <c r="F1755" s="9">
        <v>9.5399999999999991</v>
      </c>
    </row>
    <row r="1756" spans="1:6">
      <c r="A1756" t="s">
        <v>6</v>
      </c>
      <c r="B1756" t="s">
        <v>669</v>
      </c>
      <c r="C1756" s="1" t="s">
        <v>674</v>
      </c>
      <c r="D1756" s="7">
        <v>6052</v>
      </c>
      <c r="E1756" t="s">
        <v>10</v>
      </c>
      <c r="F1756" s="9">
        <v>9.7200000000000006</v>
      </c>
    </row>
    <row r="1757" spans="1:6">
      <c r="A1757" t="s">
        <v>6</v>
      </c>
      <c r="B1757" t="s">
        <v>669</v>
      </c>
      <c r="C1757" s="1" t="s">
        <v>675</v>
      </c>
      <c r="D1757" s="7">
        <v>5947</v>
      </c>
      <c r="E1757" t="s">
        <v>10</v>
      </c>
      <c r="F1757" s="9">
        <v>10.76</v>
      </c>
    </row>
    <row r="1758" spans="1:6">
      <c r="A1758" t="s">
        <v>6</v>
      </c>
      <c r="B1758" t="s">
        <v>669</v>
      </c>
      <c r="C1758" s="1" t="s">
        <v>677</v>
      </c>
      <c r="D1758" s="7">
        <v>6142</v>
      </c>
      <c r="E1758" t="s">
        <v>10</v>
      </c>
      <c r="F1758" s="9">
        <v>8.5399999999999991</v>
      </c>
    </row>
    <row r="1759" spans="1:6">
      <c r="A1759" t="s">
        <v>6</v>
      </c>
      <c r="B1759" t="s">
        <v>669</v>
      </c>
      <c r="C1759" s="1" t="s">
        <v>679</v>
      </c>
      <c r="D1759" s="7">
        <v>6147</v>
      </c>
      <c r="E1759" t="s">
        <v>10</v>
      </c>
      <c r="F1759" s="9">
        <v>9.15</v>
      </c>
    </row>
    <row r="1760" spans="1:6">
      <c r="A1760" t="s">
        <v>6</v>
      </c>
      <c r="B1760" t="s">
        <v>669</v>
      </c>
      <c r="C1760" s="1" t="s">
        <v>680</v>
      </c>
      <c r="D1760" s="7">
        <v>6152</v>
      </c>
      <c r="E1760" t="s">
        <v>10</v>
      </c>
      <c r="F1760" s="9">
        <v>9.15</v>
      </c>
    </row>
    <row r="1761" spans="1:6">
      <c r="A1761" t="s">
        <v>6</v>
      </c>
      <c r="B1761" t="s">
        <v>669</v>
      </c>
      <c r="C1761" s="1" t="s">
        <v>681</v>
      </c>
      <c r="D1761" s="7">
        <v>6042</v>
      </c>
      <c r="E1761" t="s">
        <v>10</v>
      </c>
      <c r="F1761" s="9">
        <v>9.89</v>
      </c>
    </row>
    <row r="1762" spans="1:6">
      <c r="A1762" t="s">
        <v>6</v>
      </c>
      <c r="B1762" t="s">
        <v>669</v>
      </c>
      <c r="C1762" s="1" t="s">
        <v>682</v>
      </c>
      <c r="D1762" s="7">
        <v>6132</v>
      </c>
      <c r="E1762" t="s">
        <v>10</v>
      </c>
      <c r="F1762" s="9">
        <v>8.2899999999999991</v>
      </c>
    </row>
    <row r="1763" spans="1:6">
      <c r="A1763" t="s">
        <v>6</v>
      </c>
      <c r="B1763" t="s">
        <v>669</v>
      </c>
      <c r="C1763" s="1" t="s">
        <v>685</v>
      </c>
      <c r="D1763" s="7">
        <v>4479</v>
      </c>
      <c r="E1763" t="s">
        <v>10</v>
      </c>
      <c r="F1763" s="9">
        <v>4.9000000000000004</v>
      </c>
    </row>
    <row r="1764" spans="1:6">
      <c r="A1764" t="s">
        <v>6</v>
      </c>
      <c r="B1764" t="s">
        <v>669</v>
      </c>
      <c r="C1764" s="1" t="s">
        <v>686</v>
      </c>
      <c r="D1764" s="7">
        <v>3583</v>
      </c>
      <c r="E1764" t="s">
        <v>10</v>
      </c>
      <c r="F1764" s="9">
        <v>8.8000000000000007</v>
      </c>
    </row>
    <row r="1765" spans="1:6">
      <c r="A1765" t="s">
        <v>6</v>
      </c>
      <c r="B1765" t="s">
        <v>669</v>
      </c>
      <c r="C1765" s="1" t="s">
        <v>687</v>
      </c>
      <c r="D1765" s="7">
        <v>4483</v>
      </c>
      <c r="E1765" t="s">
        <v>10</v>
      </c>
      <c r="F1765" s="9">
        <v>5.7</v>
      </c>
    </row>
    <row r="1766" spans="1:6">
      <c r="A1766" t="s">
        <v>6</v>
      </c>
      <c r="B1766" t="s">
        <v>669</v>
      </c>
      <c r="C1766" s="3" t="s">
        <v>670</v>
      </c>
      <c r="D1766" s="7">
        <v>168</v>
      </c>
      <c r="E1766" s="2" t="s">
        <v>11</v>
      </c>
      <c r="F1766" s="10">
        <v>8.1999999999999993</v>
      </c>
    </row>
    <row r="1767" spans="1:6">
      <c r="A1767" t="s">
        <v>6</v>
      </c>
      <c r="B1767" t="s">
        <v>669</v>
      </c>
      <c r="C1767" s="1" t="s">
        <v>671</v>
      </c>
      <c r="D1767" s="7">
        <v>5566</v>
      </c>
      <c r="E1767" t="s">
        <v>11</v>
      </c>
      <c r="F1767" s="9">
        <v>7.57</v>
      </c>
    </row>
    <row r="1768" spans="1:6">
      <c r="A1768" t="s">
        <v>6</v>
      </c>
      <c r="B1768" t="s">
        <v>669</v>
      </c>
      <c r="C1768" s="1" t="s">
        <v>672</v>
      </c>
      <c r="D1768" s="7">
        <v>5970</v>
      </c>
      <c r="E1768" t="s">
        <v>11</v>
      </c>
      <c r="F1768" s="9">
        <v>7.77</v>
      </c>
    </row>
    <row r="1769" spans="1:6">
      <c r="A1769" t="s">
        <v>6</v>
      </c>
      <c r="B1769" t="s">
        <v>669</v>
      </c>
      <c r="C1769" s="1" t="s">
        <v>673</v>
      </c>
      <c r="D1769" s="7">
        <v>5433</v>
      </c>
      <c r="E1769" t="s">
        <v>11</v>
      </c>
      <c r="F1769" s="9">
        <v>7.26</v>
      </c>
    </row>
    <row r="1770" spans="1:6">
      <c r="A1770" t="s">
        <v>6</v>
      </c>
      <c r="B1770" t="s">
        <v>669</v>
      </c>
      <c r="C1770" s="1" t="s">
        <v>674</v>
      </c>
      <c r="D1770" s="7">
        <v>6050</v>
      </c>
      <c r="E1770" t="s">
        <v>11</v>
      </c>
      <c r="F1770" s="9">
        <v>7.96</v>
      </c>
    </row>
    <row r="1771" spans="1:6">
      <c r="A1771" t="s">
        <v>6</v>
      </c>
      <c r="B1771" t="s">
        <v>669</v>
      </c>
      <c r="C1771" s="1" t="s">
        <v>675</v>
      </c>
      <c r="D1771" s="7">
        <v>5945</v>
      </c>
      <c r="E1771" t="s">
        <v>11</v>
      </c>
      <c r="F1771" s="9">
        <v>7.67</v>
      </c>
    </row>
    <row r="1772" spans="1:6">
      <c r="A1772" t="s">
        <v>6</v>
      </c>
      <c r="B1772" t="s">
        <v>669</v>
      </c>
      <c r="C1772" s="1" t="s">
        <v>676</v>
      </c>
      <c r="D1772" s="7">
        <v>5289</v>
      </c>
      <c r="E1772" t="s">
        <v>11</v>
      </c>
      <c r="F1772" s="9">
        <v>7.43</v>
      </c>
    </row>
    <row r="1773" spans="1:6">
      <c r="A1773" t="s">
        <v>6</v>
      </c>
      <c r="B1773" t="s">
        <v>669</v>
      </c>
      <c r="C1773" s="1" t="s">
        <v>677</v>
      </c>
      <c r="D1773" s="7">
        <v>6140</v>
      </c>
      <c r="E1773" t="s">
        <v>11</v>
      </c>
      <c r="F1773" s="9">
        <v>7.72</v>
      </c>
    </row>
    <row r="1774" spans="1:6">
      <c r="A1774" t="s">
        <v>6</v>
      </c>
      <c r="B1774" t="s">
        <v>669</v>
      </c>
      <c r="C1774" s="1" t="s">
        <v>678</v>
      </c>
      <c r="D1774" s="7">
        <v>5365</v>
      </c>
      <c r="E1774" t="s">
        <v>11</v>
      </c>
      <c r="F1774" s="9">
        <v>7.3</v>
      </c>
    </row>
    <row r="1775" spans="1:6">
      <c r="A1775" t="s">
        <v>6</v>
      </c>
      <c r="B1775" t="s">
        <v>669</v>
      </c>
      <c r="C1775" s="1" t="s">
        <v>679</v>
      </c>
      <c r="D1775" s="7">
        <v>6145</v>
      </c>
      <c r="E1775" t="s">
        <v>11</v>
      </c>
      <c r="F1775" s="9">
        <v>8.15</v>
      </c>
    </row>
    <row r="1776" spans="1:6">
      <c r="A1776" t="s">
        <v>6</v>
      </c>
      <c r="B1776" t="s">
        <v>669</v>
      </c>
      <c r="C1776" s="1" t="s">
        <v>680</v>
      </c>
      <c r="D1776" s="7">
        <v>6150</v>
      </c>
      <c r="E1776" t="s">
        <v>11</v>
      </c>
      <c r="F1776" s="9">
        <v>7.78</v>
      </c>
    </row>
    <row r="1777" spans="1:6">
      <c r="A1777" t="s">
        <v>6</v>
      </c>
      <c r="B1777" t="s">
        <v>669</v>
      </c>
      <c r="C1777" s="1" t="s">
        <v>681</v>
      </c>
      <c r="D1777" s="7">
        <v>6040</v>
      </c>
      <c r="E1777" t="s">
        <v>11</v>
      </c>
      <c r="F1777" s="9">
        <v>7.51</v>
      </c>
    </row>
    <row r="1778" spans="1:6">
      <c r="A1778" t="s">
        <v>6</v>
      </c>
      <c r="B1778" t="s">
        <v>669</v>
      </c>
      <c r="C1778" s="1" t="s">
        <v>682</v>
      </c>
      <c r="D1778" s="7">
        <v>6130</v>
      </c>
      <c r="E1778" t="s">
        <v>11</v>
      </c>
      <c r="F1778" s="9">
        <v>7.49</v>
      </c>
    </row>
    <row r="1779" spans="1:6">
      <c r="A1779" t="s">
        <v>6</v>
      </c>
      <c r="B1779" t="s">
        <v>669</v>
      </c>
      <c r="C1779" s="1" t="s">
        <v>683</v>
      </c>
      <c r="D1779" s="7">
        <v>5401</v>
      </c>
      <c r="E1779" t="s">
        <v>11</v>
      </c>
      <c r="F1779" s="9">
        <v>7.53</v>
      </c>
    </row>
    <row r="1780" spans="1:6">
      <c r="A1780" t="s">
        <v>6</v>
      </c>
      <c r="B1780" t="s">
        <v>669</v>
      </c>
      <c r="C1780" s="1" t="s">
        <v>684</v>
      </c>
      <c r="D1780" s="7">
        <v>5799</v>
      </c>
      <c r="E1780" t="s">
        <v>11</v>
      </c>
      <c r="F1780" s="9">
        <v>8.4499999999999993</v>
      </c>
    </row>
    <row r="1781" spans="1:6">
      <c r="A1781" t="s">
        <v>6</v>
      </c>
      <c r="B1781" t="s">
        <v>669</v>
      </c>
      <c r="C1781" s="1" t="s">
        <v>685</v>
      </c>
      <c r="D1781" s="7">
        <v>4477</v>
      </c>
      <c r="E1781" t="s">
        <v>11</v>
      </c>
      <c r="F1781" s="9">
        <v>7.4</v>
      </c>
    </row>
    <row r="1782" spans="1:6">
      <c r="A1782" t="s">
        <v>6</v>
      </c>
      <c r="B1782" t="s">
        <v>669</v>
      </c>
      <c r="C1782" s="1" t="s">
        <v>686</v>
      </c>
      <c r="D1782" s="7">
        <v>3581</v>
      </c>
      <c r="E1782" t="s">
        <v>11</v>
      </c>
      <c r="F1782" s="9">
        <v>7.6</v>
      </c>
    </row>
    <row r="1783" spans="1:6">
      <c r="A1783" t="s">
        <v>6</v>
      </c>
      <c r="B1783" t="s">
        <v>669</v>
      </c>
      <c r="C1783" s="1" t="s">
        <v>687</v>
      </c>
      <c r="D1783" s="7">
        <v>4481</v>
      </c>
      <c r="E1783" t="s">
        <v>11</v>
      </c>
      <c r="F1783" s="9">
        <v>7.4</v>
      </c>
    </row>
    <row r="1784" spans="1:6">
      <c r="A1784" t="s">
        <v>6</v>
      </c>
      <c r="B1784" t="s">
        <v>669</v>
      </c>
      <c r="C1784" s="1" t="s">
        <v>671</v>
      </c>
      <c r="D1784" s="7">
        <v>5567</v>
      </c>
      <c r="E1784" t="s">
        <v>12</v>
      </c>
      <c r="F1784" s="9">
        <v>2.33</v>
      </c>
    </row>
    <row r="1785" spans="1:6">
      <c r="A1785" t="s">
        <v>6</v>
      </c>
      <c r="B1785" t="s">
        <v>669</v>
      </c>
      <c r="C1785" s="1" t="s">
        <v>672</v>
      </c>
      <c r="D1785" s="7">
        <v>5971</v>
      </c>
      <c r="E1785" t="s">
        <v>12</v>
      </c>
      <c r="F1785" s="9">
        <v>2.2999999999999998</v>
      </c>
    </row>
    <row r="1786" spans="1:6">
      <c r="A1786" t="s">
        <v>6</v>
      </c>
      <c r="B1786" t="s">
        <v>669</v>
      </c>
      <c r="C1786" s="1" t="s">
        <v>673</v>
      </c>
      <c r="D1786" s="7">
        <v>5434</v>
      </c>
      <c r="E1786" t="s">
        <v>12</v>
      </c>
      <c r="F1786" s="9">
        <v>2.1</v>
      </c>
    </row>
    <row r="1787" spans="1:6">
      <c r="A1787" t="s">
        <v>6</v>
      </c>
      <c r="B1787" t="s">
        <v>669</v>
      </c>
      <c r="C1787" s="1" t="s">
        <v>674</v>
      </c>
      <c r="D1787" s="7">
        <v>6051</v>
      </c>
      <c r="E1787" t="s">
        <v>12</v>
      </c>
      <c r="F1787" s="9">
        <v>2.57</v>
      </c>
    </row>
    <row r="1788" spans="1:6">
      <c r="A1788" t="s">
        <v>6</v>
      </c>
      <c r="B1788" t="s">
        <v>669</v>
      </c>
      <c r="C1788" s="1" t="s">
        <v>675</v>
      </c>
      <c r="D1788" s="7">
        <v>5946</v>
      </c>
      <c r="E1788" t="s">
        <v>12</v>
      </c>
      <c r="F1788" s="9">
        <v>2.3199999999999998</v>
      </c>
    </row>
    <row r="1789" spans="1:6">
      <c r="A1789" t="s">
        <v>6</v>
      </c>
      <c r="B1789" t="s">
        <v>669</v>
      </c>
      <c r="C1789" s="1" t="s">
        <v>676</v>
      </c>
      <c r="D1789" s="7">
        <v>5290</v>
      </c>
      <c r="E1789" t="s">
        <v>12</v>
      </c>
      <c r="F1789" s="9">
        <v>1.98</v>
      </c>
    </row>
    <row r="1790" spans="1:6">
      <c r="A1790" t="s">
        <v>6</v>
      </c>
      <c r="B1790" t="s">
        <v>669</v>
      </c>
      <c r="C1790" s="1" t="s">
        <v>677</v>
      </c>
      <c r="D1790" s="7">
        <v>6141</v>
      </c>
      <c r="E1790" t="s">
        <v>12</v>
      </c>
      <c r="F1790" s="9">
        <v>2.2999999999999998</v>
      </c>
    </row>
    <row r="1791" spans="1:6">
      <c r="A1791" t="s">
        <v>6</v>
      </c>
      <c r="B1791" t="s">
        <v>669</v>
      </c>
      <c r="C1791" s="1" t="s">
        <v>678</v>
      </c>
      <c r="D1791" s="7">
        <v>5366</v>
      </c>
      <c r="E1791" t="s">
        <v>12</v>
      </c>
      <c r="F1791" s="9">
        <v>2.19</v>
      </c>
    </row>
    <row r="1792" spans="1:6">
      <c r="A1792" t="s">
        <v>6</v>
      </c>
      <c r="B1792" t="s">
        <v>669</v>
      </c>
      <c r="C1792" s="1" t="s">
        <v>679</v>
      </c>
      <c r="D1792" s="7">
        <v>6146</v>
      </c>
      <c r="E1792" t="s">
        <v>12</v>
      </c>
      <c r="F1792" s="9">
        <v>2.2999999999999998</v>
      </c>
    </row>
    <row r="1793" spans="1:6">
      <c r="A1793" t="s">
        <v>6</v>
      </c>
      <c r="B1793" t="s">
        <v>669</v>
      </c>
      <c r="C1793" s="1" t="s">
        <v>680</v>
      </c>
      <c r="D1793" s="7">
        <v>6151</v>
      </c>
      <c r="E1793" t="s">
        <v>12</v>
      </c>
      <c r="F1793" s="9">
        <v>2.3199999999999998</v>
      </c>
    </row>
    <row r="1794" spans="1:6">
      <c r="A1794" t="s">
        <v>6</v>
      </c>
      <c r="B1794" t="s">
        <v>669</v>
      </c>
      <c r="C1794" s="1" t="s">
        <v>681</v>
      </c>
      <c r="D1794" s="7">
        <v>6041</v>
      </c>
      <c r="E1794" t="s">
        <v>12</v>
      </c>
      <c r="F1794" s="9">
        <v>2.46</v>
      </c>
    </row>
    <row r="1795" spans="1:6">
      <c r="A1795" t="s">
        <v>6</v>
      </c>
      <c r="B1795" t="s">
        <v>669</v>
      </c>
      <c r="C1795" s="1" t="s">
        <v>682</v>
      </c>
      <c r="D1795" s="7">
        <v>6131</v>
      </c>
      <c r="E1795" t="s">
        <v>12</v>
      </c>
      <c r="F1795" s="9">
        <v>2.21</v>
      </c>
    </row>
    <row r="1796" spans="1:6">
      <c r="A1796" t="s">
        <v>6</v>
      </c>
      <c r="B1796" t="s">
        <v>669</v>
      </c>
      <c r="C1796" s="1" t="s">
        <v>683</v>
      </c>
      <c r="D1796" s="7">
        <v>5402</v>
      </c>
      <c r="E1796" t="s">
        <v>12</v>
      </c>
      <c r="F1796" s="9">
        <v>2.21</v>
      </c>
    </row>
    <row r="1797" spans="1:6">
      <c r="A1797" t="s">
        <v>6</v>
      </c>
      <c r="B1797" t="s">
        <v>669</v>
      </c>
      <c r="C1797" s="1" t="s">
        <v>684</v>
      </c>
      <c r="D1797" s="7">
        <v>5800</v>
      </c>
      <c r="E1797" t="s">
        <v>12</v>
      </c>
      <c r="F1797" s="9">
        <v>2.14</v>
      </c>
    </row>
    <row r="1798" spans="1:6">
      <c r="A1798" t="s">
        <v>6</v>
      </c>
      <c r="B1798" t="s">
        <v>688</v>
      </c>
      <c r="C1798" s="3" t="s">
        <v>689</v>
      </c>
      <c r="D1798" s="7">
        <v>341</v>
      </c>
      <c r="E1798" s="2" t="s">
        <v>9</v>
      </c>
      <c r="F1798" s="10">
        <v>3.7</v>
      </c>
    </row>
    <row r="1799" spans="1:6">
      <c r="A1799" t="s">
        <v>6</v>
      </c>
      <c r="B1799" t="s">
        <v>688</v>
      </c>
      <c r="C1799" s="3" t="s">
        <v>690</v>
      </c>
      <c r="D1799" s="7">
        <v>181</v>
      </c>
      <c r="E1799" s="2" t="s">
        <v>9</v>
      </c>
      <c r="F1799" s="10">
        <v>3.4</v>
      </c>
    </row>
    <row r="1800" spans="1:6">
      <c r="A1800" t="s">
        <v>6</v>
      </c>
      <c r="B1800" t="s">
        <v>688</v>
      </c>
      <c r="C1800" s="3" t="s">
        <v>691</v>
      </c>
      <c r="D1800" s="7">
        <v>185</v>
      </c>
      <c r="E1800" s="2" t="s">
        <v>9</v>
      </c>
      <c r="F1800" s="10">
        <v>3.5</v>
      </c>
    </row>
    <row r="1801" spans="1:6">
      <c r="A1801" t="s">
        <v>6</v>
      </c>
      <c r="B1801" t="s">
        <v>688</v>
      </c>
      <c r="C1801" s="3" t="s">
        <v>692</v>
      </c>
      <c r="D1801" s="7">
        <v>189</v>
      </c>
      <c r="E1801" s="2" t="s">
        <v>9</v>
      </c>
      <c r="F1801" s="10">
        <v>3.9</v>
      </c>
    </row>
    <row r="1802" spans="1:6">
      <c r="A1802" t="s">
        <v>6</v>
      </c>
      <c r="B1802" t="s">
        <v>688</v>
      </c>
      <c r="C1802" s="3" t="s">
        <v>693</v>
      </c>
      <c r="D1802" s="7">
        <v>193</v>
      </c>
      <c r="E1802" s="2" t="s">
        <v>9</v>
      </c>
      <c r="F1802" s="10">
        <v>3.7</v>
      </c>
    </row>
    <row r="1803" spans="1:6">
      <c r="A1803" t="s">
        <v>6</v>
      </c>
      <c r="B1803" s="6" t="s">
        <v>688</v>
      </c>
      <c r="C1803" s="3" t="s">
        <v>694</v>
      </c>
      <c r="D1803" s="7">
        <v>157</v>
      </c>
      <c r="E1803" s="2" t="s">
        <v>9</v>
      </c>
      <c r="F1803" s="10">
        <v>3.7</v>
      </c>
    </row>
    <row r="1804" spans="1:6">
      <c r="A1804" t="s">
        <v>6</v>
      </c>
      <c r="B1804" t="s">
        <v>688</v>
      </c>
      <c r="C1804" s="1" t="s">
        <v>695</v>
      </c>
      <c r="D1804" s="7">
        <v>5360</v>
      </c>
      <c r="E1804" t="s">
        <v>9</v>
      </c>
      <c r="F1804" s="9">
        <v>3.06</v>
      </c>
    </row>
    <row r="1805" spans="1:6">
      <c r="A1805" t="s">
        <v>6</v>
      </c>
      <c r="B1805" t="s">
        <v>688</v>
      </c>
      <c r="C1805" s="1" t="s">
        <v>696</v>
      </c>
      <c r="D1805" s="7">
        <v>3002</v>
      </c>
      <c r="E1805" t="s">
        <v>9</v>
      </c>
      <c r="F1805" s="9">
        <v>3.4</v>
      </c>
    </row>
    <row r="1806" spans="1:6">
      <c r="A1806" t="s">
        <v>6</v>
      </c>
      <c r="B1806" t="s">
        <v>688</v>
      </c>
      <c r="C1806" s="1" t="s">
        <v>697</v>
      </c>
      <c r="D1806" s="7">
        <v>3006</v>
      </c>
      <c r="E1806" t="s">
        <v>9</v>
      </c>
      <c r="F1806" s="9">
        <v>3.2</v>
      </c>
    </row>
    <row r="1807" spans="1:6">
      <c r="A1807" t="s">
        <v>6</v>
      </c>
      <c r="B1807" t="s">
        <v>688</v>
      </c>
      <c r="C1807" s="1" t="s">
        <v>698</v>
      </c>
      <c r="D1807" s="7">
        <v>3010</v>
      </c>
      <c r="E1807" t="s">
        <v>9</v>
      </c>
      <c r="F1807" s="9">
        <v>3.4</v>
      </c>
    </row>
    <row r="1808" spans="1:6">
      <c r="A1808" t="s">
        <v>6</v>
      </c>
      <c r="B1808" t="s">
        <v>688</v>
      </c>
      <c r="C1808" s="1" t="s">
        <v>699</v>
      </c>
      <c r="D1808" s="7">
        <v>3050</v>
      </c>
      <c r="E1808" t="s">
        <v>9</v>
      </c>
      <c r="F1808" s="9">
        <v>3</v>
      </c>
    </row>
    <row r="1809" spans="1:6">
      <c r="A1809" t="s">
        <v>6</v>
      </c>
      <c r="B1809" t="s">
        <v>688</v>
      </c>
      <c r="C1809" s="1" t="s">
        <v>700</v>
      </c>
      <c r="D1809" s="7">
        <v>3054</v>
      </c>
      <c r="E1809" t="s">
        <v>9</v>
      </c>
      <c r="F1809" s="9">
        <v>3.3</v>
      </c>
    </row>
    <row r="1810" spans="1:6">
      <c r="A1810" t="s">
        <v>6</v>
      </c>
      <c r="B1810" t="s">
        <v>688</v>
      </c>
      <c r="C1810" s="1" t="s">
        <v>701</v>
      </c>
      <c r="D1810" s="7">
        <v>3058</v>
      </c>
      <c r="E1810" t="s">
        <v>9</v>
      </c>
      <c r="F1810" s="9">
        <v>3.4</v>
      </c>
    </row>
    <row r="1811" spans="1:6">
      <c r="A1811" t="s">
        <v>6</v>
      </c>
      <c r="B1811" t="s">
        <v>688</v>
      </c>
      <c r="C1811" s="1" t="s">
        <v>702</v>
      </c>
      <c r="D1811" s="7">
        <v>3066</v>
      </c>
      <c r="E1811" t="s">
        <v>9</v>
      </c>
      <c r="F1811" s="9">
        <v>3</v>
      </c>
    </row>
    <row r="1812" spans="1:6">
      <c r="A1812" t="s">
        <v>6</v>
      </c>
      <c r="B1812" t="s">
        <v>688</v>
      </c>
      <c r="C1812" s="1" t="s">
        <v>703</v>
      </c>
      <c r="D1812" s="7">
        <v>3086</v>
      </c>
      <c r="E1812" t="s">
        <v>9</v>
      </c>
      <c r="F1812" s="9">
        <v>3.6</v>
      </c>
    </row>
    <row r="1813" spans="1:6">
      <c r="A1813" t="s">
        <v>6</v>
      </c>
      <c r="B1813" t="s">
        <v>688</v>
      </c>
      <c r="C1813" s="1" t="s">
        <v>704</v>
      </c>
      <c r="D1813" s="7">
        <v>3122</v>
      </c>
      <c r="E1813" t="s">
        <v>9</v>
      </c>
      <c r="F1813" s="9">
        <v>3.8</v>
      </c>
    </row>
    <row r="1814" spans="1:6">
      <c r="A1814" t="s">
        <v>6</v>
      </c>
      <c r="B1814" t="s">
        <v>688</v>
      </c>
      <c r="C1814" s="1" t="s">
        <v>705</v>
      </c>
      <c r="D1814" s="7">
        <v>3190</v>
      </c>
      <c r="E1814" t="s">
        <v>9</v>
      </c>
      <c r="F1814" s="9">
        <v>3.1</v>
      </c>
    </row>
    <row r="1815" spans="1:6">
      <c r="A1815" t="s">
        <v>6</v>
      </c>
      <c r="B1815" t="s">
        <v>688</v>
      </c>
      <c r="C1815" s="1" t="s">
        <v>706</v>
      </c>
      <c r="D1815" s="7">
        <v>3194</v>
      </c>
      <c r="E1815" t="s">
        <v>9</v>
      </c>
      <c r="F1815" s="9">
        <v>3.2</v>
      </c>
    </row>
    <row r="1816" spans="1:6">
      <c r="A1816" t="s">
        <v>6</v>
      </c>
      <c r="B1816" t="s">
        <v>688</v>
      </c>
      <c r="C1816" s="1" t="s">
        <v>707</v>
      </c>
      <c r="D1816" s="7">
        <v>3198</v>
      </c>
      <c r="E1816" t="s">
        <v>9</v>
      </c>
      <c r="F1816" s="9">
        <v>3.1</v>
      </c>
    </row>
    <row r="1817" spans="1:6">
      <c r="A1817" t="s">
        <v>6</v>
      </c>
      <c r="B1817" t="s">
        <v>688</v>
      </c>
      <c r="C1817" s="1" t="s">
        <v>708</v>
      </c>
      <c r="D1817" s="7">
        <v>3274</v>
      </c>
      <c r="E1817" t="s">
        <v>9</v>
      </c>
      <c r="F1817" s="9">
        <v>3.3</v>
      </c>
    </row>
    <row r="1818" spans="1:6">
      <c r="A1818" t="s">
        <v>6</v>
      </c>
      <c r="B1818" t="s">
        <v>688</v>
      </c>
      <c r="C1818" s="1" t="s">
        <v>709</v>
      </c>
      <c r="D1818" s="7">
        <v>3290</v>
      </c>
      <c r="E1818" t="s">
        <v>9</v>
      </c>
      <c r="F1818" s="9">
        <v>3.3</v>
      </c>
    </row>
    <row r="1819" spans="1:6">
      <c r="A1819" t="s">
        <v>6</v>
      </c>
      <c r="B1819" t="s">
        <v>688</v>
      </c>
      <c r="C1819" s="1" t="s">
        <v>710</v>
      </c>
      <c r="D1819" s="7">
        <v>3298</v>
      </c>
      <c r="E1819" t="s">
        <v>9</v>
      </c>
      <c r="F1819" s="9">
        <v>3.3</v>
      </c>
    </row>
    <row r="1820" spans="1:6">
      <c r="A1820" t="s">
        <v>6</v>
      </c>
      <c r="B1820" t="s">
        <v>688</v>
      </c>
      <c r="C1820" s="1" t="s">
        <v>711</v>
      </c>
      <c r="D1820" s="7">
        <v>3302</v>
      </c>
      <c r="E1820" t="s">
        <v>9</v>
      </c>
      <c r="F1820" s="9">
        <v>3.2</v>
      </c>
    </row>
    <row r="1821" spans="1:6">
      <c r="A1821" t="s">
        <v>6</v>
      </c>
      <c r="B1821" t="s">
        <v>688</v>
      </c>
      <c r="C1821" s="1" t="s">
        <v>712</v>
      </c>
      <c r="D1821" s="7">
        <v>3306</v>
      </c>
      <c r="E1821" t="s">
        <v>9</v>
      </c>
      <c r="F1821" s="9">
        <v>3.4</v>
      </c>
    </row>
    <row r="1822" spans="1:6">
      <c r="A1822" t="s">
        <v>6</v>
      </c>
      <c r="B1822" t="s">
        <v>688</v>
      </c>
      <c r="C1822" s="1" t="s">
        <v>713</v>
      </c>
      <c r="D1822" s="7">
        <v>3310</v>
      </c>
      <c r="E1822" t="s">
        <v>9</v>
      </c>
      <c r="F1822" s="9">
        <v>3.3</v>
      </c>
    </row>
    <row r="1823" spans="1:6">
      <c r="A1823" t="s">
        <v>6</v>
      </c>
      <c r="B1823" t="s">
        <v>688</v>
      </c>
      <c r="C1823" s="1" t="s">
        <v>714</v>
      </c>
      <c r="D1823" s="7">
        <v>3318</v>
      </c>
      <c r="E1823" t="s">
        <v>9</v>
      </c>
      <c r="F1823" s="9">
        <v>3.1</v>
      </c>
    </row>
    <row r="1824" spans="1:6">
      <c r="A1824" t="s">
        <v>6</v>
      </c>
      <c r="B1824" t="s">
        <v>688</v>
      </c>
      <c r="C1824" s="1" t="s">
        <v>715</v>
      </c>
      <c r="D1824" s="7">
        <v>3342</v>
      </c>
      <c r="E1824" t="s">
        <v>9</v>
      </c>
      <c r="F1824" s="9">
        <v>3</v>
      </c>
    </row>
    <row r="1825" spans="1:6">
      <c r="A1825" t="s">
        <v>6</v>
      </c>
      <c r="B1825" t="s">
        <v>688</v>
      </c>
      <c r="C1825" s="1" t="s">
        <v>716</v>
      </c>
      <c r="D1825" s="7">
        <v>3610</v>
      </c>
      <c r="E1825" t="s">
        <v>9</v>
      </c>
      <c r="F1825" s="9">
        <v>2.7</v>
      </c>
    </row>
    <row r="1826" spans="1:6">
      <c r="A1826" t="s">
        <v>6</v>
      </c>
      <c r="B1826" t="s">
        <v>688</v>
      </c>
      <c r="C1826" s="3" t="s">
        <v>689</v>
      </c>
      <c r="D1826" s="7">
        <v>339</v>
      </c>
      <c r="E1826" s="2" t="s">
        <v>10</v>
      </c>
      <c r="F1826" s="10">
        <v>10.1</v>
      </c>
    </row>
    <row r="1827" spans="1:6">
      <c r="A1827" t="s">
        <v>6</v>
      </c>
      <c r="B1827" t="s">
        <v>688</v>
      </c>
      <c r="C1827" s="3" t="s">
        <v>690</v>
      </c>
      <c r="D1827" s="7">
        <v>179</v>
      </c>
      <c r="E1827" s="2" t="s">
        <v>10</v>
      </c>
      <c r="F1827" s="10">
        <v>16.8</v>
      </c>
    </row>
    <row r="1828" spans="1:6">
      <c r="A1828" t="s">
        <v>6</v>
      </c>
      <c r="B1828" t="s">
        <v>688</v>
      </c>
      <c r="C1828" s="3" t="s">
        <v>691</v>
      </c>
      <c r="D1828" s="7">
        <v>183</v>
      </c>
      <c r="E1828" s="2" t="s">
        <v>10</v>
      </c>
      <c r="F1828" s="10">
        <v>15.8</v>
      </c>
    </row>
    <row r="1829" spans="1:6">
      <c r="A1829" t="s">
        <v>6</v>
      </c>
      <c r="B1829" t="s">
        <v>688</v>
      </c>
      <c r="C1829" s="3" t="s">
        <v>692</v>
      </c>
      <c r="D1829" s="7">
        <v>187</v>
      </c>
      <c r="E1829" s="2" t="s">
        <v>10</v>
      </c>
      <c r="F1829" s="10">
        <v>15.4</v>
      </c>
    </row>
    <row r="1830" spans="1:6">
      <c r="A1830" t="s">
        <v>6</v>
      </c>
      <c r="B1830" t="s">
        <v>688</v>
      </c>
      <c r="C1830" s="3" t="s">
        <v>693</v>
      </c>
      <c r="D1830" s="7">
        <v>191</v>
      </c>
      <c r="E1830" s="2" t="s">
        <v>10</v>
      </c>
      <c r="F1830" s="10">
        <v>11.6</v>
      </c>
    </row>
    <row r="1831" spans="1:6">
      <c r="A1831" t="s">
        <v>6</v>
      </c>
      <c r="B1831" s="6" t="s">
        <v>688</v>
      </c>
      <c r="C1831" s="3" t="s">
        <v>694</v>
      </c>
      <c r="D1831" s="7">
        <v>155</v>
      </c>
      <c r="E1831" s="2" t="s">
        <v>10</v>
      </c>
      <c r="F1831" s="10">
        <v>11</v>
      </c>
    </row>
    <row r="1832" spans="1:6">
      <c r="A1832" t="s">
        <v>6</v>
      </c>
      <c r="B1832" t="s">
        <v>688</v>
      </c>
      <c r="C1832" s="1" t="s">
        <v>696</v>
      </c>
      <c r="D1832" s="7">
        <v>3003</v>
      </c>
      <c r="E1832" t="s">
        <v>10</v>
      </c>
      <c r="F1832" s="9">
        <v>11.1</v>
      </c>
    </row>
    <row r="1833" spans="1:6">
      <c r="A1833" t="s">
        <v>6</v>
      </c>
      <c r="B1833" t="s">
        <v>688</v>
      </c>
      <c r="C1833" s="1" t="s">
        <v>697</v>
      </c>
      <c r="D1833" s="7">
        <v>3007</v>
      </c>
      <c r="E1833" t="s">
        <v>10</v>
      </c>
      <c r="F1833" s="9">
        <v>11.1</v>
      </c>
    </row>
    <row r="1834" spans="1:6">
      <c r="A1834" t="s">
        <v>6</v>
      </c>
      <c r="B1834" t="s">
        <v>688</v>
      </c>
      <c r="C1834" s="1" t="s">
        <v>698</v>
      </c>
      <c r="D1834" s="7">
        <v>3011</v>
      </c>
      <c r="E1834" t="s">
        <v>10</v>
      </c>
      <c r="F1834" s="9">
        <v>10.199999999999999</v>
      </c>
    </row>
    <row r="1835" spans="1:6">
      <c r="A1835" t="s">
        <v>6</v>
      </c>
      <c r="B1835" t="s">
        <v>688</v>
      </c>
      <c r="C1835" s="1" t="s">
        <v>699</v>
      </c>
      <c r="D1835" s="7">
        <v>3051</v>
      </c>
      <c r="E1835" t="s">
        <v>10</v>
      </c>
      <c r="F1835" s="9">
        <v>8.8000000000000007</v>
      </c>
    </row>
    <row r="1836" spans="1:6">
      <c r="A1836" t="s">
        <v>6</v>
      </c>
      <c r="B1836" t="s">
        <v>688</v>
      </c>
      <c r="C1836" s="1" t="s">
        <v>700</v>
      </c>
      <c r="D1836" s="7">
        <v>3055</v>
      </c>
      <c r="E1836" t="s">
        <v>10</v>
      </c>
      <c r="F1836" s="9">
        <v>8.3000000000000007</v>
      </c>
    </row>
    <row r="1837" spans="1:6">
      <c r="A1837" t="s">
        <v>6</v>
      </c>
      <c r="B1837" t="s">
        <v>688</v>
      </c>
      <c r="C1837" s="1" t="s">
        <v>701</v>
      </c>
      <c r="D1837" s="7">
        <v>3059</v>
      </c>
      <c r="E1837" t="s">
        <v>10</v>
      </c>
      <c r="F1837" s="9">
        <v>8.1999999999999993</v>
      </c>
    </row>
    <row r="1838" spans="1:6">
      <c r="A1838" t="s">
        <v>6</v>
      </c>
      <c r="B1838" t="s">
        <v>688</v>
      </c>
      <c r="C1838" s="1" t="s">
        <v>702</v>
      </c>
      <c r="D1838" s="7">
        <v>3067</v>
      </c>
      <c r="E1838" t="s">
        <v>10</v>
      </c>
      <c r="F1838" s="9">
        <v>11.2</v>
      </c>
    </row>
    <row r="1839" spans="1:6">
      <c r="A1839" t="s">
        <v>6</v>
      </c>
      <c r="B1839" t="s">
        <v>688</v>
      </c>
      <c r="C1839" s="1" t="s">
        <v>703</v>
      </c>
      <c r="D1839" s="7">
        <v>3087</v>
      </c>
      <c r="E1839" t="s">
        <v>10</v>
      </c>
      <c r="F1839" s="9">
        <v>9.1999999999999993</v>
      </c>
    </row>
    <row r="1840" spans="1:6">
      <c r="A1840" t="s">
        <v>6</v>
      </c>
      <c r="B1840" t="s">
        <v>688</v>
      </c>
      <c r="C1840" s="1" t="s">
        <v>704</v>
      </c>
      <c r="D1840" s="7">
        <v>3123</v>
      </c>
      <c r="E1840" t="s">
        <v>10</v>
      </c>
      <c r="F1840" s="9">
        <v>10.1</v>
      </c>
    </row>
    <row r="1841" spans="1:6">
      <c r="A1841" t="s">
        <v>6</v>
      </c>
      <c r="B1841" t="s">
        <v>688</v>
      </c>
      <c r="C1841" s="1" t="s">
        <v>705</v>
      </c>
      <c r="D1841" s="7">
        <v>3191</v>
      </c>
      <c r="E1841" t="s">
        <v>10</v>
      </c>
      <c r="F1841" s="9">
        <v>10.5</v>
      </c>
    </row>
    <row r="1842" spans="1:6">
      <c r="A1842" t="s">
        <v>6</v>
      </c>
      <c r="B1842" t="s">
        <v>688</v>
      </c>
      <c r="C1842" s="1" t="s">
        <v>706</v>
      </c>
      <c r="D1842" s="7">
        <v>3195</v>
      </c>
      <c r="E1842" t="s">
        <v>10</v>
      </c>
      <c r="F1842" s="9">
        <v>10.3</v>
      </c>
    </row>
    <row r="1843" spans="1:6">
      <c r="A1843" t="s">
        <v>6</v>
      </c>
      <c r="B1843" t="s">
        <v>688</v>
      </c>
      <c r="C1843" s="1" t="s">
        <v>707</v>
      </c>
      <c r="D1843" s="7">
        <v>3199</v>
      </c>
      <c r="E1843" t="s">
        <v>10</v>
      </c>
      <c r="F1843" s="9">
        <v>10.6</v>
      </c>
    </row>
    <row r="1844" spans="1:6">
      <c r="A1844" t="s">
        <v>6</v>
      </c>
      <c r="B1844" t="s">
        <v>688</v>
      </c>
      <c r="C1844" s="1" t="s">
        <v>708</v>
      </c>
      <c r="D1844" s="7">
        <v>3275</v>
      </c>
      <c r="E1844" t="s">
        <v>10</v>
      </c>
      <c r="F1844" s="9">
        <v>10.5</v>
      </c>
    </row>
    <row r="1845" spans="1:6">
      <c r="A1845" t="s">
        <v>6</v>
      </c>
      <c r="B1845" t="s">
        <v>688</v>
      </c>
      <c r="C1845" s="1" t="s">
        <v>709</v>
      </c>
      <c r="D1845" s="7">
        <v>3291</v>
      </c>
      <c r="E1845" t="s">
        <v>10</v>
      </c>
      <c r="F1845" s="9">
        <v>10.8</v>
      </c>
    </row>
    <row r="1846" spans="1:6">
      <c r="A1846" t="s">
        <v>6</v>
      </c>
      <c r="B1846" t="s">
        <v>688</v>
      </c>
      <c r="C1846" s="1" t="s">
        <v>710</v>
      </c>
      <c r="D1846" s="7">
        <v>3299</v>
      </c>
      <c r="E1846" t="s">
        <v>10</v>
      </c>
      <c r="F1846" s="9">
        <v>9.5</v>
      </c>
    </row>
    <row r="1847" spans="1:6">
      <c r="A1847" t="s">
        <v>6</v>
      </c>
      <c r="B1847" t="s">
        <v>688</v>
      </c>
      <c r="C1847" s="1" t="s">
        <v>711</v>
      </c>
      <c r="D1847" s="7">
        <v>3303</v>
      </c>
      <c r="E1847" t="s">
        <v>10</v>
      </c>
      <c r="F1847" s="9">
        <v>9.8000000000000007</v>
      </c>
    </row>
    <row r="1848" spans="1:6">
      <c r="A1848" t="s">
        <v>6</v>
      </c>
      <c r="B1848" t="s">
        <v>688</v>
      </c>
      <c r="C1848" s="1" t="s">
        <v>712</v>
      </c>
      <c r="D1848" s="7">
        <v>3307</v>
      </c>
      <c r="E1848" t="s">
        <v>10</v>
      </c>
      <c r="F1848" s="9">
        <v>10.3</v>
      </c>
    </row>
    <row r="1849" spans="1:6">
      <c r="A1849" t="s">
        <v>6</v>
      </c>
      <c r="B1849" t="s">
        <v>688</v>
      </c>
      <c r="C1849" s="1" t="s">
        <v>713</v>
      </c>
      <c r="D1849" s="7">
        <v>3311</v>
      </c>
      <c r="E1849" t="s">
        <v>10</v>
      </c>
      <c r="F1849" s="9">
        <v>10.9</v>
      </c>
    </row>
    <row r="1850" spans="1:6">
      <c r="A1850" t="s">
        <v>6</v>
      </c>
      <c r="B1850" t="s">
        <v>688</v>
      </c>
      <c r="C1850" s="1" t="s">
        <v>714</v>
      </c>
      <c r="D1850" s="7">
        <v>3319</v>
      </c>
      <c r="E1850" t="s">
        <v>10</v>
      </c>
      <c r="F1850" s="9">
        <v>10.6</v>
      </c>
    </row>
    <row r="1851" spans="1:6">
      <c r="A1851" t="s">
        <v>6</v>
      </c>
      <c r="B1851" t="s">
        <v>688</v>
      </c>
      <c r="C1851" s="1" t="s">
        <v>715</v>
      </c>
      <c r="D1851" s="7">
        <v>3343</v>
      </c>
      <c r="E1851" t="s">
        <v>10</v>
      </c>
      <c r="F1851" s="9">
        <v>8.9</v>
      </c>
    </row>
    <row r="1852" spans="1:6">
      <c r="A1852" t="s">
        <v>6</v>
      </c>
      <c r="B1852" t="s">
        <v>688</v>
      </c>
      <c r="C1852" s="1" t="s">
        <v>716</v>
      </c>
      <c r="D1852" s="7">
        <v>3611</v>
      </c>
      <c r="E1852" t="s">
        <v>10</v>
      </c>
      <c r="F1852" s="9">
        <v>15.1</v>
      </c>
    </row>
    <row r="1853" spans="1:6">
      <c r="A1853" t="s">
        <v>6</v>
      </c>
      <c r="B1853" t="s">
        <v>688</v>
      </c>
      <c r="C1853" s="3" t="s">
        <v>689</v>
      </c>
      <c r="D1853" s="7">
        <v>340</v>
      </c>
      <c r="E1853" s="2" t="s">
        <v>11</v>
      </c>
      <c r="F1853" s="10">
        <v>8.1</v>
      </c>
    </row>
    <row r="1854" spans="1:6">
      <c r="A1854" t="s">
        <v>6</v>
      </c>
      <c r="B1854" t="s">
        <v>688</v>
      </c>
      <c r="C1854" s="3" t="s">
        <v>690</v>
      </c>
      <c r="D1854" s="7">
        <v>180</v>
      </c>
      <c r="E1854" s="2" t="s">
        <v>11</v>
      </c>
      <c r="F1854" s="10">
        <v>8.4</v>
      </c>
    </row>
    <row r="1855" spans="1:6">
      <c r="A1855" t="s">
        <v>6</v>
      </c>
      <c r="B1855" t="s">
        <v>688</v>
      </c>
      <c r="C1855" s="3" t="s">
        <v>691</v>
      </c>
      <c r="D1855" s="7">
        <v>184</v>
      </c>
      <c r="E1855" s="2" t="s">
        <v>11</v>
      </c>
      <c r="F1855" s="10">
        <v>8.5</v>
      </c>
    </row>
    <row r="1856" spans="1:6">
      <c r="A1856" t="s">
        <v>6</v>
      </c>
      <c r="B1856" t="s">
        <v>688</v>
      </c>
      <c r="C1856" s="3" t="s">
        <v>692</v>
      </c>
      <c r="D1856" s="7">
        <v>188</v>
      </c>
      <c r="E1856" s="2" t="s">
        <v>11</v>
      </c>
      <c r="F1856" s="10">
        <v>8.1</v>
      </c>
    </row>
    <row r="1857" spans="1:6">
      <c r="A1857" t="s">
        <v>6</v>
      </c>
      <c r="B1857" t="s">
        <v>688</v>
      </c>
      <c r="C1857" s="3" t="s">
        <v>693</v>
      </c>
      <c r="D1857" s="7">
        <v>192</v>
      </c>
      <c r="E1857" s="2" t="s">
        <v>11</v>
      </c>
      <c r="F1857" s="10">
        <v>9.6</v>
      </c>
    </row>
    <row r="1858" spans="1:6">
      <c r="A1858" t="s">
        <v>6</v>
      </c>
      <c r="B1858" s="6" t="s">
        <v>688</v>
      </c>
      <c r="C1858" s="3" t="s">
        <v>694</v>
      </c>
      <c r="D1858" s="7">
        <v>156</v>
      </c>
      <c r="E1858" s="2" t="s">
        <v>11</v>
      </c>
      <c r="F1858" s="10">
        <v>9.1999999999999993</v>
      </c>
    </row>
    <row r="1859" spans="1:6">
      <c r="A1859" t="s">
        <v>6</v>
      </c>
      <c r="B1859" t="s">
        <v>688</v>
      </c>
      <c r="C1859" s="1" t="s">
        <v>695</v>
      </c>
      <c r="D1859" s="7">
        <v>5361</v>
      </c>
      <c r="E1859" t="s">
        <v>11</v>
      </c>
      <c r="F1859" s="9">
        <v>8.4</v>
      </c>
    </row>
    <row r="1860" spans="1:6">
      <c r="A1860" t="s">
        <v>6</v>
      </c>
      <c r="B1860" t="s">
        <v>688</v>
      </c>
      <c r="C1860" s="1" t="s">
        <v>696</v>
      </c>
      <c r="D1860" s="7">
        <v>3001</v>
      </c>
      <c r="E1860" t="s">
        <v>11</v>
      </c>
      <c r="F1860" s="9">
        <v>8.8000000000000007</v>
      </c>
    </row>
    <row r="1861" spans="1:6">
      <c r="A1861" t="s">
        <v>6</v>
      </c>
      <c r="B1861" t="s">
        <v>688</v>
      </c>
      <c r="C1861" s="1" t="s">
        <v>697</v>
      </c>
      <c r="D1861" s="7">
        <v>3005</v>
      </c>
      <c r="E1861" t="s">
        <v>11</v>
      </c>
      <c r="F1861" s="9">
        <v>8.4</v>
      </c>
    </row>
    <row r="1862" spans="1:6">
      <c r="A1862" t="s">
        <v>6</v>
      </c>
      <c r="B1862" t="s">
        <v>688</v>
      </c>
      <c r="C1862" s="1" t="s">
        <v>698</v>
      </c>
      <c r="D1862" s="7">
        <v>3009</v>
      </c>
      <c r="E1862" t="s">
        <v>11</v>
      </c>
      <c r="F1862" s="9">
        <v>8.1999999999999993</v>
      </c>
    </row>
    <row r="1863" spans="1:6">
      <c r="A1863" t="s">
        <v>6</v>
      </c>
      <c r="B1863" t="s">
        <v>688</v>
      </c>
      <c r="C1863" s="1" t="s">
        <v>699</v>
      </c>
      <c r="D1863" s="7">
        <v>3049</v>
      </c>
      <c r="E1863" t="s">
        <v>11</v>
      </c>
      <c r="F1863" s="9">
        <v>8.3000000000000007</v>
      </c>
    </row>
    <row r="1864" spans="1:6">
      <c r="A1864" t="s">
        <v>6</v>
      </c>
      <c r="B1864" t="s">
        <v>688</v>
      </c>
      <c r="C1864" s="1" t="s">
        <v>700</v>
      </c>
      <c r="D1864" s="7">
        <v>3053</v>
      </c>
      <c r="E1864" t="s">
        <v>11</v>
      </c>
      <c r="F1864" s="9">
        <v>8.3000000000000007</v>
      </c>
    </row>
    <row r="1865" spans="1:6">
      <c r="A1865" t="s">
        <v>6</v>
      </c>
      <c r="B1865" t="s">
        <v>688</v>
      </c>
      <c r="C1865" s="1" t="s">
        <v>701</v>
      </c>
      <c r="D1865" s="7">
        <v>3057</v>
      </c>
      <c r="E1865" t="s">
        <v>11</v>
      </c>
      <c r="F1865" s="9">
        <v>8.6999999999999993</v>
      </c>
    </row>
    <row r="1866" spans="1:6">
      <c r="A1866" t="s">
        <v>6</v>
      </c>
      <c r="B1866" t="s">
        <v>688</v>
      </c>
      <c r="C1866" s="1" t="s">
        <v>702</v>
      </c>
      <c r="D1866" s="7">
        <v>3065</v>
      </c>
      <c r="E1866" t="s">
        <v>11</v>
      </c>
      <c r="F1866" s="9">
        <v>8.1999999999999993</v>
      </c>
    </row>
    <row r="1867" spans="1:6">
      <c r="A1867" t="s">
        <v>6</v>
      </c>
      <c r="B1867" t="s">
        <v>688</v>
      </c>
      <c r="C1867" s="1" t="s">
        <v>703</v>
      </c>
      <c r="D1867" s="7">
        <v>3085</v>
      </c>
      <c r="E1867" t="s">
        <v>11</v>
      </c>
      <c r="F1867" s="9">
        <v>9</v>
      </c>
    </row>
    <row r="1868" spans="1:6">
      <c r="A1868" t="s">
        <v>6</v>
      </c>
      <c r="B1868" t="s">
        <v>688</v>
      </c>
      <c r="C1868" s="1" t="s">
        <v>704</v>
      </c>
      <c r="D1868" s="7">
        <v>3121</v>
      </c>
      <c r="E1868" t="s">
        <v>11</v>
      </c>
      <c r="F1868" s="9">
        <v>8.8000000000000007</v>
      </c>
    </row>
    <row r="1869" spans="1:6">
      <c r="A1869" t="s">
        <v>6</v>
      </c>
      <c r="B1869" t="s">
        <v>688</v>
      </c>
      <c r="C1869" s="1" t="s">
        <v>705</v>
      </c>
      <c r="D1869" s="7">
        <v>3189</v>
      </c>
      <c r="E1869" t="s">
        <v>11</v>
      </c>
      <c r="F1869" s="9">
        <v>8.3000000000000007</v>
      </c>
    </row>
    <row r="1870" spans="1:6">
      <c r="A1870" t="s">
        <v>6</v>
      </c>
      <c r="B1870" t="s">
        <v>688</v>
      </c>
      <c r="C1870" s="1" t="s">
        <v>706</v>
      </c>
      <c r="D1870" s="7">
        <v>3193</v>
      </c>
      <c r="E1870" t="s">
        <v>11</v>
      </c>
      <c r="F1870" s="9">
        <v>8.5</v>
      </c>
    </row>
    <row r="1871" spans="1:6">
      <c r="A1871" t="s">
        <v>6</v>
      </c>
      <c r="B1871" t="s">
        <v>688</v>
      </c>
      <c r="C1871" s="1" t="s">
        <v>707</v>
      </c>
      <c r="D1871" s="7">
        <v>3197</v>
      </c>
      <c r="E1871" t="s">
        <v>11</v>
      </c>
      <c r="F1871" s="9">
        <v>8.8000000000000007</v>
      </c>
    </row>
    <row r="1872" spans="1:6">
      <c r="A1872" t="s">
        <v>6</v>
      </c>
      <c r="B1872" t="s">
        <v>688</v>
      </c>
      <c r="C1872" s="1" t="s">
        <v>708</v>
      </c>
      <c r="D1872" s="7">
        <v>3273</v>
      </c>
      <c r="E1872" t="s">
        <v>11</v>
      </c>
      <c r="F1872" s="9">
        <v>9.3000000000000007</v>
      </c>
    </row>
    <row r="1873" spans="1:6">
      <c r="A1873" t="s">
        <v>6</v>
      </c>
      <c r="B1873" t="s">
        <v>688</v>
      </c>
      <c r="C1873" s="1" t="s">
        <v>709</v>
      </c>
      <c r="D1873" s="7">
        <v>3289</v>
      </c>
      <c r="E1873" t="s">
        <v>11</v>
      </c>
      <c r="F1873" s="9">
        <v>8.9</v>
      </c>
    </row>
    <row r="1874" spans="1:6">
      <c r="A1874" t="s">
        <v>6</v>
      </c>
      <c r="B1874" t="s">
        <v>688</v>
      </c>
      <c r="C1874" s="1" t="s">
        <v>710</v>
      </c>
      <c r="D1874" s="7">
        <v>3297</v>
      </c>
      <c r="E1874" t="s">
        <v>11</v>
      </c>
      <c r="F1874" s="9">
        <v>8.8000000000000007</v>
      </c>
    </row>
    <row r="1875" spans="1:6">
      <c r="A1875" t="s">
        <v>6</v>
      </c>
      <c r="B1875" t="s">
        <v>688</v>
      </c>
      <c r="C1875" s="1" t="s">
        <v>711</v>
      </c>
      <c r="D1875" s="7">
        <v>3301</v>
      </c>
      <c r="E1875" t="s">
        <v>11</v>
      </c>
      <c r="F1875" s="9">
        <v>8.3000000000000007</v>
      </c>
    </row>
    <row r="1876" spans="1:6">
      <c r="A1876" t="s">
        <v>6</v>
      </c>
      <c r="B1876" t="s">
        <v>688</v>
      </c>
      <c r="C1876" s="1" t="s">
        <v>712</v>
      </c>
      <c r="D1876" s="7">
        <v>3305</v>
      </c>
      <c r="E1876" t="s">
        <v>11</v>
      </c>
      <c r="F1876" s="9">
        <v>8.5</v>
      </c>
    </row>
    <row r="1877" spans="1:6">
      <c r="A1877" t="s">
        <v>6</v>
      </c>
      <c r="B1877" t="s">
        <v>688</v>
      </c>
      <c r="C1877" s="1" t="s">
        <v>713</v>
      </c>
      <c r="D1877" s="7">
        <v>3309</v>
      </c>
      <c r="E1877" t="s">
        <v>11</v>
      </c>
      <c r="F1877" s="9">
        <v>9.1</v>
      </c>
    </row>
    <row r="1878" spans="1:6">
      <c r="A1878" t="s">
        <v>6</v>
      </c>
      <c r="B1878" t="s">
        <v>688</v>
      </c>
      <c r="C1878" s="1" t="s">
        <v>714</v>
      </c>
      <c r="D1878" s="7">
        <v>3317</v>
      </c>
      <c r="E1878" t="s">
        <v>11</v>
      </c>
      <c r="F1878" s="9">
        <v>8.6999999999999993</v>
      </c>
    </row>
    <row r="1879" spans="1:6">
      <c r="A1879" t="s">
        <v>6</v>
      </c>
      <c r="B1879" t="s">
        <v>688</v>
      </c>
      <c r="C1879" s="1" t="s">
        <v>715</v>
      </c>
      <c r="D1879" s="7">
        <v>3341</v>
      </c>
      <c r="E1879" t="s">
        <v>11</v>
      </c>
      <c r="F1879" s="9">
        <v>8.6999999999999993</v>
      </c>
    </row>
    <row r="1880" spans="1:6">
      <c r="A1880" t="s">
        <v>6</v>
      </c>
      <c r="B1880" t="s">
        <v>688</v>
      </c>
      <c r="C1880" s="1" t="s">
        <v>716</v>
      </c>
      <c r="D1880" s="7">
        <v>3609</v>
      </c>
      <c r="E1880" t="s">
        <v>11</v>
      </c>
      <c r="F1880" s="9">
        <v>9.1999999999999993</v>
      </c>
    </row>
    <row r="1881" spans="1:6">
      <c r="A1881" t="s">
        <v>6</v>
      </c>
      <c r="B1881" t="s">
        <v>688</v>
      </c>
      <c r="C1881" s="1" t="s">
        <v>717</v>
      </c>
      <c r="D1881" s="7">
        <v>5222</v>
      </c>
      <c r="E1881" t="s">
        <v>12</v>
      </c>
      <c r="F1881" s="9">
        <v>2.4700000000000002</v>
      </c>
    </row>
    <row r="1882" spans="1:6">
      <c r="A1882" t="s">
        <v>6</v>
      </c>
      <c r="B1882" t="s">
        <v>688</v>
      </c>
      <c r="C1882" s="1" t="s">
        <v>718</v>
      </c>
      <c r="D1882" s="7">
        <v>5226</v>
      </c>
      <c r="E1882" t="s">
        <v>12</v>
      </c>
      <c r="F1882" s="9">
        <v>2.69</v>
      </c>
    </row>
    <row r="1883" spans="1:6">
      <c r="A1883" t="s">
        <v>6</v>
      </c>
      <c r="B1883" t="s">
        <v>688</v>
      </c>
      <c r="C1883" s="1" t="s">
        <v>719</v>
      </c>
      <c r="D1883" s="7">
        <v>5230</v>
      </c>
      <c r="E1883" t="s">
        <v>12</v>
      </c>
      <c r="F1883" s="9">
        <v>2.6</v>
      </c>
    </row>
    <row r="1884" spans="1:6">
      <c r="A1884" t="s">
        <v>6</v>
      </c>
      <c r="B1884" t="s">
        <v>688</v>
      </c>
      <c r="C1884" s="1" t="s">
        <v>720</v>
      </c>
      <c r="D1884" s="7">
        <v>5234</v>
      </c>
      <c r="E1884" t="s">
        <v>12</v>
      </c>
      <c r="F1884" s="9">
        <v>2.65</v>
      </c>
    </row>
    <row r="1885" spans="1:6">
      <c r="A1885" t="s">
        <v>6</v>
      </c>
      <c r="B1885" t="s">
        <v>688</v>
      </c>
      <c r="C1885" s="1" t="s">
        <v>721</v>
      </c>
      <c r="D1885" s="7">
        <v>5238</v>
      </c>
      <c r="E1885" t="s">
        <v>12</v>
      </c>
      <c r="F1885" s="9">
        <v>2.41</v>
      </c>
    </row>
    <row r="1886" spans="1:6">
      <c r="A1886" t="s">
        <v>6</v>
      </c>
      <c r="B1886" t="s">
        <v>688</v>
      </c>
      <c r="C1886" s="1" t="s">
        <v>722</v>
      </c>
      <c r="D1886" s="7">
        <v>5214</v>
      </c>
      <c r="E1886" t="s">
        <v>12</v>
      </c>
      <c r="F1886" s="9">
        <v>2.91</v>
      </c>
    </row>
    <row r="1887" spans="1:6">
      <c r="A1887" t="s">
        <v>6</v>
      </c>
      <c r="B1887" t="s">
        <v>688</v>
      </c>
      <c r="C1887" s="1" t="s">
        <v>695</v>
      </c>
      <c r="D1887" s="7">
        <v>5362</v>
      </c>
      <c r="E1887" t="s">
        <v>12</v>
      </c>
      <c r="F1887" s="9">
        <v>2.5499999999999998</v>
      </c>
    </row>
    <row r="1888" spans="1:6">
      <c r="A1888" t="s">
        <v>6</v>
      </c>
      <c r="B1888" t="s">
        <v>688</v>
      </c>
      <c r="C1888" s="1" t="s">
        <v>723</v>
      </c>
      <c r="D1888" s="7">
        <v>5274</v>
      </c>
      <c r="E1888" t="s">
        <v>12</v>
      </c>
      <c r="F1888" s="9">
        <v>2.93</v>
      </c>
    </row>
    <row r="1889" spans="1:6">
      <c r="A1889" t="s">
        <v>6</v>
      </c>
      <c r="B1889" t="s">
        <v>688</v>
      </c>
      <c r="C1889" s="1" t="s">
        <v>724</v>
      </c>
      <c r="D1889" s="7">
        <v>5246</v>
      </c>
      <c r="E1889" t="s">
        <v>12</v>
      </c>
      <c r="F1889" s="9">
        <v>2.86</v>
      </c>
    </row>
    <row r="1890" spans="1:6">
      <c r="A1890" t="s">
        <v>6</v>
      </c>
      <c r="B1890" t="s">
        <v>688</v>
      </c>
      <c r="C1890" s="1" t="s">
        <v>725</v>
      </c>
      <c r="D1890" s="7">
        <v>5242</v>
      </c>
      <c r="E1890" t="s">
        <v>12</v>
      </c>
      <c r="F1890" s="9">
        <v>2.67</v>
      </c>
    </row>
    <row r="1891" spans="1:6">
      <c r="A1891" t="s">
        <v>6</v>
      </c>
      <c r="B1891" t="s">
        <v>688</v>
      </c>
      <c r="C1891" s="1" t="s">
        <v>726</v>
      </c>
      <c r="D1891" s="7">
        <v>5262</v>
      </c>
      <c r="E1891" t="s">
        <v>12</v>
      </c>
      <c r="F1891" s="9">
        <v>2.75</v>
      </c>
    </row>
    <row r="1892" spans="1:6">
      <c r="A1892" t="s">
        <v>6</v>
      </c>
      <c r="B1892" t="s">
        <v>727</v>
      </c>
      <c r="C1892" s="1" t="s">
        <v>728</v>
      </c>
      <c r="D1892" s="7">
        <v>4502</v>
      </c>
      <c r="E1892" t="s">
        <v>9</v>
      </c>
      <c r="F1892" s="9">
        <v>3.4</v>
      </c>
    </row>
    <row r="1893" spans="1:6">
      <c r="A1893" t="s">
        <v>6</v>
      </c>
      <c r="B1893" t="s">
        <v>727</v>
      </c>
      <c r="C1893" s="1" t="s">
        <v>729</v>
      </c>
      <c r="D1893" s="7">
        <v>5899</v>
      </c>
      <c r="E1893" t="s">
        <v>9</v>
      </c>
      <c r="F1893" s="9">
        <v>2.87</v>
      </c>
    </row>
    <row r="1894" spans="1:6">
      <c r="A1894" t="s">
        <v>6</v>
      </c>
      <c r="B1894" t="s">
        <v>727</v>
      </c>
      <c r="C1894" s="1" t="s">
        <v>729</v>
      </c>
      <c r="D1894" s="7">
        <v>6209</v>
      </c>
      <c r="E1894" t="s">
        <v>9</v>
      </c>
      <c r="F1894" s="9">
        <v>2.7</v>
      </c>
    </row>
    <row r="1895" spans="1:6">
      <c r="A1895" t="s">
        <v>6</v>
      </c>
      <c r="B1895" t="s">
        <v>727</v>
      </c>
      <c r="C1895" s="1" t="s">
        <v>730</v>
      </c>
      <c r="D1895" s="7">
        <v>5886</v>
      </c>
      <c r="E1895" t="s">
        <v>9</v>
      </c>
      <c r="F1895" s="9">
        <v>2.83</v>
      </c>
    </row>
    <row r="1896" spans="1:6">
      <c r="A1896" t="s">
        <v>6</v>
      </c>
      <c r="B1896" t="s">
        <v>727</v>
      </c>
      <c r="C1896" s="1" t="s">
        <v>731</v>
      </c>
      <c r="D1896" s="7">
        <v>5854</v>
      </c>
      <c r="E1896" t="s">
        <v>9</v>
      </c>
      <c r="F1896" s="9">
        <v>3.34</v>
      </c>
    </row>
    <row r="1897" spans="1:6">
      <c r="A1897" t="s">
        <v>6</v>
      </c>
      <c r="B1897" t="s">
        <v>727</v>
      </c>
      <c r="C1897" s="1" t="s">
        <v>732</v>
      </c>
      <c r="D1897" s="7">
        <v>5858</v>
      </c>
      <c r="E1897" t="s">
        <v>9</v>
      </c>
      <c r="F1897" s="9">
        <v>3.11</v>
      </c>
    </row>
    <row r="1898" spans="1:6">
      <c r="A1898" t="s">
        <v>6</v>
      </c>
      <c r="B1898" t="s">
        <v>727</v>
      </c>
      <c r="C1898" s="1" t="s">
        <v>733</v>
      </c>
      <c r="D1898" s="7">
        <v>5862</v>
      </c>
      <c r="E1898" t="s">
        <v>9</v>
      </c>
      <c r="F1898" s="9">
        <v>3.08</v>
      </c>
    </row>
    <row r="1899" spans="1:6">
      <c r="A1899" t="s">
        <v>6</v>
      </c>
      <c r="B1899" t="s">
        <v>727</v>
      </c>
      <c r="C1899" s="1" t="s">
        <v>734</v>
      </c>
      <c r="D1899" s="7">
        <v>5866</v>
      </c>
      <c r="E1899" t="s">
        <v>9</v>
      </c>
      <c r="F1899" s="9">
        <v>3.1</v>
      </c>
    </row>
    <row r="1900" spans="1:6">
      <c r="A1900" t="s">
        <v>6</v>
      </c>
      <c r="B1900" t="s">
        <v>727</v>
      </c>
      <c r="C1900" s="1" t="s">
        <v>735</v>
      </c>
      <c r="D1900" s="7">
        <v>5842</v>
      </c>
      <c r="E1900" t="s">
        <v>9</v>
      </c>
      <c r="F1900" s="9">
        <v>2.71</v>
      </c>
    </row>
    <row r="1901" spans="1:6">
      <c r="A1901" t="s">
        <v>6</v>
      </c>
      <c r="B1901" t="s">
        <v>727</v>
      </c>
      <c r="C1901" s="1" t="s">
        <v>736</v>
      </c>
      <c r="D1901" s="7">
        <v>5846</v>
      </c>
      <c r="E1901" t="s">
        <v>9</v>
      </c>
      <c r="F1901" s="9">
        <v>2.65</v>
      </c>
    </row>
    <row r="1902" spans="1:6">
      <c r="A1902" t="s">
        <v>6</v>
      </c>
      <c r="B1902" t="s">
        <v>727</v>
      </c>
      <c r="C1902" s="1" t="s">
        <v>737</v>
      </c>
      <c r="D1902" s="7">
        <v>5870</v>
      </c>
      <c r="E1902" t="s">
        <v>9</v>
      </c>
      <c r="F1902" s="9">
        <v>2.99</v>
      </c>
    </row>
    <row r="1903" spans="1:6">
      <c r="A1903" t="s">
        <v>6</v>
      </c>
      <c r="B1903" t="s">
        <v>727</v>
      </c>
      <c r="C1903" s="1" t="s">
        <v>738</v>
      </c>
      <c r="D1903" s="7">
        <v>5874</v>
      </c>
      <c r="E1903" t="s">
        <v>9</v>
      </c>
      <c r="F1903" s="9">
        <v>3.14</v>
      </c>
    </row>
    <row r="1904" spans="1:6">
      <c r="A1904" t="s">
        <v>6</v>
      </c>
      <c r="B1904" t="s">
        <v>727</v>
      </c>
      <c r="C1904" s="1" t="s">
        <v>739</v>
      </c>
      <c r="D1904" s="7">
        <v>5878</v>
      </c>
      <c r="E1904" t="s">
        <v>9</v>
      </c>
      <c r="F1904" s="9">
        <v>2.65</v>
      </c>
    </row>
    <row r="1905" spans="1:6">
      <c r="A1905" t="s">
        <v>6</v>
      </c>
      <c r="B1905" t="s">
        <v>727</v>
      </c>
      <c r="C1905" s="1" t="s">
        <v>740</v>
      </c>
      <c r="D1905" s="7">
        <v>5882</v>
      </c>
      <c r="E1905" t="s">
        <v>9</v>
      </c>
      <c r="F1905" s="9">
        <v>3.17</v>
      </c>
    </row>
    <row r="1906" spans="1:6">
      <c r="A1906" t="s">
        <v>6</v>
      </c>
      <c r="B1906" t="s">
        <v>727</v>
      </c>
      <c r="C1906" s="1" t="s">
        <v>741</v>
      </c>
      <c r="D1906" s="7">
        <v>6109</v>
      </c>
      <c r="E1906" t="s">
        <v>9</v>
      </c>
      <c r="F1906" s="9">
        <v>3.13</v>
      </c>
    </row>
    <row r="1907" spans="1:6">
      <c r="A1907" t="s">
        <v>6</v>
      </c>
      <c r="B1907" t="s">
        <v>727</v>
      </c>
      <c r="C1907" s="1" t="s">
        <v>742</v>
      </c>
      <c r="D1907" s="7">
        <v>6114</v>
      </c>
      <c r="E1907" t="s">
        <v>9</v>
      </c>
      <c r="F1907" s="9">
        <v>2.95</v>
      </c>
    </row>
    <row r="1908" spans="1:6">
      <c r="A1908" t="s">
        <v>6</v>
      </c>
      <c r="B1908" t="s">
        <v>727</v>
      </c>
      <c r="C1908" s="1" t="s">
        <v>743</v>
      </c>
      <c r="D1908" s="7">
        <v>4494</v>
      </c>
      <c r="E1908" t="s">
        <v>9</v>
      </c>
      <c r="F1908" s="9">
        <v>3.4</v>
      </c>
    </row>
    <row r="1909" spans="1:6">
      <c r="A1909" t="s">
        <v>6</v>
      </c>
      <c r="B1909" t="s">
        <v>727</v>
      </c>
      <c r="C1909" s="1" t="s">
        <v>744</v>
      </c>
      <c r="D1909" s="7">
        <v>4498</v>
      </c>
      <c r="E1909" t="s">
        <v>9</v>
      </c>
      <c r="F1909" s="9">
        <v>3.4</v>
      </c>
    </row>
    <row r="1910" spans="1:6">
      <c r="A1910" t="s">
        <v>6</v>
      </c>
      <c r="B1910" t="s">
        <v>727</v>
      </c>
      <c r="C1910" s="1" t="s">
        <v>728</v>
      </c>
      <c r="D1910" s="7">
        <v>4503</v>
      </c>
      <c r="E1910" t="s">
        <v>10</v>
      </c>
      <c r="F1910" s="9">
        <v>15.8</v>
      </c>
    </row>
    <row r="1911" spans="1:6">
      <c r="A1911" t="s">
        <v>6</v>
      </c>
      <c r="B1911" t="s">
        <v>727</v>
      </c>
      <c r="C1911" s="1" t="s">
        <v>729</v>
      </c>
      <c r="D1911" s="7">
        <v>6212</v>
      </c>
      <c r="E1911" t="s">
        <v>10</v>
      </c>
      <c r="F1911" s="9">
        <v>20.28</v>
      </c>
    </row>
    <row r="1912" spans="1:6">
      <c r="A1912" t="s">
        <v>6</v>
      </c>
      <c r="B1912" t="s">
        <v>727</v>
      </c>
      <c r="C1912" s="1" t="s">
        <v>741</v>
      </c>
      <c r="D1912" s="7">
        <v>6112</v>
      </c>
      <c r="E1912" t="s">
        <v>10</v>
      </c>
      <c r="F1912" s="9">
        <v>21.01</v>
      </c>
    </row>
    <row r="1913" spans="1:6">
      <c r="A1913" t="s">
        <v>6</v>
      </c>
      <c r="B1913" t="s">
        <v>727</v>
      </c>
      <c r="C1913" s="1" t="s">
        <v>742</v>
      </c>
      <c r="D1913" s="7">
        <v>6117</v>
      </c>
      <c r="E1913" t="s">
        <v>10</v>
      </c>
      <c r="F1913" s="9">
        <v>19.98</v>
      </c>
    </row>
    <row r="1914" spans="1:6">
      <c r="A1914" t="s">
        <v>6</v>
      </c>
      <c r="B1914" t="s">
        <v>727</v>
      </c>
      <c r="C1914" s="1" t="s">
        <v>743</v>
      </c>
      <c r="D1914" s="7">
        <v>4495</v>
      </c>
      <c r="E1914" t="s">
        <v>10</v>
      </c>
      <c r="F1914" s="9">
        <v>17.2</v>
      </c>
    </row>
    <row r="1915" spans="1:6">
      <c r="A1915" t="s">
        <v>6</v>
      </c>
      <c r="B1915" t="s">
        <v>727</v>
      </c>
      <c r="C1915" s="1" t="s">
        <v>744</v>
      </c>
      <c r="D1915" s="7">
        <v>4499</v>
      </c>
      <c r="E1915" t="s">
        <v>10</v>
      </c>
      <c r="F1915" s="9">
        <v>15.5</v>
      </c>
    </row>
    <row r="1916" spans="1:6">
      <c r="A1916" t="s">
        <v>6</v>
      </c>
      <c r="B1916" t="s">
        <v>727</v>
      </c>
      <c r="C1916" s="1" t="s">
        <v>728</v>
      </c>
      <c r="D1916" s="7">
        <v>4501</v>
      </c>
      <c r="E1916" t="s">
        <v>11</v>
      </c>
      <c r="F1916" s="9">
        <v>8.6999999999999993</v>
      </c>
    </row>
    <row r="1917" spans="1:6">
      <c r="A1917" t="s">
        <v>6</v>
      </c>
      <c r="B1917" t="s">
        <v>727</v>
      </c>
      <c r="C1917" s="1" t="s">
        <v>729</v>
      </c>
      <c r="D1917" s="7">
        <v>5900</v>
      </c>
      <c r="E1917" t="s">
        <v>11</v>
      </c>
      <c r="F1917" s="9">
        <v>9.0399999999999991</v>
      </c>
    </row>
    <row r="1918" spans="1:6">
      <c r="A1918" t="s">
        <v>6</v>
      </c>
      <c r="B1918" t="s">
        <v>727</v>
      </c>
      <c r="C1918" s="1" t="s">
        <v>729</v>
      </c>
      <c r="D1918" s="7">
        <v>6210</v>
      </c>
      <c r="E1918" t="s">
        <v>11</v>
      </c>
      <c r="F1918" s="9">
        <v>9.1999999999999993</v>
      </c>
    </row>
    <row r="1919" spans="1:6">
      <c r="A1919" t="s">
        <v>6</v>
      </c>
      <c r="B1919" t="s">
        <v>727</v>
      </c>
      <c r="C1919" s="1" t="s">
        <v>730</v>
      </c>
      <c r="D1919" s="7">
        <v>5887</v>
      </c>
      <c r="E1919" t="s">
        <v>11</v>
      </c>
      <c r="F1919" s="9">
        <v>8.58</v>
      </c>
    </row>
    <row r="1920" spans="1:6">
      <c r="A1920" t="s">
        <v>6</v>
      </c>
      <c r="B1920" t="s">
        <v>727</v>
      </c>
      <c r="C1920" s="1" t="s">
        <v>731</v>
      </c>
      <c r="D1920" s="7">
        <v>5855</v>
      </c>
      <c r="E1920" t="s">
        <v>11</v>
      </c>
      <c r="F1920" s="9">
        <v>9.59</v>
      </c>
    </row>
    <row r="1921" spans="1:6">
      <c r="A1921" t="s">
        <v>6</v>
      </c>
      <c r="B1921" t="s">
        <v>727</v>
      </c>
      <c r="C1921" s="1" t="s">
        <v>732</v>
      </c>
      <c r="D1921" s="7">
        <v>5859</v>
      </c>
      <c r="E1921" t="s">
        <v>11</v>
      </c>
      <c r="F1921" s="9">
        <v>9.35</v>
      </c>
    </row>
    <row r="1922" spans="1:6">
      <c r="A1922" t="s">
        <v>6</v>
      </c>
      <c r="B1922" t="s">
        <v>727</v>
      </c>
      <c r="C1922" s="1" t="s">
        <v>733</v>
      </c>
      <c r="D1922" s="7">
        <v>5863</v>
      </c>
      <c r="E1922" t="s">
        <v>11</v>
      </c>
      <c r="F1922" s="9">
        <v>9.2899999999999991</v>
      </c>
    </row>
    <row r="1923" spans="1:6">
      <c r="A1923" t="s">
        <v>6</v>
      </c>
      <c r="B1923" t="s">
        <v>727</v>
      </c>
      <c r="C1923" s="1" t="s">
        <v>734</v>
      </c>
      <c r="D1923" s="7">
        <v>5867</v>
      </c>
      <c r="E1923" t="s">
        <v>11</v>
      </c>
      <c r="F1923" s="9">
        <v>8.75</v>
      </c>
    </row>
    <row r="1924" spans="1:6">
      <c r="A1924" t="s">
        <v>6</v>
      </c>
      <c r="B1924" t="s">
        <v>727</v>
      </c>
      <c r="C1924" s="1" t="s">
        <v>735</v>
      </c>
      <c r="D1924" s="7">
        <v>5843</v>
      </c>
      <c r="E1924" t="s">
        <v>11</v>
      </c>
      <c r="F1924" s="9">
        <v>9.36</v>
      </c>
    </row>
    <row r="1925" spans="1:6">
      <c r="A1925" t="s">
        <v>6</v>
      </c>
      <c r="B1925" t="s">
        <v>727</v>
      </c>
      <c r="C1925" s="1" t="s">
        <v>736</v>
      </c>
      <c r="D1925" s="7">
        <v>5847</v>
      </c>
      <c r="E1925" t="s">
        <v>11</v>
      </c>
      <c r="F1925" s="9">
        <v>9.0500000000000007</v>
      </c>
    </row>
    <row r="1926" spans="1:6">
      <c r="A1926" t="s">
        <v>6</v>
      </c>
      <c r="B1926" t="s">
        <v>727</v>
      </c>
      <c r="C1926" s="1" t="s">
        <v>737</v>
      </c>
      <c r="D1926" s="7">
        <v>5871</v>
      </c>
      <c r="E1926" t="s">
        <v>11</v>
      </c>
      <c r="F1926" s="9">
        <v>9.41</v>
      </c>
    </row>
    <row r="1927" spans="1:6">
      <c r="A1927" t="s">
        <v>6</v>
      </c>
      <c r="B1927" t="s">
        <v>727</v>
      </c>
      <c r="C1927" s="1" t="s">
        <v>738</v>
      </c>
      <c r="D1927" s="7">
        <v>5875</v>
      </c>
      <c r="E1927" t="s">
        <v>11</v>
      </c>
      <c r="F1927" s="9">
        <v>8.7799999999999994</v>
      </c>
    </row>
    <row r="1928" spans="1:6">
      <c r="A1928" t="s">
        <v>6</v>
      </c>
      <c r="B1928" t="s">
        <v>727</v>
      </c>
      <c r="C1928" s="1" t="s">
        <v>739</v>
      </c>
      <c r="D1928" s="7">
        <v>5879</v>
      </c>
      <c r="E1928" t="s">
        <v>11</v>
      </c>
      <c r="F1928" s="9">
        <v>9.1199999999999992</v>
      </c>
    </row>
    <row r="1929" spans="1:6">
      <c r="A1929" t="s">
        <v>6</v>
      </c>
      <c r="B1929" t="s">
        <v>727</v>
      </c>
      <c r="C1929" s="1" t="s">
        <v>740</v>
      </c>
      <c r="D1929" s="7">
        <v>5883</v>
      </c>
      <c r="E1929" t="s">
        <v>11</v>
      </c>
      <c r="F1929" s="9">
        <v>8.75</v>
      </c>
    </row>
    <row r="1930" spans="1:6">
      <c r="A1930" t="s">
        <v>6</v>
      </c>
      <c r="B1930" t="s">
        <v>727</v>
      </c>
      <c r="C1930" s="1" t="s">
        <v>741</v>
      </c>
      <c r="D1930" s="7">
        <v>6110</v>
      </c>
      <c r="E1930" t="s">
        <v>11</v>
      </c>
      <c r="F1930" s="9">
        <v>9.64</v>
      </c>
    </row>
    <row r="1931" spans="1:6">
      <c r="A1931" t="s">
        <v>6</v>
      </c>
      <c r="B1931" t="s">
        <v>727</v>
      </c>
      <c r="C1931" s="1" t="s">
        <v>743</v>
      </c>
      <c r="D1931" s="7">
        <v>4493</v>
      </c>
      <c r="E1931" t="s">
        <v>11</v>
      </c>
      <c r="F1931" s="9">
        <v>9</v>
      </c>
    </row>
    <row r="1932" spans="1:6">
      <c r="A1932" t="s">
        <v>6</v>
      </c>
      <c r="B1932" t="s">
        <v>727</v>
      </c>
      <c r="C1932" s="1" t="s">
        <v>744</v>
      </c>
      <c r="D1932" s="7">
        <v>4497</v>
      </c>
      <c r="E1932" t="s">
        <v>11</v>
      </c>
      <c r="F1932" s="9">
        <v>8.6999999999999993</v>
      </c>
    </row>
    <row r="1933" spans="1:6">
      <c r="A1933" t="s">
        <v>6</v>
      </c>
      <c r="B1933" t="s">
        <v>727</v>
      </c>
      <c r="C1933" s="1" t="s">
        <v>729</v>
      </c>
      <c r="D1933" s="7">
        <v>5901</v>
      </c>
      <c r="E1933" t="s">
        <v>12</v>
      </c>
      <c r="F1933" s="9">
        <v>2.7</v>
      </c>
    </row>
    <row r="1934" spans="1:6">
      <c r="A1934" t="s">
        <v>6</v>
      </c>
      <c r="B1934" t="s">
        <v>727</v>
      </c>
      <c r="C1934" s="1" t="s">
        <v>729</v>
      </c>
      <c r="D1934" s="7">
        <v>6211</v>
      </c>
      <c r="E1934" t="s">
        <v>12</v>
      </c>
      <c r="F1934" s="9">
        <v>2.5</v>
      </c>
    </row>
    <row r="1935" spans="1:6">
      <c r="A1935" t="s">
        <v>6</v>
      </c>
      <c r="B1935" t="s">
        <v>727</v>
      </c>
      <c r="C1935" s="1" t="s">
        <v>730</v>
      </c>
      <c r="D1935" s="7">
        <v>5888</v>
      </c>
      <c r="E1935" t="s">
        <v>12</v>
      </c>
      <c r="F1935" s="9">
        <v>2.56</v>
      </c>
    </row>
    <row r="1936" spans="1:6">
      <c r="A1936" t="s">
        <v>6</v>
      </c>
      <c r="B1936" t="s">
        <v>727</v>
      </c>
      <c r="C1936" s="1" t="s">
        <v>731</v>
      </c>
      <c r="D1936" s="7">
        <v>5856</v>
      </c>
      <c r="E1936" t="s">
        <v>12</v>
      </c>
      <c r="F1936" s="9">
        <v>2.92</v>
      </c>
    </row>
    <row r="1937" spans="1:6">
      <c r="A1937" t="s">
        <v>6</v>
      </c>
      <c r="B1937" t="s">
        <v>727</v>
      </c>
      <c r="C1937" s="1" t="s">
        <v>732</v>
      </c>
      <c r="D1937" s="7">
        <v>5860</v>
      </c>
      <c r="E1937" t="s">
        <v>12</v>
      </c>
      <c r="F1937" s="9">
        <v>2.88</v>
      </c>
    </row>
    <row r="1938" spans="1:6">
      <c r="A1938" t="s">
        <v>6</v>
      </c>
      <c r="B1938" t="s">
        <v>727</v>
      </c>
      <c r="C1938" s="1" t="s">
        <v>733</v>
      </c>
      <c r="D1938" s="7">
        <v>5864</v>
      </c>
      <c r="E1938" t="s">
        <v>12</v>
      </c>
      <c r="F1938" s="9">
        <v>2.86</v>
      </c>
    </row>
    <row r="1939" spans="1:6">
      <c r="A1939" t="s">
        <v>6</v>
      </c>
      <c r="B1939" t="s">
        <v>727</v>
      </c>
      <c r="C1939" s="1" t="s">
        <v>734</v>
      </c>
      <c r="D1939" s="7">
        <v>5868</v>
      </c>
      <c r="E1939" t="s">
        <v>12</v>
      </c>
      <c r="F1939" s="9">
        <v>2.85</v>
      </c>
    </row>
    <row r="1940" spans="1:6">
      <c r="A1940" t="s">
        <v>6</v>
      </c>
      <c r="B1940" t="s">
        <v>727</v>
      </c>
      <c r="C1940" s="1" t="s">
        <v>735</v>
      </c>
      <c r="D1940" s="7">
        <v>5844</v>
      </c>
      <c r="E1940" t="s">
        <v>12</v>
      </c>
      <c r="F1940" s="9">
        <v>2.67</v>
      </c>
    </row>
    <row r="1941" spans="1:6">
      <c r="A1941" t="s">
        <v>6</v>
      </c>
      <c r="B1941" t="s">
        <v>727</v>
      </c>
      <c r="C1941" s="1" t="s">
        <v>736</v>
      </c>
      <c r="D1941" s="7">
        <v>5848</v>
      </c>
      <c r="E1941" t="s">
        <v>12</v>
      </c>
      <c r="F1941" s="9">
        <v>2.85</v>
      </c>
    </row>
    <row r="1942" spans="1:6">
      <c r="A1942" t="s">
        <v>6</v>
      </c>
      <c r="B1942" t="s">
        <v>727</v>
      </c>
      <c r="C1942" s="1" t="s">
        <v>737</v>
      </c>
      <c r="D1942" s="7">
        <v>5872</v>
      </c>
      <c r="E1942" t="s">
        <v>12</v>
      </c>
      <c r="F1942" s="9">
        <v>2.68</v>
      </c>
    </row>
    <row r="1943" spans="1:6">
      <c r="A1943" t="s">
        <v>6</v>
      </c>
      <c r="B1943" t="s">
        <v>727</v>
      </c>
      <c r="C1943" s="1" t="s">
        <v>738</v>
      </c>
      <c r="D1943" s="7">
        <v>5876</v>
      </c>
      <c r="E1943" t="s">
        <v>12</v>
      </c>
      <c r="F1943" s="9">
        <v>2.86</v>
      </c>
    </row>
    <row r="1944" spans="1:6">
      <c r="A1944" t="s">
        <v>6</v>
      </c>
      <c r="B1944" t="s">
        <v>727</v>
      </c>
      <c r="C1944" s="1" t="s">
        <v>739</v>
      </c>
      <c r="D1944" s="7">
        <v>5880</v>
      </c>
      <c r="E1944" t="s">
        <v>12</v>
      </c>
      <c r="F1944" s="9">
        <v>2.69</v>
      </c>
    </row>
    <row r="1945" spans="1:6">
      <c r="A1945" t="s">
        <v>6</v>
      </c>
      <c r="B1945" t="s">
        <v>727</v>
      </c>
      <c r="C1945" s="1" t="s">
        <v>740</v>
      </c>
      <c r="D1945" s="7">
        <v>5884</v>
      </c>
      <c r="E1945" t="s">
        <v>12</v>
      </c>
      <c r="F1945" s="9">
        <v>2.69</v>
      </c>
    </row>
    <row r="1946" spans="1:6">
      <c r="A1946" t="s">
        <v>6</v>
      </c>
      <c r="B1946" t="s">
        <v>727</v>
      </c>
      <c r="C1946" s="1" t="s">
        <v>741</v>
      </c>
      <c r="D1946" s="7">
        <v>6111</v>
      </c>
      <c r="E1946" t="s">
        <v>12</v>
      </c>
      <c r="F1946" s="9">
        <v>2.69</v>
      </c>
    </row>
    <row r="1947" spans="1:6">
      <c r="A1947" t="s">
        <v>6</v>
      </c>
      <c r="B1947" t="s">
        <v>745</v>
      </c>
      <c r="C1947" s="3" t="s">
        <v>746</v>
      </c>
      <c r="D1947" s="7">
        <v>301</v>
      </c>
      <c r="E1947" s="2" t="s">
        <v>9</v>
      </c>
      <c r="F1947" s="10">
        <v>3.4</v>
      </c>
    </row>
    <row r="1948" spans="1:6">
      <c r="A1948" t="s">
        <v>6</v>
      </c>
      <c r="B1948" t="s">
        <v>745</v>
      </c>
      <c r="C1948" s="3" t="s">
        <v>747</v>
      </c>
      <c r="D1948" s="7">
        <v>305</v>
      </c>
      <c r="E1948" s="2" t="s">
        <v>9</v>
      </c>
      <c r="F1948" s="10">
        <v>3.5</v>
      </c>
    </row>
    <row r="1949" spans="1:6">
      <c r="A1949" t="s">
        <v>6</v>
      </c>
      <c r="B1949" t="s">
        <v>745</v>
      </c>
      <c r="C1949" s="3" t="s">
        <v>748</v>
      </c>
      <c r="D1949" s="7">
        <v>309</v>
      </c>
      <c r="E1949" s="2" t="s">
        <v>9</v>
      </c>
      <c r="F1949" s="10">
        <v>3.6</v>
      </c>
    </row>
    <row r="1950" spans="1:6">
      <c r="A1950" t="s">
        <v>6</v>
      </c>
      <c r="B1950" s="6" t="s">
        <v>745</v>
      </c>
      <c r="C1950" s="5" t="s">
        <v>749</v>
      </c>
      <c r="D1950" s="7">
        <v>385</v>
      </c>
      <c r="E1950" s="2" t="s">
        <v>9</v>
      </c>
      <c r="F1950" s="10">
        <v>3.2</v>
      </c>
    </row>
    <row r="1951" spans="1:6">
      <c r="A1951" t="s">
        <v>6</v>
      </c>
      <c r="B1951" t="s">
        <v>745</v>
      </c>
      <c r="C1951" s="1" t="s">
        <v>749</v>
      </c>
      <c r="D1951" s="7">
        <v>4506</v>
      </c>
      <c r="E1951" t="s">
        <v>9</v>
      </c>
      <c r="F1951" s="9">
        <v>3.1</v>
      </c>
    </row>
    <row r="1952" spans="1:6">
      <c r="A1952" t="s">
        <v>6</v>
      </c>
      <c r="B1952" t="s">
        <v>745</v>
      </c>
      <c r="C1952" s="1" t="s">
        <v>750</v>
      </c>
      <c r="D1952" s="7">
        <v>6259</v>
      </c>
      <c r="E1952" t="s">
        <v>9</v>
      </c>
      <c r="F1952" s="9">
        <v>2.59</v>
      </c>
    </row>
    <row r="1953" spans="1:6">
      <c r="A1953" t="s">
        <v>6</v>
      </c>
      <c r="B1953" t="s">
        <v>745</v>
      </c>
      <c r="C1953" s="1" t="s">
        <v>751</v>
      </c>
      <c r="D1953" s="7">
        <v>6084</v>
      </c>
      <c r="E1953" t="s">
        <v>9</v>
      </c>
      <c r="F1953" s="9">
        <v>2.73</v>
      </c>
    </row>
    <row r="1954" spans="1:6">
      <c r="A1954" t="s">
        <v>6</v>
      </c>
      <c r="B1954" t="s">
        <v>745</v>
      </c>
      <c r="C1954" s="1" t="s">
        <v>752</v>
      </c>
      <c r="D1954" s="7">
        <v>6219</v>
      </c>
      <c r="E1954" t="s">
        <v>9</v>
      </c>
      <c r="F1954" s="9">
        <v>2.86</v>
      </c>
    </row>
    <row r="1955" spans="1:6">
      <c r="A1955" t="s">
        <v>6</v>
      </c>
      <c r="B1955" t="s">
        <v>745</v>
      </c>
      <c r="C1955" s="1" t="s">
        <v>753</v>
      </c>
      <c r="D1955" s="7">
        <v>6089</v>
      </c>
      <c r="E1955" t="s">
        <v>9</v>
      </c>
      <c r="F1955" s="9">
        <v>3.15</v>
      </c>
    </row>
    <row r="1956" spans="1:6">
      <c r="A1956" t="s">
        <v>6</v>
      </c>
      <c r="B1956" t="s">
        <v>745</v>
      </c>
      <c r="C1956" s="1" t="s">
        <v>754</v>
      </c>
      <c r="D1956" s="7">
        <v>5959</v>
      </c>
      <c r="E1956" t="s">
        <v>9</v>
      </c>
      <c r="F1956" s="9">
        <v>2.85</v>
      </c>
    </row>
    <row r="1957" spans="1:6">
      <c r="A1957" t="s">
        <v>6</v>
      </c>
      <c r="B1957" t="s">
        <v>745</v>
      </c>
      <c r="C1957" s="1" t="s">
        <v>755</v>
      </c>
      <c r="D1957" s="7">
        <v>6264</v>
      </c>
      <c r="E1957" t="s">
        <v>9</v>
      </c>
      <c r="F1957" s="9">
        <v>2.7</v>
      </c>
    </row>
    <row r="1958" spans="1:6">
      <c r="A1958" t="s">
        <v>6</v>
      </c>
      <c r="B1958" t="s">
        <v>745</v>
      </c>
      <c r="C1958" s="1" t="s">
        <v>756</v>
      </c>
      <c r="D1958" s="7">
        <v>5934</v>
      </c>
      <c r="E1958" t="s">
        <v>9</v>
      </c>
      <c r="F1958" s="9">
        <v>2.83</v>
      </c>
    </row>
    <row r="1959" spans="1:6">
      <c r="A1959" t="s">
        <v>6</v>
      </c>
      <c r="B1959" t="s">
        <v>745</v>
      </c>
      <c r="C1959" s="1" t="s">
        <v>757</v>
      </c>
      <c r="D1959" s="7">
        <v>5826</v>
      </c>
      <c r="E1959" t="s">
        <v>9</v>
      </c>
      <c r="F1959" s="9">
        <v>2.85</v>
      </c>
    </row>
    <row r="1960" spans="1:6">
      <c r="A1960" t="s">
        <v>6</v>
      </c>
      <c r="B1960" t="s">
        <v>745</v>
      </c>
      <c r="C1960" s="1" t="s">
        <v>758</v>
      </c>
      <c r="D1960" s="7">
        <v>6079</v>
      </c>
      <c r="E1960" t="s">
        <v>9</v>
      </c>
      <c r="F1960" s="9">
        <v>2.54</v>
      </c>
    </row>
    <row r="1961" spans="1:6">
      <c r="A1961" t="s">
        <v>6</v>
      </c>
      <c r="B1961" t="s">
        <v>745</v>
      </c>
      <c r="C1961" s="1" t="s">
        <v>758</v>
      </c>
      <c r="D1961" s="7">
        <v>6224</v>
      </c>
      <c r="E1961" t="s">
        <v>9</v>
      </c>
      <c r="F1961" s="9">
        <v>2.97</v>
      </c>
    </row>
    <row r="1962" spans="1:6">
      <c r="A1962" t="s">
        <v>6</v>
      </c>
      <c r="B1962" t="s">
        <v>745</v>
      </c>
      <c r="C1962" s="1" t="s">
        <v>759</v>
      </c>
      <c r="D1962" s="7">
        <v>5710</v>
      </c>
      <c r="E1962" t="s">
        <v>9</v>
      </c>
      <c r="F1962" s="9">
        <v>2.75</v>
      </c>
    </row>
    <row r="1963" spans="1:6">
      <c r="A1963" t="s">
        <v>6</v>
      </c>
      <c r="B1963" t="s">
        <v>745</v>
      </c>
      <c r="C1963" s="1" t="s">
        <v>760</v>
      </c>
      <c r="D1963" s="7">
        <v>5949</v>
      </c>
      <c r="E1963" t="s">
        <v>9</v>
      </c>
      <c r="F1963" s="9">
        <v>2.96</v>
      </c>
    </row>
    <row r="1964" spans="1:6">
      <c r="A1964" t="s">
        <v>6</v>
      </c>
      <c r="B1964" t="s">
        <v>745</v>
      </c>
      <c r="C1964" s="1" t="s">
        <v>761</v>
      </c>
      <c r="D1964" s="7">
        <v>3234</v>
      </c>
      <c r="E1964" t="s">
        <v>9</v>
      </c>
      <c r="F1964" s="9">
        <v>2.6</v>
      </c>
    </row>
    <row r="1965" spans="1:6">
      <c r="A1965" t="s">
        <v>6</v>
      </c>
      <c r="B1965" t="s">
        <v>745</v>
      </c>
      <c r="C1965" s="1" t="s">
        <v>762</v>
      </c>
      <c r="D1965" s="7">
        <v>3322</v>
      </c>
      <c r="E1965" t="s">
        <v>9</v>
      </c>
      <c r="F1965" s="9">
        <v>2.8</v>
      </c>
    </row>
    <row r="1966" spans="1:6">
      <c r="A1966" t="s">
        <v>6</v>
      </c>
      <c r="B1966" t="s">
        <v>745</v>
      </c>
      <c r="C1966" s="1" t="s">
        <v>763</v>
      </c>
      <c r="D1966" s="7">
        <v>3326</v>
      </c>
      <c r="E1966" t="s">
        <v>9</v>
      </c>
      <c r="F1966" s="9">
        <v>2.6</v>
      </c>
    </row>
    <row r="1967" spans="1:6">
      <c r="A1967" t="s">
        <v>6</v>
      </c>
      <c r="B1967" t="s">
        <v>745</v>
      </c>
      <c r="C1967" s="1" t="s">
        <v>764</v>
      </c>
      <c r="D1967" s="7">
        <v>3398</v>
      </c>
      <c r="E1967" t="s">
        <v>9</v>
      </c>
      <c r="F1967" s="9">
        <v>2.8</v>
      </c>
    </row>
    <row r="1968" spans="1:6">
      <c r="A1968" t="s">
        <v>6</v>
      </c>
      <c r="B1968" t="s">
        <v>745</v>
      </c>
      <c r="C1968" s="1" t="s">
        <v>765</v>
      </c>
      <c r="D1968" s="7">
        <v>4238</v>
      </c>
      <c r="E1968" t="s">
        <v>9</v>
      </c>
      <c r="F1968" s="9">
        <v>3.2</v>
      </c>
    </row>
    <row r="1969" spans="1:6">
      <c r="A1969" t="s">
        <v>6</v>
      </c>
      <c r="B1969" t="s">
        <v>745</v>
      </c>
      <c r="C1969" s="1" t="s">
        <v>766</v>
      </c>
      <c r="D1969" s="7">
        <v>4242</v>
      </c>
      <c r="E1969" t="s">
        <v>9</v>
      </c>
      <c r="F1969" s="9">
        <v>3</v>
      </c>
    </row>
    <row r="1970" spans="1:6">
      <c r="A1970" t="s">
        <v>6</v>
      </c>
      <c r="B1970" t="s">
        <v>745</v>
      </c>
      <c r="C1970" s="1" t="s">
        <v>767</v>
      </c>
      <c r="D1970" s="7">
        <v>4274</v>
      </c>
      <c r="E1970" t="s">
        <v>9</v>
      </c>
      <c r="F1970" s="9">
        <v>2.9</v>
      </c>
    </row>
    <row r="1971" spans="1:6">
      <c r="A1971" t="s">
        <v>6</v>
      </c>
      <c r="B1971" t="s">
        <v>745</v>
      </c>
      <c r="C1971" s="3" t="s">
        <v>746</v>
      </c>
      <c r="D1971" s="7">
        <v>299</v>
      </c>
      <c r="E1971" s="2" t="s">
        <v>10</v>
      </c>
      <c r="F1971" s="10">
        <v>18.2</v>
      </c>
    </row>
    <row r="1972" spans="1:6">
      <c r="A1972" t="s">
        <v>6</v>
      </c>
      <c r="B1972" t="s">
        <v>745</v>
      </c>
      <c r="C1972" s="3" t="s">
        <v>747</v>
      </c>
      <c r="D1972" s="7">
        <v>303</v>
      </c>
      <c r="E1972" s="2" t="s">
        <v>10</v>
      </c>
      <c r="F1972" s="10">
        <v>18.2</v>
      </c>
    </row>
    <row r="1973" spans="1:6">
      <c r="A1973" t="s">
        <v>6</v>
      </c>
      <c r="B1973" t="s">
        <v>745</v>
      </c>
      <c r="C1973" s="3" t="s">
        <v>748</v>
      </c>
      <c r="D1973" s="7">
        <v>307</v>
      </c>
      <c r="E1973" s="2" t="s">
        <v>10</v>
      </c>
      <c r="F1973" s="10">
        <v>20</v>
      </c>
    </row>
    <row r="1974" spans="1:6">
      <c r="A1974" t="s">
        <v>6</v>
      </c>
      <c r="B1974" s="6" t="s">
        <v>745</v>
      </c>
      <c r="C1974" s="5" t="s">
        <v>749</v>
      </c>
      <c r="D1974" s="7">
        <v>383</v>
      </c>
      <c r="E1974" s="2" t="s">
        <v>10</v>
      </c>
      <c r="F1974" s="10">
        <v>17</v>
      </c>
    </row>
    <row r="1975" spans="1:6">
      <c r="A1975" t="s">
        <v>6</v>
      </c>
      <c r="B1975" t="s">
        <v>745</v>
      </c>
      <c r="C1975" s="1" t="s">
        <v>749</v>
      </c>
      <c r="D1975" s="7">
        <v>4507</v>
      </c>
      <c r="E1975" t="s">
        <v>10</v>
      </c>
      <c r="F1975" s="9">
        <v>11.1</v>
      </c>
    </row>
    <row r="1976" spans="1:6">
      <c r="A1976" t="s">
        <v>6</v>
      </c>
      <c r="B1976" t="s">
        <v>745</v>
      </c>
      <c r="C1976" s="1" t="s">
        <v>750</v>
      </c>
      <c r="D1976" s="7">
        <v>6262</v>
      </c>
      <c r="E1976" t="s">
        <v>10</v>
      </c>
      <c r="F1976" s="9">
        <v>16.5</v>
      </c>
    </row>
    <row r="1977" spans="1:6">
      <c r="A1977" t="s">
        <v>6</v>
      </c>
      <c r="B1977" t="s">
        <v>745</v>
      </c>
      <c r="C1977" s="1" t="s">
        <v>751</v>
      </c>
      <c r="D1977" s="7">
        <v>6087</v>
      </c>
      <c r="E1977" t="s">
        <v>10</v>
      </c>
      <c r="F1977" s="9">
        <v>15.33</v>
      </c>
    </row>
    <row r="1978" spans="1:6">
      <c r="A1978" t="s">
        <v>6</v>
      </c>
      <c r="B1978" t="s">
        <v>745</v>
      </c>
      <c r="C1978" s="1" t="s">
        <v>752</v>
      </c>
      <c r="D1978" s="7">
        <v>6222</v>
      </c>
      <c r="E1978" t="s">
        <v>10</v>
      </c>
      <c r="F1978" s="9">
        <v>13.58</v>
      </c>
    </row>
    <row r="1979" spans="1:6">
      <c r="A1979" t="s">
        <v>6</v>
      </c>
      <c r="B1979" t="s">
        <v>745</v>
      </c>
      <c r="C1979" s="1" t="s">
        <v>753</v>
      </c>
      <c r="D1979" s="7">
        <v>6092</v>
      </c>
      <c r="E1979" t="s">
        <v>10</v>
      </c>
      <c r="F1979" s="9">
        <v>15.97</v>
      </c>
    </row>
    <row r="1980" spans="1:6">
      <c r="A1980" t="s">
        <v>6</v>
      </c>
      <c r="B1980" t="s">
        <v>745</v>
      </c>
      <c r="C1980" s="1" t="s">
        <v>754</v>
      </c>
      <c r="D1980" s="7">
        <v>5962</v>
      </c>
      <c r="E1980" t="s">
        <v>10</v>
      </c>
      <c r="F1980" s="9">
        <v>16.64</v>
      </c>
    </row>
    <row r="1981" spans="1:6">
      <c r="A1981" t="s">
        <v>6</v>
      </c>
      <c r="B1981" t="s">
        <v>745</v>
      </c>
      <c r="C1981" s="1" t="s">
        <v>755</v>
      </c>
      <c r="D1981" s="7">
        <v>6267</v>
      </c>
      <c r="E1981" t="s">
        <v>10</v>
      </c>
      <c r="F1981" s="9">
        <v>16.510000000000002</v>
      </c>
    </row>
    <row r="1982" spans="1:6">
      <c r="A1982" t="s">
        <v>6</v>
      </c>
      <c r="B1982" t="s">
        <v>745</v>
      </c>
      <c r="C1982" s="1" t="s">
        <v>756</v>
      </c>
      <c r="D1982" s="7">
        <v>5937</v>
      </c>
      <c r="E1982" t="s">
        <v>10</v>
      </c>
      <c r="F1982" s="9">
        <v>16.64</v>
      </c>
    </row>
    <row r="1983" spans="1:6">
      <c r="A1983" t="s">
        <v>6</v>
      </c>
      <c r="B1983" t="s">
        <v>745</v>
      </c>
      <c r="C1983" s="1" t="s">
        <v>758</v>
      </c>
      <c r="D1983" s="7">
        <v>6082</v>
      </c>
      <c r="E1983" t="s">
        <v>10</v>
      </c>
      <c r="F1983" s="9">
        <v>15.3</v>
      </c>
    </row>
    <row r="1984" spans="1:6">
      <c r="A1984" t="s">
        <v>6</v>
      </c>
      <c r="B1984" t="s">
        <v>745</v>
      </c>
      <c r="C1984" s="1" t="s">
        <v>758</v>
      </c>
      <c r="D1984" s="7">
        <v>6227</v>
      </c>
      <c r="E1984" t="s">
        <v>10</v>
      </c>
      <c r="F1984" s="9">
        <v>16.13</v>
      </c>
    </row>
    <row r="1985" spans="1:6">
      <c r="A1985" t="s">
        <v>6</v>
      </c>
      <c r="B1985" t="s">
        <v>745</v>
      </c>
      <c r="C1985" s="1" t="s">
        <v>760</v>
      </c>
      <c r="D1985" s="7">
        <v>5952</v>
      </c>
      <c r="E1985" t="s">
        <v>10</v>
      </c>
      <c r="F1985" s="9">
        <v>16.8</v>
      </c>
    </row>
    <row r="1986" spans="1:6">
      <c r="A1986" t="s">
        <v>6</v>
      </c>
      <c r="B1986" t="s">
        <v>745</v>
      </c>
      <c r="C1986" s="1" t="s">
        <v>761</v>
      </c>
      <c r="D1986" s="7">
        <v>3235</v>
      </c>
      <c r="E1986" t="s">
        <v>10</v>
      </c>
      <c r="F1986" s="9">
        <v>16.600000000000001</v>
      </c>
    </row>
    <row r="1987" spans="1:6">
      <c r="A1987" t="s">
        <v>6</v>
      </c>
      <c r="B1987" t="s">
        <v>745</v>
      </c>
      <c r="C1987" s="1" t="s">
        <v>762</v>
      </c>
      <c r="D1987" s="7">
        <v>3323</v>
      </c>
      <c r="E1987" t="s">
        <v>10</v>
      </c>
      <c r="F1987" s="9">
        <v>16.2</v>
      </c>
    </row>
    <row r="1988" spans="1:6">
      <c r="A1988" t="s">
        <v>6</v>
      </c>
      <c r="B1988" t="s">
        <v>745</v>
      </c>
      <c r="C1988" s="1" t="s">
        <v>763</v>
      </c>
      <c r="D1988" s="7">
        <v>3327</v>
      </c>
      <c r="E1988" t="s">
        <v>10</v>
      </c>
      <c r="F1988" s="9">
        <v>16.7</v>
      </c>
    </row>
    <row r="1989" spans="1:6">
      <c r="A1989" t="s">
        <v>6</v>
      </c>
      <c r="B1989" t="s">
        <v>745</v>
      </c>
      <c r="C1989" s="1" t="s">
        <v>764</v>
      </c>
      <c r="D1989" s="7">
        <v>3399</v>
      </c>
      <c r="E1989" t="s">
        <v>10</v>
      </c>
      <c r="F1989" s="9">
        <v>16.7</v>
      </c>
    </row>
    <row r="1990" spans="1:6">
      <c r="A1990" t="s">
        <v>6</v>
      </c>
      <c r="B1990" t="s">
        <v>745</v>
      </c>
      <c r="C1990" s="1" t="s">
        <v>765</v>
      </c>
      <c r="D1990" s="7">
        <v>4239</v>
      </c>
      <c r="E1990" t="s">
        <v>10</v>
      </c>
      <c r="F1990" s="9">
        <v>12.4</v>
      </c>
    </row>
    <row r="1991" spans="1:6">
      <c r="A1991" t="s">
        <v>6</v>
      </c>
      <c r="B1991" t="s">
        <v>745</v>
      </c>
      <c r="C1991" s="1" t="s">
        <v>766</v>
      </c>
      <c r="D1991" s="7">
        <v>4243</v>
      </c>
      <c r="E1991" t="s">
        <v>10</v>
      </c>
      <c r="F1991" s="9">
        <v>12.2</v>
      </c>
    </row>
    <row r="1992" spans="1:6">
      <c r="A1992" t="s">
        <v>6</v>
      </c>
      <c r="B1992" t="s">
        <v>745</v>
      </c>
      <c r="C1992" s="1" t="s">
        <v>767</v>
      </c>
      <c r="D1992" s="7">
        <v>4275</v>
      </c>
      <c r="E1992" t="s">
        <v>10</v>
      </c>
      <c r="F1992" s="9">
        <v>14.6</v>
      </c>
    </row>
    <row r="1993" spans="1:6">
      <c r="A1993" t="s">
        <v>6</v>
      </c>
      <c r="B1993" t="s">
        <v>745</v>
      </c>
      <c r="C1993" s="3" t="s">
        <v>746</v>
      </c>
      <c r="D1993" s="7">
        <v>300</v>
      </c>
      <c r="E1993" s="2" t="s">
        <v>11</v>
      </c>
      <c r="F1993" s="10">
        <v>8.6</v>
      </c>
    </row>
    <row r="1994" spans="1:6">
      <c r="A1994" t="s">
        <v>6</v>
      </c>
      <c r="B1994" t="s">
        <v>745</v>
      </c>
      <c r="C1994" s="3" t="s">
        <v>747</v>
      </c>
      <c r="D1994" s="7">
        <v>304</v>
      </c>
      <c r="E1994" s="2" t="s">
        <v>11</v>
      </c>
      <c r="F1994" s="10">
        <v>8.6</v>
      </c>
    </row>
    <row r="1995" spans="1:6">
      <c r="A1995" t="s">
        <v>6</v>
      </c>
      <c r="B1995" t="s">
        <v>745</v>
      </c>
      <c r="C1995" s="3" t="s">
        <v>748</v>
      </c>
      <c r="D1995" s="7">
        <v>308</v>
      </c>
      <c r="E1995" s="2" t="s">
        <v>11</v>
      </c>
      <c r="F1995" s="10">
        <v>8.9</v>
      </c>
    </row>
    <row r="1996" spans="1:6">
      <c r="A1996" t="s">
        <v>6</v>
      </c>
      <c r="B1996" s="6" t="s">
        <v>745</v>
      </c>
      <c r="C1996" s="5" t="s">
        <v>749</v>
      </c>
      <c r="D1996" s="7">
        <v>384</v>
      </c>
      <c r="E1996" s="2" t="s">
        <v>11</v>
      </c>
      <c r="F1996" s="10">
        <v>8.8000000000000007</v>
      </c>
    </row>
    <row r="1997" spans="1:6">
      <c r="A1997" t="s">
        <v>6</v>
      </c>
      <c r="B1997" t="s">
        <v>745</v>
      </c>
      <c r="C1997" s="1" t="s">
        <v>749</v>
      </c>
      <c r="D1997" s="7">
        <v>4505</v>
      </c>
      <c r="E1997" t="s">
        <v>11</v>
      </c>
      <c r="F1997" s="9">
        <v>8.5</v>
      </c>
    </row>
    <row r="1998" spans="1:6">
      <c r="A1998" t="s">
        <v>6</v>
      </c>
      <c r="B1998" t="s">
        <v>745</v>
      </c>
      <c r="C1998" s="1" t="s">
        <v>750</v>
      </c>
      <c r="D1998" s="7">
        <v>6260</v>
      </c>
      <c r="E1998" t="s">
        <v>11</v>
      </c>
      <c r="F1998" s="9">
        <v>8.2200000000000006</v>
      </c>
    </row>
    <row r="1999" spans="1:6">
      <c r="A1999" t="s">
        <v>6</v>
      </c>
      <c r="B1999" t="s">
        <v>745</v>
      </c>
      <c r="C1999" s="1" t="s">
        <v>751</v>
      </c>
      <c r="D1999" s="7">
        <v>6085</v>
      </c>
      <c r="E1999" t="s">
        <v>11</v>
      </c>
      <c r="F1999" s="9">
        <v>9.06</v>
      </c>
    </row>
    <row r="2000" spans="1:6">
      <c r="A2000" t="s">
        <v>6</v>
      </c>
      <c r="B2000" t="s">
        <v>745</v>
      </c>
      <c r="C2000" s="1" t="s">
        <v>752</v>
      </c>
      <c r="D2000" s="7">
        <v>6220</v>
      </c>
      <c r="E2000" t="s">
        <v>11</v>
      </c>
      <c r="F2000" s="9">
        <v>8.59</v>
      </c>
    </row>
    <row r="2001" spans="1:6">
      <c r="A2001" t="s">
        <v>6</v>
      </c>
      <c r="B2001" t="s">
        <v>745</v>
      </c>
      <c r="C2001" s="1" t="s">
        <v>753</v>
      </c>
      <c r="D2001" s="7">
        <v>6090</v>
      </c>
      <c r="E2001" t="s">
        <v>11</v>
      </c>
      <c r="F2001" s="9">
        <v>8.98</v>
      </c>
    </row>
    <row r="2002" spans="1:6">
      <c r="A2002" t="s">
        <v>6</v>
      </c>
      <c r="B2002" t="s">
        <v>745</v>
      </c>
      <c r="C2002" s="1" t="s">
        <v>754</v>
      </c>
      <c r="D2002" s="7">
        <v>5960</v>
      </c>
      <c r="E2002" t="s">
        <v>11</v>
      </c>
      <c r="F2002" s="9">
        <v>9.1199999999999992</v>
      </c>
    </row>
    <row r="2003" spans="1:6">
      <c r="A2003" t="s">
        <v>6</v>
      </c>
      <c r="B2003" t="s">
        <v>745</v>
      </c>
      <c r="C2003" s="1" t="s">
        <v>755</v>
      </c>
      <c r="D2003" s="7">
        <v>6265</v>
      </c>
      <c r="E2003" t="s">
        <v>11</v>
      </c>
      <c r="F2003" s="9">
        <v>8.7899999999999991</v>
      </c>
    </row>
    <row r="2004" spans="1:6">
      <c r="A2004" t="s">
        <v>6</v>
      </c>
      <c r="B2004" t="s">
        <v>745</v>
      </c>
      <c r="C2004" s="1" t="s">
        <v>756</v>
      </c>
      <c r="D2004" s="7">
        <v>5935</v>
      </c>
      <c r="E2004" t="s">
        <v>11</v>
      </c>
      <c r="F2004" s="9">
        <v>9.06</v>
      </c>
    </row>
    <row r="2005" spans="1:6">
      <c r="A2005" t="s">
        <v>6</v>
      </c>
      <c r="B2005" t="s">
        <v>745</v>
      </c>
      <c r="C2005" s="1" t="s">
        <v>757</v>
      </c>
      <c r="D2005" s="7">
        <v>5827</v>
      </c>
      <c r="E2005" t="s">
        <v>11</v>
      </c>
      <c r="F2005" s="9">
        <v>9.14</v>
      </c>
    </row>
    <row r="2006" spans="1:6">
      <c r="A2006" t="s">
        <v>6</v>
      </c>
      <c r="B2006" t="s">
        <v>745</v>
      </c>
      <c r="C2006" s="1" t="s">
        <v>758</v>
      </c>
      <c r="D2006" s="7">
        <v>6080</v>
      </c>
      <c r="E2006" t="s">
        <v>11</v>
      </c>
      <c r="F2006" s="9">
        <v>9.1300000000000008</v>
      </c>
    </row>
    <row r="2007" spans="1:6">
      <c r="A2007" t="s">
        <v>6</v>
      </c>
      <c r="B2007" t="s">
        <v>745</v>
      </c>
      <c r="C2007" s="1" t="s">
        <v>758</v>
      </c>
      <c r="D2007" s="7">
        <v>6225</v>
      </c>
      <c r="E2007" t="s">
        <v>11</v>
      </c>
      <c r="F2007" s="9">
        <v>9.2899999999999991</v>
      </c>
    </row>
    <row r="2008" spans="1:6">
      <c r="A2008" t="s">
        <v>6</v>
      </c>
      <c r="B2008" t="s">
        <v>745</v>
      </c>
      <c r="C2008" s="1" t="s">
        <v>759</v>
      </c>
      <c r="D2008" s="7">
        <v>5711</v>
      </c>
      <c r="E2008" t="s">
        <v>11</v>
      </c>
      <c r="F2008" s="9">
        <v>9.6</v>
      </c>
    </row>
    <row r="2009" spans="1:6">
      <c r="A2009" t="s">
        <v>6</v>
      </c>
      <c r="B2009" t="s">
        <v>745</v>
      </c>
      <c r="C2009" s="1" t="s">
        <v>760</v>
      </c>
      <c r="D2009" s="7">
        <v>5950</v>
      </c>
      <c r="E2009" t="s">
        <v>11</v>
      </c>
      <c r="F2009" s="9">
        <v>9.25</v>
      </c>
    </row>
    <row r="2010" spans="1:6">
      <c r="A2010" t="s">
        <v>6</v>
      </c>
      <c r="B2010" t="s">
        <v>745</v>
      </c>
      <c r="C2010" s="1" t="s">
        <v>761</v>
      </c>
      <c r="D2010" s="7">
        <v>3233</v>
      </c>
      <c r="E2010" t="s">
        <v>11</v>
      </c>
      <c r="F2010" s="9">
        <v>9</v>
      </c>
    </row>
    <row r="2011" spans="1:6">
      <c r="A2011" t="s">
        <v>6</v>
      </c>
      <c r="B2011" t="s">
        <v>745</v>
      </c>
      <c r="C2011" s="1" t="s">
        <v>762</v>
      </c>
      <c r="D2011" s="7">
        <v>3321</v>
      </c>
      <c r="E2011" t="s">
        <v>11</v>
      </c>
      <c r="F2011" s="9">
        <v>8.8000000000000007</v>
      </c>
    </row>
    <row r="2012" spans="1:6">
      <c r="A2012" t="s">
        <v>6</v>
      </c>
      <c r="B2012" t="s">
        <v>745</v>
      </c>
      <c r="C2012" s="1" t="s">
        <v>763</v>
      </c>
      <c r="D2012" s="7">
        <v>3325</v>
      </c>
      <c r="E2012" t="s">
        <v>11</v>
      </c>
      <c r="F2012" s="9">
        <v>8.9</v>
      </c>
    </row>
    <row r="2013" spans="1:6">
      <c r="A2013" t="s">
        <v>6</v>
      </c>
      <c r="B2013" t="s">
        <v>745</v>
      </c>
      <c r="C2013" s="1" t="s">
        <v>764</v>
      </c>
      <c r="D2013" s="7">
        <v>3397</v>
      </c>
      <c r="E2013" t="s">
        <v>11</v>
      </c>
      <c r="F2013" s="9">
        <v>8.5</v>
      </c>
    </row>
    <row r="2014" spans="1:6">
      <c r="A2014" t="s">
        <v>6</v>
      </c>
      <c r="B2014" t="s">
        <v>745</v>
      </c>
      <c r="C2014" s="1" t="s">
        <v>765</v>
      </c>
      <c r="D2014" s="7">
        <v>4237</v>
      </c>
      <c r="E2014" t="s">
        <v>11</v>
      </c>
      <c r="F2014" s="9">
        <v>8.6</v>
      </c>
    </row>
    <row r="2015" spans="1:6">
      <c r="A2015" t="s">
        <v>6</v>
      </c>
      <c r="B2015" t="s">
        <v>745</v>
      </c>
      <c r="C2015" s="1" t="s">
        <v>766</v>
      </c>
      <c r="D2015" s="7">
        <v>4241</v>
      </c>
      <c r="E2015" t="s">
        <v>11</v>
      </c>
      <c r="F2015" s="9">
        <v>8</v>
      </c>
    </row>
    <row r="2016" spans="1:6">
      <c r="A2016" t="s">
        <v>6</v>
      </c>
      <c r="B2016" t="s">
        <v>745</v>
      </c>
      <c r="C2016" s="1" t="s">
        <v>767</v>
      </c>
      <c r="D2016" s="7">
        <v>4273</v>
      </c>
      <c r="E2016" t="s">
        <v>11</v>
      </c>
      <c r="F2016" s="9">
        <v>7.9</v>
      </c>
    </row>
    <row r="2017" spans="1:6">
      <c r="A2017" t="s">
        <v>6</v>
      </c>
      <c r="B2017" t="s">
        <v>745</v>
      </c>
      <c r="C2017" s="1" t="s">
        <v>768</v>
      </c>
      <c r="D2017" s="7">
        <v>5631</v>
      </c>
      <c r="E2017" t="s">
        <v>12</v>
      </c>
      <c r="F2017" s="9">
        <v>2.71</v>
      </c>
    </row>
    <row r="2018" spans="1:6">
      <c r="A2018" t="s">
        <v>6</v>
      </c>
      <c r="B2018" t="s">
        <v>745</v>
      </c>
      <c r="C2018" s="1" t="s">
        <v>769</v>
      </c>
      <c r="D2018" s="7">
        <v>5639</v>
      </c>
      <c r="E2018" t="s">
        <v>12</v>
      </c>
      <c r="F2018" s="9">
        <v>2.78</v>
      </c>
    </row>
    <row r="2019" spans="1:6">
      <c r="A2019" t="s">
        <v>6</v>
      </c>
      <c r="B2019" t="s">
        <v>745</v>
      </c>
      <c r="C2019" s="1" t="s">
        <v>750</v>
      </c>
      <c r="D2019" s="7">
        <v>6261</v>
      </c>
      <c r="E2019" t="s">
        <v>12</v>
      </c>
      <c r="F2019" s="9">
        <v>2.82</v>
      </c>
    </row>
    <row r="2020" spans="1:6">
      <c r="A2020" t="s">
        <v>6</v>
      </c>
      <c r="B2020" t="s">
        <v>745</v>
      </c>
      <c r="C2020" s="1" t="s">
        <v>751</v>
      </c>
      <c r="D2020" s="7">
        <v>6086</v>
      </c>
      <c r="E2020" t="s">
        <v>12</v>
      </c>
      <c r="F2020" s="9">
        <v>2.7</v>
      </c>
    </row>
    <row r="2021" spans="1:6">
      <c r="A2021" t="s">
        <v>6</v>
      </c>
      <c r="B2021" t="s">
        <v>745</v>
      </c>
      <c r="C2021" s="1" t="s">
        <v>752</v>
      </c>
      <c r="D2021" s="7">
        <v>6221</v>
      </c>
      <c r="E2021" t="s">
        <v>12</v>
      </c>
      <c r="F2021" s="9">
        <v>2.7</v>
      </c>
    </row>
    <row r="2022" spans="1:6">
      <c r="A2022" t="s">
        <v>6</v>
      </c>
      <c r="B2022" t="s">
        <v>745</v>
      </c>
      <c r="C2022" s="1" t="s">
        <v>753</v>
      </c>
      <c r="D2022" s="7">
        <v>6091</v>
      </c>
      <c r="E2022" t="s">
        <v>12</v>
      </c>
      <c r="F2022" s="9">
        <v>2.64</v>
      </c>
    </row>
    <row r="2023" spans="1:6">
      <c r="A2023" t="s">
        <v>6</v>
      </c>
      <c r="B2023" t="s">
        <v>745</v>
      </c>
      <c r="C2023" s="1" t="s">
        <v>754</v>
      </c>
      <c r="D2023" s="7">
        <v>5961</v>
      </c>
      <c r="E2023" t="s">
        <v>12</v>
      </c>
      <c r="F2023" s="9">
        <v>2.76</v>
      </c>
    </row>
    <row r="2024" spans="1:6">
      <c r="A2024" t="s">
        <v>6</v>
      </c>
      <c r="B2024" t="s">
        <v>745</v>
      </c>
      <c r="C2024" s="1" t="s">
        <v>755</v>
      </c>
      <c r="D2024" s="7">
        <v>6266</v>
      </c>
      <c r="E2024" t="s">
        <v>12</v>
      </c>
      <c r="F2024" s="9">
        <v>2.64</v>
      </c>
    </row>
    <row r="2025" spans="1:6">
      <c r="A2025" t="s">
        <v>6</v>
      </c>
      <c r="B2025" t="s">
        <v>745</v>
      </c>
      <c r="C2025" s="1" t="s">
        <v>756</v>
      </c>
      <c r="D2025" s="7">
        <v>5936</v>
      </c>
      <c r="E2025" t="s">
        <v>12</v>
      </c>
      <c r="F2025" s="9">
        <v>2.75</v>
      </c>
    </row>
    <row r="2026" spans="1:6">
      <c r="A2026" t="s">
        <v>6</v>
      </c>
      <c r="B2026" t="s">
        <v>745</v>
      </c>
      <c r="C2026" s="1" t="s">
        <v>757</v>
      </c>
      <c r="D2026" s="7">
        <v>5828</v>
      </c>
      <c r="E2026" t="s">
        <v>12</v>
      </c>
      <c r="F2026" s="9">
        <v>2.2400000000000002</v>
      </c>
    </row>
    <row r="2027" spans="1:6">
      <c r="A2027" t="s">
        <v>6</v>
      </c>
      <c r="B2027" t="s">
        <v>745</v>
      </c>
      <c r="C2027" s="1" t="s">
        <v>758</v>
      </c>
      <c r="D2027" s="7">
        <v>6081</v>
      </c>
      <c r="E2027" t="s">
        <v>12</v>
      </c>
      <c r="F2027" s="9">
        <v>2.64</v>
      </c>
    </row>
    <row r="2028" spans="1:6">
      <c r="A2028" t="s">
        <v>6</v>
      </c>
      <c r="B2028" t="s">
        <v>745</v>
      </c>
      <c r="C2028" s="1" t="s">
        <v>758</v>
      </c>
      <c r="D2028" s="7">
        <v>6226</v>
      </c>
      <c r="E2028" t="s">
        <v>12</v>
      </c>
      <c r="F2028" s="9">
        <v>2.82</v>
      </c>
    </row>
    <row r="2029" spans="1:6">
      <c r="A2029" t="s">
        <v>6</v>
      </c>
      <c r="B2029" t="s">
        <v>745</v>
      </c>
      <c r="C2029" s="1" t="s">
        <v>759</v>
      </c>
      <c r="D2029" s="7">
        <v>5712</v>
      </c>
      <c r="E2029" t="s">
        <v>12</v>
      </c>
      <c r="F2029" s="9">
        <v>2.68</v>
      </c>
    </row>
    <row r="2030" spans="1:6">
      <c r="A2030" t="s">
        <v>6</v>
      </c>
      <c r="B2030" t="s">
        <v>745</v>
      </c>
      <c r="C2030" s="1" t="s">
        <v>760</v>
      </c>
      <c r="D2030" s="7">
        <v>5951</v>
      </c>
      <c r="E2030" t="s">
        <v>12</v>
      </c>
      <c r="F2030" s="9">
        <v>2.74</v>
      </c>
    </row>
    <row r="2031" spans="1:6">
      <c r="A2031" t="s">
        <v>6</v>
      </c>
      <c r="B2031" t="s">
        <v>770</v>
      </c>
      <c r="C2031" s="1" t="s">
        <v>771</v>
      </c>
      <c r="D2031" s="7">
        <v>5513</v>
      </c>
      <c r="E2031" t="s">
        <v>9</v>
      </c>
      <c r="F2031" s="9">
        <v>2.67</v>
      </c>
    </row>
    <row r="2032" spans="1:6">
      <c r="A2032" t="s">
        <v>6</v>
      </c>
      <c r="B2032" t="s">
        <v>770</v>
      </c>
      <c r="C2032" s="1" t="s">
        <v>772</v>
      </c>
      <c r="D2032" s="7">
        <v>5549</v>
      </c>
      <c r="E2032" t="s">
        <v>9</v>
      </c>
      <c r="F2032" s="9">
        <v>2.92</v>
      </c>
    </row>
    <row r="2033" spans="1:6">
      <c r="A2033" t="s">
        <v>6</v>
      </c>
      <c r="B2033" t="s">
        <v>770</v>
      </c>
      <c r="C2033" s="1" t="s">
        <v>773</v>
      </c>
      <c r="D2033" s="7">
        <v>5505</v>
      </c>
      <c r="E2033" t="s">
        <v>9</v>
      </c>
      <c r="F2033" s="9">
        <v>3.1</v>
      </c>
    </row>
    <row r="2034" spans="1:6">
      <c r="A2034" t="s">
        <v>6</v>
      </c>
      <c r="B2034" t="s">
        <v>770</v>
      </c>
      <c r="C2034" s="1" t="s">
        <v>774</v>
      </c>
      <c r="D2034" s="7">
        <v>5666</v>
      </c>
      <c r="E2034" t="s">
        <v>9</v>
      </c>
      <c r="F2034" s="9">
        <v>3</v>
      </c>
    </row>
    <row r="2035" spans="1:6">
      <c r="A2035" t="s">
        <v>6</v>
      </c>
      <c r="B2035" t="s">
        <v>770</v>
      </c>
      <c r="C2035" s="1" t="s">
        <v>775</v>
      </c>
      <c r="D2035" s="7">
        <v>5974</v>
      </c>
      <c r="E2035" t="s">
        <v>9</v>
      </c>
      <c r="F2035" s="9">
        <v>2.92</v>
      </c>
    </row>
    <row r="2036" spans="1:6">
      <c r="A2036" t="s">
        <v>6</v>
      </c>
      <c r="B2036" t="s">
        <v>770</v>
      </c>
      <c r="C2036" s="1" t="s">
        <v>776</v>
      </c>
      <c r="D2036" s="7">
        <v>5436</v>
      </c>
      <c r="E2036" t="s">
        <v>9</v>
      </c>
      <c r="F2036" s="9">
        <v>3.11</v>
      </c>
    </row>
    <row r="2037" spans="1:6">
      <c r="A2037" t="s">
        <v>6</v>
      </c>
      <c r="B2037" t="s">
        <v>770</v>
      </c>
      <c r="C2037" s="1" t="s">
        <v>777</v>
      </c>
      <c r="D2037" s="7">
        <v>5440</v>
      </c>
      <c r="E2037" t="s">
        <v>9</v>
      </c>
      <c r="F2037" s="9">
        <v>3</v>
      </c>
    </row>
    <row r="2038" spans="1:6">
      <c r="A2038" t="s">
        <v>6</v>
      </c>
      <c r="B2038" t="s">
        <v>770</v>
      </c>
      <c r="C2038" s="1" t="s">
        <v>778</v>
      </c>
      <c r="D2038" s="7">
        <v>5954</v>
      </c>
      <c r="E2038" t="s">
        <v>9</v>
      </c>
      <c r="F2038" s="9">
        <v>3.03</v>
      </c>
    </row>
    <row r="2039" spans="1:6">
      <c r="A2039" t="s">
        <v>6</v>
      </c>
      <c r="B2039" t="s">
        <v>770</v>
      </c>
      <c r="C2039" s="1" t="s">
        <v>779</v>
      </c>
      <c r="D2039" s="7">
        <v>5929</v>
      </c>
      <c r="E2039" t="s">
        <v>9</v>
      </c>
      <c r="F2039" s="9">
        <v>2.7</v>
      </c>
    </row>
    <row r="2040" spans="1:6">
      <c r="A2040" t="s">
        <v>6</v>
      </c>
      <c r="B2040" t="s">
        <v>770</v>
      </c>
      <c r="C2040" s="1" t="s">
        <v>780</v>
      </c>
      <c r="D2040" s="7">
        <v>5645</v>
      </c>
      <c r="E2040" t="s">
        <v>9</v>
      </c>
      <c r="F2040" s="9">
        <v>2.98</v>
      </c>
    </row>
    <row r="2041" spans="1:6">
      <c r="A2041" t="s">
        <v>6</v>
      </c>
      <c r="B2041" t="s">
        <v>770</v>
      </c>
      <c r="C2041" s="1" t="s">
        <v>781</v>
      </c>
      <c r="D2041" s="7">
        <v>6059</v>
      </c>
      <c r="E2041" t="s">
        <v>9</v>
      </c>
      <c r="F2041" s="9">
        <v>2.95</v>
      </c>
    </row>
    <row r="2042" spans="1:6">
      <c r="A2042" t="s">
        <v>6</v>
      </c>
      <c r="B2042" t="s">
        <v>770</v>
      </c>
      <c r="C2042" s="1" t="s">
        <v>782</v>
      </c>
      <c r="D2042" s="7">
        <v>6064</v>
      </c>
      <c r="E2042" t="s">
        <v>9</v>
      </c>
      <c r="F2042" s="9">
        <v>2.7</v>
      </c>
    </row>
    <row r="2043" spans="1:6">
      <c r="A2043" t="s">
        <v>6</v>
      </c>
      <c r="B2043" t="s">
        <v>770</v>
      </c>
      <c r="C2043" s="1" t="s">
        <v>783</v>
      </c>
      <c r="D2043" s="7">
        <v>6094</v>
      </c>
      <c r="E2043" t="s">
        <v>9</v>
      </c>
      <c r="F2043" s="9">
        <v>2.96</v>
      </c>
    </row>
    <row r="2044" spans="1:6">
      <c r="A2044" t="s">
        <v>6</v>
      </c>
      <c r="B2044" t="s">
        <v>770</v>
      </c>
      <c r="C2044" s="1" t="s">
        <v>784</v>
      </c>
      <c r="D2044" s="7">
        <v>3022</v>
      </c>
      <c r="E2044" t="s">
        <v>9</v>
      </c>
      <c r="F2044" s="9">
        <v>3.5</v>
      </c>
    </row>
    <row r="2045" spans="1:6">
      <c r="A2045" t="s">
        <v>6</v>
      </c>
      <c r="B2045" t="s">
        <v>770</v>
      </c>
      <c r="C2045" s="1" t="s">
        <v>785</v>
      </c>
      <c r="D2045" s="7">
        <v>3134</v>
      </c>
      <c r="E2045" t="s">
        <v>9</v>
      </c>
      <c r="F2045" s="9">
        <v>2.9</v>
      </c>
    </row>
    <row r="2046" spans="1:6">
      <c r="A2046" t="s">
        <v>6</v>
      </c>
      <c r="B2046" t="s">
        <v>770</v>
      </c>
      <c r="C2046" s="1" t="s">
        <v>786</v>
      </c>
      <c r="D2046" s="7">
        <v>3138</v>
      </c>
      <c r="E2046" t="s">
        <v>9</v>
      </c>
      <c r="F2046" s="9">
        <v>3.1</v>
      </c>
    </row>
    <row r="2047" spans="1:6">
      <c r="A2047" t="s">
        <v>6</v>
      </c>
      <c r="B2047" t="s">
        <v>770</v>
      </c>
      <c r="C2047" s="1" t="s">
        <v>787</v>
      </c>
      <c r="D2047" s="7">
        <v>4198</v>
      </c>
      <c r="E2047" t="s">
        <v>9</v>
      </c>
      <c r="F2047" s="9">
        <v>3.2</v>
      </c>
    </row>
    <row r="2048" spans="1:6">
      <c r="A2048" t="s">
        <v>6</v>
      </c>
      <c r="B2048" t="s">
        <v>770</v>
      </c>
      <c r="C2048" s="1" t="s">
        <v>775</v>
      </c>
      <c r="D2048" s="7">
        <v>5977</v>
      </c>
      <c r="E2048" t="s">
        <v>10</v>
      </c>
      <c r="F2048" s="9">
        <v>12.5</v>
      </c>
    </row>
    <row r="2049" spans="1:6">
      <c r="A2049" t="s">
        <v>6</v>
      </c>
      <c r="B2049" t="s">
        <v>770</v>
      </c>
      <c r="C2049" s="1" t="s">
        <v>778</v>
      </c>
      <c r="D2049" s="7">
        <v>5957</v>
      </c>
      <c r="E2049" t="s">
        <v>10</v>
      </c>
      <c r="F2049" s="9">
        <v>13.8</v>
      </c>
    </row>
    <row r="2050" spans="1:6">
      <c r="A2050" t="s">
        <v>6</v>
      </c>
      <c r="B2050" t="s">
        <v>770</v>
      </c>
      <c r="C2050" s="1" t="s">
        <v>779</v>
      </c>
      <c r="D2050" s="7">
        <v>5932</v>
      </c>
      <c r="E2050" t="s">
        <v>10</v>
      </c>
      <c r="F2050" s="9">
        <v>12.76</v>
      </c>
    </row>
    <row r="2051" spans="1:6">
      <c r="A2051" t="s">
        <v>6</v>
      </c>
      <c r="B2051" t="s">
        <v>770</v>
      </c>
      <c r="C2051" s="1" t="s">
        <v>781</v>
      </c>
      <c r="D2051" s="7">
        <v>6062</v>
      </c>
      <c r="E2051" t="s">
        <v>10</v>
      </c>
      <c r="F2051" s="9">
        <v>9.27</v>
      </c>
    </row>
    <row r="2052" spans="1:6">
      <c r="A2052" t="s">
        <v>6</v>
      </c>
      <c r="B2052" t="s">
        <v>770</v>
      </c>
      <c r="C2052" s="1" t="s">
        <v>782</v>
      </c>
      <c r="D2052" s="7">
        <v>6067</v>
      </c>
      <c r="E2052" t="s">
        <v>10</v>
      </c>
      <c r="F2052" s="9">
        <v>9.5500000000000007</v>
      </c>
    </row>
    <row r="2053" spans="1:6">
      <c r="A2053" t="s">
        <v>6</v>
      </c>
      <c r="B2053" t="s">
        <v>770</v>
      </c>
      <c r="C2053" s="1" t="s">
        <v>783</v>
      </c>
      <c r="D2053" s="7">
        <v>6097</v>
      </c>
      <c r="E2053" t="s">
        <v>10</v>
      </c>
      <c r="F2053" s="9">
        <v>11.83</v>
      </c>
    </row>
    <row r="2054" spans="1:6">
      <c r="A2054" t="s">
        <v>6</v>
      </c>
      <c r="B2054" t="s">
        <v>770</v>
      </c>
      <c r="C2054" s="1" t="s">
        <v>784</v>
      </c>
      <c r="D2054" s="7">
        <v>3023</v>
      </c>
      <c r="E2054" t="s">
        <v>10</v>
      </c>
      <c r="F2054" s="9">
        <v>10.6</v>
      </c>
    </row>
    <row r="2055" spans="1:6">
      <c r="A2055" t="s">
        <v>6</v>
      </c>
      <c r="B2055" t="s">
        <v>770</v>
      </c>
      <c r="C2055" s="1" t="s">
        <v>785</v>
      </c>
      <c r="D2055" s="7">
        <v>3135</v>
      </c>
      <c r="E2055" t="s">
        <v>10</v>
      </c>
      <c r="F2055" s="9">
        <v>9.4</v>
      </c>
    </row>
    <row r="2056" spans="1:6">
      <c r="A2056" t="s">
        <v>6</v>
      </c>
      <c r="B2056" t="s">
        <v>770</v>
      </c>
      <c r="C2056" s="1" t="s">
        <v>786</v>
      </c>
      <c r="D2056" s="7">
        <v>3139</v>
      </c>
      <c r="E2056" t="s">
        <v>10</v>
      </c>
      <c r="F2056" s="9">
        <v>9.6</v>
      </c>
    </row>
    <row r="2057" spans="1:6">
      <c r="A2057" t="s">
        <v>6</v>
      </c>
      <c r="B2057" t="s">
        <v>770</v>
      </c>
      <c r="C2057" s="1" t="s">
        <v>787</v>
      </c>
      <c r="D2057" s="7">
        <v>4199</v>
      </c>
      <c r="E2057" t="s">
        <v>10</v>
      </c>
      <c r="F2057" s="9">
        <v>7.6</v>
      </c>
    </row>
    <row r="2058" spans="1:6">
      <c r="A2058" t="s">
        <v>6</v>
      </c>
      <c r="B2058" t="s">
        <v>770</v>
      </c>
      <c r="C2058" s="1" t="s">
        <v>771</v>
      </c>
      <c r="D2058" s="7">
        <v>5514</v>
      </c>
      <c r="E2058" t="s">
        <v>11</v>
      </c>
      <c r="F2058" s="9">
        <v>7.71</v>
      </c>
    </row>
    <row r="2059" spans="1:6">
      <c r="A2059" t="s">
        <v>6</v>
      </c>
      <c r="B2059" t="s">
        <v>770</v>
      </c>
      <c r="C2059" s="1" t="s">
        <v>772</v>
      </c>
      <c r="D2059" s="7">
        <v>5550</v>
      </c>
      <c r="E2059" t="s">
        <v>11</v>
      </c>
      <c r="F2059" s="9">
        <v>7.75</v>
      </c>
    </row>
    <row r="2060" spans="1:6">
      <c r="A2060" t="s">
        <v>6</v>
      </c>
      <c r="B2060" t="s">
        <v>770</v>
      </c>
      <c r="C2060" s="1" t="s">
        <v>773</v>
      </c>
      <c r="D2060" s="7">
        <v>5506</v>
      </c>
      <c r="E2060" t="s">
        <v>11</v>
      </c>
      <c r="F2060" s="9">
        <v>8.0500000000000007</v>
      </c>
    </row>
    <row r="2061" spans="1:6">
      <c r="A2061" t="s">
        <v>6</v>
      </c>
      <c r="B2061" t="s">
        <v>770</v>
      </c>
      <c r="C2061" s="1" t="s">
        <v>774</v>
      </c>
      <c r="D2061" s="7">
        <v>5667</v>
      </c>
      <c r="E2061" t="s">
        <v>11</v>
      </c>
      <c r="F2061" s="9">
        <v>7.59</v>
      </c>
    </row>
    <row r="2062" spans="1:6">
      <c r="A2062" t="s">
        <v>6</v>
      </c>
      <c r="B2062" t="s">
        <v>770</v>
      </c>
      <c r="C2062" s="1" t="s">
        <v>775</v>
      </c>
      <c r="D2062" s="7">
        <v>5975</v>
      </c>
      <c r="E2062" t="s">
        <v>11</v>
      </c>
      <c r="F2062" s="9">
        <v>7.86</v>
      </c>
    </row>
    <row r="2063" spans="1:6">
      <c r="A2063" t="s">
        <v>6</v>
      </c>
      <c r="B2063" t="s">
        <v>770</v>
      </c>
      <c r="C2063" s="1" t="s">
        <v>776</v>
      </c>
      <c r="D2063" s="7">
        <v>5437</v>
      </c>
      <c r="E2063" t="s">
        <v>11</v>
      </c>
      <c r="F2063" s="9">
        <v>7.86</v>
      </c>
    </row>
    <row r="2064" spans="1:6">
      <c r="A2064" t="s">
        <v>6</v>
      </c>
      <c r="B2064" t="s">
        <v>770</v>
      </c>
      <c r="C2064" s="1" t="s">
        <v>777</v>
      </c>
      <c r="D2064" s="7">
        <v>5441</v>
      </c>
      <c r="E2064" t="s">
        <v>11</v>
      </c>
      <c r="F2064" s="9">
        <v>7.99</v>
      </c>
    </row>
    <row r="2065" spans="1:6">
      <c r="A2065" t="s">
        <v>6</v>
      </c>
      <c r="B2065" t="s">
        <v>770</v>
      </c>
      <c r="C2065" s="1" t="s">
        <v>778</v>
      </c>
      <c r="D2065" s="7">
        <v>5955</v>
      </c>
      <c r="E2065" t="s">
        <v>11</v>
      </c>
      <c r="F2065" s="9">
        <v>8.44</v>
      </c>
    </row>
    <row r="2066" spans="1:6">
      <c r="A2066" t="s">
        <v>6</v>
      </c>
      <c r="B2066" t="s">
        <v>770</v>
      </c>
      <c r="C2066" s="1" t="s">
        <v>779</v>
      </c>
      <c r="D2066" s="7">
        <v>5930</v>
      </c>
      <c r="E2066" t="s">
        <v>11</v>
      </c>
      <c r="F2066" s="9">
        <v>7.65</v>
      </c>
    </row>
    <row r="2067" spans="1:6">
      <c r="A2067" t="s">
        <v>6</v>
      </c>
      <c r="B2067" t="s">
        <v>770</v>
      </c>
      <c r="C2067" s="1" t="s">
        <v>780</v>
      </c>
      <c r="D2067" s="7">
        <v>5646</v>
      </c>
      <c r="E2067" t="s">
        <v>11</v>
      </c>
      <c r="F2067" s="9">
        <v>7.57</v>
      </c>
    </row>
    <row r="2068" spans="1:6">
      <c r="A2068" t="s">
        <v>6</v>
      </c>
      <c r="B2068" t="s">
        <v>770</v>
      </c>
      <c r="C2068" s="1" t="s">
        <v>781</v>
      </c>
      <c r="D2068" s="7">
        <v>6060</v>
      </c>
      <c r="E2068" t="s">
        <v>11</v>
      </c>
      <c r="F2068" s="9">
        <v>7.84</v>
      </c>
    </row>
    <row r="2069" spans="1:6">
      <c r="A2069" t="s">
        <v>6</v>
      </c>
      <c r="B2069" t="s">
        <v>770</v>
      </c>
      <c r="C2069" s="1" t="s">
        <v>782</v>
      </c>
      <c r="D2069" s="7">
        <v>6065</v>
      </c>
      <c r="E2069" t="s">
        <v>11</v>
      </c>
      <c r="F2069" s="9">
        <v>8.32</v>
      </c>
    </row>
    <row r="2070" spans="1:6">
      <c r="A2070" t="s">
        <v>6</v>
      </c>
      <c r="B2070" t="s">
        <v>770</v>
      </c>
      <c r="C2070" s="1" t="s">
        <v>783</v>
      </c>
      <c r="D2070" s="7">
        <v>6095</v>
      </c>
      <c r="E2070" t="s">
        <v>11</v>
      </c>
      <c r="F2070" s="9">
        <v>8</v>
      </c>
    </row>
    <row r="2071" spans="1:6">
      <c r="A2071" t="s">
        <v>6</v>
      </c>
      <c r="B2071" t="s">
        <v>770</v>
      </c>
      <c r="C2071" s="1" t="s">
        <v>784</v>
      </c>
      <c r="D2071" s="7">
        <v>3021</v>
      </c>
      <c r="E2071" t="s">
        <v>11</v>
      </c>
      <c r="F2071" s="9">
        <v>9.1</v>
      </c>
    </row>
    <row r="2072" spans="1:6">
      <c r="A2072" t="s">
        <v>6</v>
      </c>
      <c r="B2072" t="s">
        <v>770</v>
      </c>
      <c r="C2072" s="1" t="s">
        <v>785</v>
      </c>
      <c r="D2072" s="7">
        <v>3133</v>
      </c>
      <c r="E2072" t="s">
        <v>11</v>
      </c>
      <c r="F2072" s="9">
        <v>7.7</v>
      </c>
    </row>
    <row r="2073" spans="1:6">
      <c r="A2073" t="s">
        <v>6</v>
      </c>
      <c r="B2073" t="s">
        <v>770</v>
      </c>
      <c r="C2073" s="1" t="s">
        <v>786</v>
      </c>
      <c r="D2073" s="7">
        <v>3137</v>
      </c>
      <c r="E2073" t="s">
        <v>11</v>
      </c>
      <c r="F2073" s="9">
        <v>7.9</v>
      </c>
    </row>
    <row r="2074" spans="1:6">
      <c r="A2074" t="s">
        <v>6</v>
      </c>
      <c r="B2074" t="s">
        <v>770</v>
      </c>
      <c r="C2074" s="1" t="s">
        <v>787</v>
      </c>
      <c r="D2074" s="7">
        <v>4197</v>
      </c>
      <c r="E2074" t="s">
        <v>11</v>
      </c>
      <c r="F2074" s="9">
        <v>7.4</v>
      </c>
    </row>
    <row r="2075" spans="1:6">
      <c r="A2075" t="s">
        <v>6</v>
      </c>
      <c r="B2075" t="s">
        <v>770</v>
      </c>
      <c r="C2075" s="1" t="s">
        <v>771</v>
      </c>
      <c r="D2075" s="7">
        <v>5515</v>
      </c>
      <c r="E2075" t="s">
        <v>12</v>
      </c>
      <c r="F2075" s="9">
        <v>2.38</v>
      </c>
    </row>
    <row r="2076" spans="1:6">
      <c r="A2076" t="s">
        <v>6</v>
      </c>
      <c r="B2076" t="s">
        <v>770</v>
      </c>
      <c r="C2076" s="1" t="s">
        <v>772</v>
      </c>
      <c r="D2076" s="7">
        <v>5551</v>
      </c>
      <c r="E2076" t="s">
        <v>12</v>
      </c>
      <c r="F2076" s="9">
        <v>2.11</v>
      </c>
    </row>
    <row r="2077" spans="1:6">
      <c r="A2077" t="s">
        <v>6</v>
      </c>
      <c r="B2077" t="s">
        <v>770</v>
      </c>
      <c r="C2077" s="1" t="s">
        <v>773</v>
      </c>
      <c r="D2077" s="7">
        <v>5507</v>
      </c>
      <c r="E2077" t="s">
        <v>12</v>
      </c>
      <c r="F2077" s="9">
        <v>2.2400000000000002</v>
      </c>
    </row>
    <row r="2078" spans="1:6">
      <c r="A2078" t="s">
        <v>6</v>
      </c>
      <c r="B2078" t="s">
        <v>770</v>
      </c>
      <c r="C2078" s="1" t="s">
        <v>774</v>
      </c>
      <c r="D2078" s="7">
        <v>5668</v>
      </c>
      <c r="E2078" t="s">
        <v>12</v>
      </c>
      <c r="F2078" s="9">
        <v>2.58</v>
      </c>
    </row>
    <row r="2079" spans="1:6">
      <c r="A2079" t="s">
        <v>6</v>
      </c>
      <c r="B2079" t="s">
        <v>770</v>
      </c>
      <c r="C2079" s="1" t="s">
        <v>775</v>
      </c>
      <c r="D2079" s="7">
        <v>5976</v>
      </c>
      <c r="E2079" t="s">
        <v>12</v>
      </c>
      <c r="F2079" s="9">
        <v>2.77</v>
      </c>
    </row>
    <row r="2080" spans="1:6">
      <c r="A2080" t="s">
        <v>6</v>
      </c>
      <c r="B2080" t="s">
        <v>770</v>
      </c>
      <c r="C2080" s="1" t="s">
        <v>776</v>
      </c>
      <c r="D2080" s="7">
        <v>5438</v>
      </c>
      <c r="E2080" t="s">
        <v>12</v>
      </c>
      <c r="F2080" s="9">
        <v>2.4300000000000002</v>
      </c>
    </row>
    <row r="2081" spans="1:6">
      <c r="A2081" t="s">
        <v>6</v>
      </c>
      <c r="B2081" t="s">
        <v>770</v>
      </c>
      <c r="C2081" s="1" t="s">
        <v>777</v>
      </c>
      <c r="D2081" s="7">
        <v>5442</v>
      </c>
      <c r="E2081" t="s">
        <v>12</v>
      </c>
      <c r="F2081" s="9">
        <v>2.3199999999999998</v>
      </c>
    </row>
    <row r="2082" spans="1:6">
      <c r="A2082" t="s">
        <v>6</v>
      </c>
      <c r="B2082" t="s">
        <v>770</v>
      </c>
      <c r="C2082" s="1" t="s">
        <v>778</v>
      </c>
      <c r="D2082" s="7">
        <v>5956</v>
      </c>
      <c r="E2082" t="s">
        <v>12</v>
      </c>
      <c r="F2082" s="9">
        <v>2.14</v>
      </c>
    </row>
    <row r="2083" spans="1:6">
      <c r="A2083" t="s">
        <v>6</v>
      </c>
      <c r="B2083" t="s">
        <v>770</v>
      </c>
      <c r="C2083" s="1" t="s">
        <v>779</v>
      </c>
      <c r="D2083" s="7">
        <v>5931</v>
      </c>
      <c r="E2083" t="s">
        <v>12</v>
      </c>
      <c r="F2083" s="9">
        <v>2.5</v>
      </c>
    </row>
    <row r="2084" spans="1:6">
      <c r="A2084" t="s">
        <v>6</v>
      </c>
      <c r="B2084" t="s">
        <v>770</v>
      </c>
      <c r="C2084" s="1" t="s">
        <v>780</v>
      </c>
      <c r="D2084" s="7">
        <v>5647</v>
      </c>
      <c r="E2084" t="s">
        <v>12</v>
      </c>
      <c r="F2084" s="9">
        <v>2.31</v>
      </c>
    </row>
    <row r="2085" spans="1:6">
      <c r="A2085" t="s">
        <v>6</v>
      </c>
      <c r="B2085" t="s">
        <v>770</v>
      </c>
      <c r="C2085" s="1" t="s">
        <v>781</v>
      </c>
      <c r="D2085" s="7">
        <v>6061</v>
      </c>
      <c r="E2085" t="s">
        <v>12</v>
      </c>
      <c r="F2085" s="9">
        <v>2.4300000000000002</v>
      </c>
    </row>
    <row r="2086" spans="1:6">
      <c r="A2086" t="s">
        <v>6</v>
      </c>
      <c r="B2086" t="s">
        <v>770</v>
      </c>
      <c r="C2086" s="1" t="s">
        <v>782</v>
      </c>
      <c r="D2086" s="7">
        <v>6066</v>
      </c>
      <c r="E2086" t="s">
        <v>12</v>
      </c>
      <c r="F2086" s="9">
        <v>2.4300000000000002</v>
      </c>
    </row>
    <row r="2087" spans="1:6">
      <c r="A2087" t="s">
        <v>6</v>
      </c>
      <c r="B2087" t="s">
        <v>770</v>
      </c>
      <c r="C2087" s="1" t="s">
        <v>783</v>
      </c>
      <c r="D2087" s="7">
        <v>6096</v>
      </c>
      <c r="E2087" t="s">
        <v>12</v>
      </c>
      <c r="F2087" s="9">
        <v>2.44</v>
      </c>
    </row>
    <row r="2088" spans="1:6">
      <c r="A2088" t="s">
        <v>6</v>
      </c>
      <c r="B2088" t="s">
        <v>788</v>
      </c>
      <c r="C2088" s="1" t="s">
        <v>789</v>
      </c>
      <c r="D2088" s="7">
        <v>5916</v>
      </c>
      <c r="E2088" t="s">
        <v>9</v>
      </c>
      <c r="F2088" s="9">
        <v>3.06</v>
      </c>
    </row>
    <row r="2089" spans="1:6">
      <c r="A2089" t="s">
        <v>6</v>
      </c>
      <c r="B2089" t="s">
        <v>788</v>
      </c>
      <c r="C2089" s="1" t="s">
        <v>790</v>
      </c>
      <c r="D2089" s="7">
        <v>4510</v>
      </c>
      <c r="E2089" t="s">
        <v>9</v>
      </c>
      <c r="F2089" s="9">
        <v>3.2</v>
      </c>
    </row>
    <row r="2090" spans="1:6">
      <c r="A2090" t="s">
        <v>6</v>
      </c>
      <c r="B2090" t="s">
        <v>788</v>
      </c>
      <c r="C2090" s="1" t="s">
        <v>791</v>
      </c>
      <c r="D2090" s="7">
        <v>3574</v>
      </c>
      <c r="E2090" t="s">
        <v>9</v>
      </c>
      <c r="F2090" s="9">
        <v>3.4</v>
      </c>
    </row>
    <row r="2091" spans="1:6">
      <c r="A2091" t="s">
        <v>6</v>
      </c>
      <c r="B2091" t="s">
        <v>788</v>
      </c>
      <c r="C2091" s="1" t="s">
        <v>792</v>
      </c>
      <c r="D2091" s="7">
        <v>4522</v>
      </c>
      <c r="E2091" t="s">
        <v>9</v>
      </c>
      <c r="F2091" s="9">
        <v>3.6</v>
      </c>
    </row>
    <row r="2092" spans="1:6">
      <c r="A2092" t="s">
        <v>6</v>
      </c>
      <c r="B2092" t="s">
        <v>788</v>
      </c>
      <c r="C2092" s="1" t="s">
        <v>793</v>
      </c>
      <c r="D2092" s="7">
        <v>4518</v>
      </c>
      <c r="E2092" t="s">
        <v>9</v>
      </c>
      <c r="F2092" s="9">
        <v>3.4</v>
      </c>
    </row>
    <row r="2093" spans="1:6">
      <c r="A2093" t="s">
        <v>6</v>
      </c>
      <c r="B2093" t="s">
        <v>788</v>
      </c>
      <c r="C2093" s="1" t="s">
        <v>794</v>
      </c>
      <c r="D2093" s="7">
        <v>4514</v>
      </c>
      <c r="E2093" t="s">
        <v>9</v>
      </c>
      <c r="F2093" s="9">
        <v>3.5</v>
      </c>
    </row>
    <row r="2094" spans="1:6">
      <c r="A2094" t="s">
        <v>6</v>
      </c>
      <c r="B2094" t="s">
        <v>788</v>
      </c>
      <c r="C2094" s="1" t="s">
        <v>790</v>
      </c>
      <c r="D2094" s="7">
        <v>4511</v>
      </c>
      <c r="E2094" t="s">
        <v>10</v>
      </c>
      <c r="F2094" s="9">
        <v>5.7</v>
      </c>
    </row>
    <row r="2095" spans="1:6">
      <c r="A2095" t="s">
        <v>6</v>
      </c>
      <c r="B2095" t="s">
        <v>788</v>
      </c>
      <c r="C2095" s="1" t="s">
        <v>791</v>
      </c>
      <c r="D2095" s="7">
        <v>3575</v>
      </c>
      <c r="E2095" t="s">
        <v>10</v>
      </c>
      <c r="F2095" s="9">
        <v>8.6</v>
      </c>
    </row>
    <row r="2096" spans="1:6">
      <c r="A2096" t="s">
        <v>6</v>
      </c>
      <c r="B2096" t="s">
        <v>788</v>
      </c>
      <c r="C2096" s="1" t="s">
        <v>792</v>
      </c>
      <c r="D2096" s="7">
        <v>4523</v>
      </c>
      <c r="E2096" t="s">
        <v>10</v>
      </c>
      <c r="F2096" s="9">
        <v>6.5</v>
      </c>
    </row>
    <row r="2097" spans="1:6">
      <c r="A2097" t="s">
        <v>6</v>
      </c>
      <c r="B2097" t="s">
        <v>788</v>
      </c>
      <c r="C2097" s="1" t="s">
        <v>793</v>
      </c>
      <c r="D2097" s="7">
        <v>4519</v>
      </c>
      <c r="E2097" t="s">
        <v>10</v>
      </c>
      <c r="F2097" s="9">
        <v>6.4</v>
      </c>
    </row>
    <row r="2098" spans="1:6">
      <c r="A2098" t="s">
        <v>6</v>
      </c>
      <c r="B2098" t="s">
        <v>788</v>
      </c>
      <c r="C2098" s="1" t="s">
        <v>794</v>
      </c>
      <c r="D2098" s="7">
        <v>4515</v>
      </c>
      <c r="E2098" t="s">
        <v>10</v>
      </c>
      <c r="F2098" s="9">
        <v>5.4</v>
      </c>
    </row>
    <row r="2099" spans="1:6">
      <c r="A2099" t="s">
        <v>6</v>
      </c>
      <c r="B2099" t="s">
        <v>788</v>
      </c>
      <c r="C2099" s="1" t="s">
        <v>789</v>
      </c>
      <c r="D2099" s="7">
        <v>5917</v>
      </c>
      <c r="E2099" t="s">
        <v>11</v>
      </c>
      <c r="F2099" s="9">
        <v>9.58</v>
      </c>
    </row>
    <row r="2100" spans="1:6">
      <c r="A2100" t="s">
        <v>6</v>
      </c>
      <c r="B2100" t="s">
        <v>788</v>
      </c>
      <c r="C2100" s="1" t="s">
        <v>790</v>
      </c>
      <c r="D2100" s="7">
        <v>4509</v>
      </c>
      <c r="E2100" t="s">
        <v>11</v>
      </c>
      <c r="F2100" s="9">
        <v>8.5</v>
      </c>
    </row>
    <row r="2101" spans="1:6">
      <c r="A2101" t="s">
        <v>6</v>
      </c>
      <c r="B2101" t="s">
        <v>788</v>
      </c>
      <c r="C2101" s="1" t="s">
        <v>791</v>
      </c>
      <c r="D2101" s="7">
        <v>3573</v>
      </c>
      <c r="E2101" t="s">
        <v>11</v>
      </c>
      <c r="F2101" s="9">
        <v>8.9</v>
      </c>
    </row>
    <row r="2102" spans="1:6">
      <c r="A2102" t="s">
        <v>6</v>
      </c>
      <c r="B2102" t="s">
        <v>788</v>
      </c>
      <c r="C2102" s="1" t="s">
        <v>792</v>
      </c>
      <c r="D2102" s="7">
        <v>4521</v>
      </c>
      <c r="E2102" t="s">
        <v>11</v>
      </c>
      <c r="F2102" s="9">
        <v>8.6999999999999993</v>
      </c>
    </row>
    <row r="2103" spans="1:6">
      <c r="A2103" t="s">
        <v>6</v>
      </c>
      <c r="B2103" t="s">
        <v>788</v>
      </c>
      <c r="C2103" s="1" t="s">
        <v>793</v>
      </c>
      <c r="D2103" s="7">
        <v>4517</v>
      </c>
      <c r="E2103" t="s">
        <v>11</v>
      </c>
      <c r="F2103" s="9">
        <v>8.4</v>
      </c>
    </row>
    <row r="2104" spans="1:6">
      <c r="A2104" t="s">
        <v>6</v>
      </c>
      <c r="B2104" t="s">
        <v>788</v>
      </c>
      <c r="C2104" s="1" t="s">
        <v>794</v>
      </c>
      <c r="D2104" s="7">
        <v>4513</v>
      </c>
      <c r="E2104" t="s">
        <v>11</v>
      </c>
      <c r="F2104" s="9">
        <v>8.6</v>
      </c>
    </row>
    <row r="2105" spans="1:6">
      <c r="A2105" t="s">
        <v>6</v>
      </c>
      <c r="B2105" t="s">
        <v>788</v>
      </c>
      <c r="C2105" s="1" t="s">
        <v>789</v>
      </c>
      <c r="D2105" s="7">
        <v>5918</v>
      </c>
      <c r="E2105" t="s">
        <v>12</v>
      </c>
      <c r="F2105" s="9">
        <v>2.72</v>
      </c>
    </row>
    <row r="2106" spans="1:6">
      <c r="A2106" t="s">
        <v>6</v>
      </c>
      <c r="B2106" s="6" t="s">
        <v>795</v>
      </c>
      <c r="C2106" s="3" t="s">
        <v>796</v>
      </c>
      <c r="D2106" s="7">
        <v>209</v>
      </c>
      <c r="E2106" s="2" t="s">
        <v>9</v>
      </c>
      <c r="F2106" s="10">
        <v>7.7</v>
      </c>
    </row>
    <row r="2107" spans="1:6">
      <c r="A2107" t="s">
        <v>6</v>
      </c>
      <c r="B2107" s="6" t="s">
        <v>795</v>
      </c>
      <c r="C2107" s="3" t="s">
        <v>797</v>
      </c>
      <c r="D2107" s="7">
        <v>213</v>
      </c>
      <c r="E2107" s="2" t="s">
        <v>9</v>
      </c>
      <c r="F2107" s="10">
        <v>7</v>
      </c>
    </row>
    <row r="2108" spans="1:6">
      <c r="A2108" t="s">
        <v>6</v>
      </c>
      <c r="B2108" s="6" t="s">
        <v>795</v>
      </c>
      <c r="C2108" s="3" t="s">
        <v>798</v>
      </c>
      <c r="D2108" s="7">
        <v>217</v>
      </c>
      <c r="E2108" s="2" t="s">
        <v>9</v>
      </c>
      <c r="F2108" s="10">
        <v>6.8</v>
      </c>
    </row>
    <row r="2109" spans="1:6">
      <c r="A2109" t="s">
        <v>6</v>
      </c>
      <c r="B2109" s="6" t="s">
        <v>795</v>
      </c>
      <c r="C2109" s="3" t="s">
        <v>799</v>
      </c>
      <c r="D2109" s="7">
        <v>221</v>
      </c>
      <c r="E2109" s="2" t="s">
        <v>9</v>
      </c>
      <c r="F2109" s="10">
        <v>6.9</v>
      </c>
    </row>
    <row r="2110" spans="1:6">
      <c r="A2110" t="s">
        <v>6</v>
      </c>
      <c r="B2110" t="s">
        <v>795</v>
      </c>
      <c r="C2110" s="1" t="s">
        <v>800</v>
      </c>
      <c r="D2110" s="7">
        <v>6341</v>
      </c>
      <c r="E2110" t="s">
        <v>9</v>
      </c>
      <c r="F2110" s="9">
        <v>6.97</v>
      </c>
    </row>
    <row r="2111" spans="1:6">
      <c r="A2111" t="s">
        <v>6</v>
      </c>
      <c r="B2111" t="s">
        <v>795</v>
      </c>
      <c r="C2111" s="1" t="s">
        <v>801</v>
      </c>
      <c r="D2111" s="7">
        <v>6333</v>
      </c>
      <c r="E2111" t="s">
        <v>9</v>
      </c>
      <c r="F2111" s="9">
        <v>6.79</v>
      </c>
    </row>
    <row r="2112" spans="1:6">
      <c r="A2112" t="s">
        <v>6</v>
      </c>
      <c r="B2112" t="s">
        <v>795</v>
      </c>
      <c r="C2112" s="1" t="s">
        <v>802</v>
      </c>
      <c r="D2112" s="7">
        <v>6337</v>
      </c>
      <c r="E2112" t="s">
        <v>9</v>
      </c>
      <c r="F2112" s="9">
        <v>6.58</v>
      </c>
    </row>
    <row r="2113" spans="1:6">
      <c r="A2113" t="s">
        <v>6</v>
      </c>
      <c r="B2113" t="s">
        <v>795</v>
      </c>
      <c r="C2113" s="1" t="s">
        <v>803</v>
      </c>
      <c r="D2113" s="7">
        <v>6345</v>
      </c>
      <c r="E2113" t="s">
        <v>9</v>
      </c>
      <c r="F2113" s="9">
        <v>6.44</v>
      </c>
    </row>
    <row r="2114" spans="1:6">
      <c r="A2114" t="s">
        <v>6</v>
      </c>
      <c r="B2114" t="s">
        <v>795</v>
      </c>
      <c r="C2114" s="1" t="s">
        <v>804</v>
      </c>
      <c r="D2114" s="7">
        <v>2850</v>
      </c>
      <c r="E2114" t="s">
        <v>9</v>
      </c>
      <c r="F2114" s="9">
        <v>7</v>
      </c>
    </row>
    <row r="2115" spans="1:6">
      <c r="A2115" t="s">
        <v>6</v>
      </c>
      <c r="B2115" t="s">
        <v>795</v>
      </c>
      <c r="C2115" s="1" t="s">
        <v>805</v>
      </c>
      <c r="D2115" s="7">
        <v>2854</v>
      </c>
      <c r="E2115" t="s">
        <v>9</v>
      </c>
      <c r="F2115" s="9">
        <v>7.6</v>
      </c>
    </row>
    <row r="2116" spans="1:6">
      <c r="A2116" t="s">
        <v>6</v>
      </c>
      <c r="B2116" t="s">
        <v>795</v>
      </c>
      <c r="C2116" s="1" t="s">
        <v>806</v>
      </c>
      <c r="D2116" s="7">
        <v>3042</v>
      </c>
      <c r="E2116" t="s">
        <v>9</v>
      </c>
      <c r="F2116" s="9">
        <v>6.6</v>
      </c>
    </row>
    <row r="2117" spans="1:6">
      <c r="A2117" t="s">
        <v>6</v>
      </c>
      <c r="B2117" t="s">
        <v>795</v>
      </c>
      <c r="C2117" s="1" t="s">
        <v>807</v>
      </c>
      <c r="D2117" s="7">
        <v>4526</v>
      </c>
      <c r="E2117" t="s">
        <v>9</v>
      </c>
      <c r="F2117" s="9">
        <v>7.1</v>
      </c>
    </row>
    <row r="2118" spans="1:6">
      <c r="A2118" t="s">
        <v>6</v>
      </c>
      <c r="B2118" t="s">
        <v>795</v>
      </c>
      <c r="C2118" s="1" t="s">
        <v>808</v>
      </c>
      <c r="D2118" s="7">
        <v>3466</v>
      </c>
      <c r="E2118" t="s">
        <v>9</v>
      </c>
      <c r="F2118" s="9">
        <v>6.8</v>
      </c>
    </row>
    <row r="2119" spans="1:6">
      <c r="A2119" t="s">
        <v>6</v>
      </c>
      <c r="B2119" t="s">
        <v>795</v>
      </c>
      <c r="C2119" s="1" t="s">
        <v>809</v>
      </c>
      <c r="D2119" s="7">
        <v>3470</v>
      </c>
      <c r="E2119" t="s">
        <v>9</v>
      </c>
      <c r="F2119" s="9">
        <v>7</v>
      </c>
    </row>
    <row r="2120" spans="1:6">
      <c r="A2120" t="s">
        <v>6</v>
      </c>
      <c r="B2120" t="s">
        <v>795</v>
      </c>
      <c r="C2120" s="1" t="s">
        <v>810</v>
      </c>
      <c r="D2120" s="7">
        <v>4530</v>
      </c>
      <c r="E2120" t="s">
        <v>9</v>
      </c>
      <c r="F2120" s="9">
        <v>6.8</v>
      </c>
    </row>
    <row r="2121" spans="1:6">
      <c r="A2121" t="s">
        <v>6</v>
      </c>
      <c r="B2121" t="s">
        <v>795</v>
      </c>
      <c r="C2121" s="1" t="s">
        <v>811</v>
      </c>
      <c r="D2121" s="7">
        <v>4534</v>
      </c>
      <c r="E2121" t="s">
        <v>9</v>
      </c>
      <c r="F2121" s="9">
        <v>6.9</v>
      </c>
    </row>
    <row r="2122" spans="1:6">
      <c r="A2122" t="s">
        <v>6</v>
      </c>
      <c r="B2122" t="s">
        <v>795</v>
      </c>
      <c r="C2122" s="1" t="s">
        <v>812</v>
      </c>
      <c r="D2122" s="7">
        <v>4538</v>
      </c>
      <c r="E2122" t="s">
        <v>9</v>
      </c>
      <c r="F2122" s="9">
        <v>7</v>
      </c>
    </row>
    <row r="2123" spans="1:6">
      <c r="A2123" t="s">
        <v>6</v>
      </c>
      <c r="B2123" t="s">
        <v>795</v>
      </c>
      <c r="C2123" s="1" t="s">
        <v>813</v>
      </c>
      <c r="D2123" s="7">
        <v>4542</v>
      </c>
      <c r="E2123" t="s">
        <v>9</v>
      </c>
      <c r="F2123" s="9">
        <v>7</v>
      </c>
    </row>
    <row r="2124" spans="1:6">
      <c r="A2124" t="s">
        <v>6</v>
      </c>
      <c r="B2124" s="6" t="s">
        <v>795</v>
      </c>
      <c r="C2124" s="3" t="s">
        <v>796</v>
      </c>
      <c r="D2124" s="7">
        <v>207</v>
      </c>
      <c r="E2124" s="2" t="s">
        <v>10</v>
      </c>
      <c r="F2124" s="10">
        <v>33.9</v>
      </c>
    </row>
    <row r="2125" spans="1:6">
      <c r="A2125" t="s">
        <v>6</v>
      </c>
      <c r="B2125" s="6" t="s">
        <v>795</v>
      </c>
      <c r="C2125" s="3" t="s">
        <v>797</v>
      </c>
      <c r="D2125" s="7">
        <v>211</v>
      </c>
      <c r="E2125" s="2" t="s">
        <v>10</v>
      </c>
      <c r="F2125" s="10">
        <v>32.799999999999997</v>
      </c>
    </row>
    <row r="2126" spans="1:6">
      <c r="A2126" t="s">
        <v>6</v>
      </c>
      <c r="B2126" s="6" t="s">
        <v>795</v>
      </c>
      <c r="C2126" s="3" t="s">
        <v>798</v>
      </c>
      <c r="D2126" s="7">
        <v>215</v>
      </c>
      <c r="E2126" s="2" t="s">
        <v>10</v>
      </c>
      <c r="F2126" s="10">
        <v>32.299999999999997</v>
      </c>
    </row>
    <row r="2127" spans="1:6">
      <c r="A2127" t="s">
        <v>6</v>
      </c>
      <c r="B2127" s="6" t="s">
        <v>795</v>
      </c>
      <c r="C2127" s="3" t="s">
        <v>799</v>
      </c>
      <c r="D2127" s="7">
        <v>219</v>
      </c>
      <c r="E2127" s="2" t="s">
        <v>10</v>
      </c>
      <c r="F2127" s="10">
        <v>28.7</v>
      </c>
    </row>
    <row r="2128" spans="1:6">
      <c r="A2128" t="s">
        <v>6</v>
      </c>
      <c r="B2128" t="s">
        <v>795</v>
      </c>
      <c r="C2128" s="1" t="s">
        <v>804</v>
      </c>
      <c r="D2128" s="7">
        <v>2851</v>
      </c>
      <c r="E2128" t="s">
        <v>10</v>
      </c>
      <c r="F2128" s="9">
        <v>24.7</v>
      </c>
    </row>
    <row r="2129" spans="1:6">
      <c r="A2129" t="s">
        <v>6</v>
      </c>
      <c r="B2129" t="s">
        <v>795</v>
      </c>
      <c r="C2129" s="1" t="s">
        <v>805</v>
      </c>
      <c r="D2129" s="7">
        <v>2855</v>
      </c>
      <c r="E2129" t="s">
        <v>10</v>
      </c>
      <c r="F2129" s="9">
        <v>22.3</v>
      </c>
    </row>
    <row r="2130" spans="1:6">
      <c r="A2130" t="s">
        <v>6</v>
      </c>
      <c r="B2130" t="s">
        <v>795</v>
      </c>
      <c r="C2130" s="1" t="s">
        <v>806</v>
      </c>
      <c r="D2130" s="7">
        <v>3043</v>
      </c>
      <c r="E2130" t="s">
        <v>10</v>
      </c>
      <c r="F2130" s="9">
        <v>22.5</v>
      </c>
    </row>
    <row r="2131" spans="1:6">
      <c r="A2131" t="s">
        <v>6</v>
      </c>
      <c r="B2131" t="s">
        <v>795</v>
      </c>
      <c r="C2131" s="1" t="s">
        <v>807</v>
      </c>
      <c r="D2131" s="7">
        <v>4527</v>
      </c>
      <c r="E2131" t="s">
        <v>10</v>
      </c>
      <c r="F2131" s="9">
        <v>14.9</v>
      </c>
    </row>
    <row r="2132" spans="1:6">
      <c r="A2132" t="s">
        <v>6</v>
      </c>
      <c r="B2132" t="s">
        <v>795</v>
      </c>
      <c r="C2132" s="1" t="s">
        <v>808</v>
      </c>
      <c r="D2132" s="7">
        <v>3467</v>
      </c>
      <c r="E2132" t="s">
        <v>10</v>
      </c>
      <c r="F2132" s="9">
        <v>22.8</v>
      </c>
    </row>
    <row r="2133" spans="1:6">
      <c r="A2133" t="s">
        <v>6</v>
      </c>
      <c r="B2133" t="s">
        <v>795</v>
      </c>
      <c r="C2133" s="1" t="s">
        <v>809</v>
      </c>
      <c r="D2133" s="7">
        <v>3471</v>
      </c>
      <c r="E2133" t="s">
        <v>10</v>
      </c>
      <c r="F2133" s="9">
        <v>22.9</v>
      </c>
    </row>
    <row r="2134" spans="1:6">
      <c r="A2134" t="s">
        <v>6</v>
      </c>
      <c r="B2134" t="s">
        <v>795</v>
      </c>
      <c r="C2134" s="1" t="s">
        <v>810</v>
      </c>
      <c r="D2134" s="7">
        <v>4531</v>
      </c>
      <c r="E2134" t="s">
        <v>10</v>
      </c>
      <c r="F2134" s="9">
        <v>16.5</v>
      </c>
    </row>
    <row r="2135" spans="1:6">
      <c r="A2135" t="s">
        <v>6</v>
      </c>
      <c r="B2135" t="s">
        <v>795</v>
      </c>
      <c r="C2135" s="1" t="s">
        <v>811</v>
      </c>
      <c r="D2135" s="7">
        <v>4535</v>
      </c>
      <c r="E2135" t="s">
        <v>10</v>
      </c>
      <c r="F2135" s="9">
        <v>15.3</v>
      </c>
    </row>
    <row r="2136" spans="1:6">
      <c r="A2136" t="s">
        <v>6</v>
      </c>
      <c r="B2136" t="s">
        <v>795</v>
      </c>
      <c r="C2136" s="1" t="s">
        <v>812</v>
      </c>
      <c r="D2136" s="7">
        <v>4539</v>
      </c>
      <c r="E2136" t="s">
        <v>10</v>
      </c>
      <c r="F2136" s="9">
        <v>17</v>
      </c>
    </row>
    <row r="2137" spans="1:6">
      <c r="A2137" t="s">
        <v>6</v>
      </c>
      <c r="B2137" t="s">
        <v>795</v>
      </c>
      <c r="C2137" s="1" t="s">
        <v>813</v>
      </c>
      <c r="D2137" s="7">
        <v>4543</v>
      </c>
      <c r="E2137" t="s">
        <v>10</v>
      </c>
      <c r="F2137" s="9">
        <v>16.100000000000001</v>
      </c>
    </row>
    <row r="2138" spans="1:6">
      <c r="A2138" t="s">
        <v>6</v>
      </c>
      <c r="B2138" s="6" t="s">
        <v>795</v>
      </c>
      <c r="C2138" s="3" t="s">
        <v>796</v>
      </c>
      <c r="D2138" s="7">
        <v>208</v>
      </c>
      <c r="E2138" s="2" t="s">
        <v>11</v>
      </c>
      <c r="F2138" s="10">
        <v>24</v>
      </c>
    </row>
    <row r="2139" spans="1:6">
      <c r="A2139" t="s">
        <v>6</v>
      </c>
      <c r="B2139" s="6" t="s">
        <v>795</v>
      </c>
      <c r="C2139" s="3" t="s">
        <v>797</v>
      </c>
      <c r="D2139" s="7">
        <v>212</v>
      </c>
      <c r="E2139" s="2" t="s">
        <v>11</v>
      </c>
      <c r="F2139" s="10">
        <v>22.4</v>
      </c>
    </row>
    <row r="2140" spans="1:6">
      <c r="A2140" t="s">
        <v>6</v>
      </c>
      <c r="B2140" s="6" t="s">
        <v>795</v>
      </c>
      <c r="C2140" s="3" t="s">
        <v>798</v>
      </c>
      <c r="D2140" s="7">
        <v>216</v>
      </c>
      <c r="E2140" s="2" t="s">
        <v>11</v>
      </c>
      <c r="F2140" s="10">
        <v>22.5</v>
      </c>
    </row>
    <row r="2141" spans="1:6">
      <c r="A2141" t="s">
        <v>6</v>
      </c>
      <c r="B2141" s="6" t="s">
        <v>795</v>
      </c>
      <c r="C2141" s="3" t="s">
        <v>799</v>
      </c>
      <c r="D2141" s="7">
        <v>220</v>
      </c>
      <c r="E2141" s="2" t="s">
        <v>11</v>
      </c>
      <c r="F2141" s="10">
        <v>22.8</v>
      </c>
    </row>
    <row r="2142" spans="1:6">
      <c r="A2142" t="s">
        <v>6</v>
      </c>
      <c r="B2142" t="s">
        <v>795</v>
      </c>
      <c r="C2142" s="1" t="s">
        <v>800</v>
      </c>
      <c r="D2142" s="7">
        <v>6342</v>
      </c>
      <c r="E2142" t="s">
        <v>11</v>
      </c>
      <c r="F2142" s="9">
        <v>23.92</v>
      </c>
    </row>
    <row r="2143" spans="1:6">
      <c r="A2143" t="s">
        <v>6</v>
      </c>
      <c r="B2143" t="s">
        <v>795</v>
      </c>
      <c r="C2143" s="1" t="s">
        <v>801</v>
      </c>
      <c r="D2143" s="7">
        <v>6334</v>
      </c>
      <c r="E2143" t="s">
        <v>11</v>
      </c>
      <c r="F2143" s="9">
        <v>23.54</v>
      </c>
    </row>
    <row r="2144" spans="1:6">
      <c r="A2144" t="s">
        <v>6</v>
      </c>
      <c r="B2144" t="s">
        <v>795</v>
      </c>
      <c r="C2144" s="1" t="s">
        <v>802</v>
      </c>
      <c r="D2144" s="7">
        <v>6338</v>
      </c>
      <c r="E2144" t="s">
        <v>11</v>
      </c>
      <c r="F2144" s="9">
        <v>23.3</v>
      </c>
    </row>
    <row r="2145" spans="1:6">
      <c r="A2145" t="s">
        <v>6</v>
      </c>
      <c r="B2145" t="s">
        <v>795</v>
      </c>
      <c r="C2145" s="1" t="s">
        <v>803</v>
      </c>
      <c r="D2145" s="7">
        <v>6346</v>
      </c>
      <c r="E2145" t="s">
        <v>11</v>
      </c>
      <c r="F2145" s="9">
        <v>23.01</v>
      </c>
    </row>
    <row r="2146" spans="1:6">
      <c r="A2146" t="s">
        <v>6</v>
      </c>
      <c r="B2146" t="s">
        <v>795</v>
      </c>
      <c r="C2146" s="1" t="s">
        <v>804</v>
      </c>
      <c r="D2146" s="7">
        <v>2849</v>
      </c>
      <c r="E2146" t="s">
        <v>11</v>
      </c>
      <c r="F2146" s="9">
        <v>22</v>
      </c>
    </row>
    <row r="2147" spans="1:6">
      <c r="A2147" t="s">
        <v>6</v>
      </c>
      <c r="B2147" t="s">
        <v>795</v>
      </c>
      <c r="C2147" s="1" t="s">
        <v>805</v>
      </c>
      <c r="D2147" s="7">
        <v>2853</v>
      </c>
      <c r="E2147" t="s">
        <v>11</v>
      </c>
      <c r="F2147" s="9">
        <v>24.3</v>
      </c>
    </row>
    <row r="2148" spans="1:6">
      <c r="A2148" t="s">
        <v>6</v>
      </c>
      <c r="B2148" t="s">
        <v>795</v>
      </c>
      <c r="C2148" s="1" t="s">
        <v>806</v>
      </c>
      <c r="D2148" s="7">
        <v>3041</v>
      </c>
      <c r="E2148" t="s">
        <v>11</v>
      </c>
      <c r="F2148" s="9">
        <v>21.3</v>
      </c>
    </row>
    <row r="2149" spans="1:6">
      <c r="A2149" t="s">
        <v>6</v>
      </c>
      <c r="B2149" t="s">
        <v>795</v>
      </c>
      <c r="C2149" s="1" t="s">
        <v>807</v>
      </c>
      <c r="D2149" s="7">
        <v>4525</v>
      </c>
      <c r="E2149" t="s">
        <v>11</v>
      </c>
      <c r="F2149" s="9">
        <v>21.7</v>
      </c>
    </row>
    <row r="2150" spans="1:6">
      <c r="A2150" t="s">
        <v>6</v>
      </c>
      <c r="B2150" t="s">
        <v>795</v>
      </c>
      <c r="C2150" s="1" t="s">
        <v>808</v>
      </c>
      <c r="D2150" s="7">
        <v>3465</v>
      </c>
      <c r="E2150" t="s">
        <v>11</v>
      </c>
      <c r="F2150" s="9">
        <v>22.1</v>
      </c>
    </row>
    <row r="2151" spans="1:6">
      <c r="A2151" t="s">
        <v>6</v>
      </c>
      <c r="B2151" t="s">
        <v>795</v>
      </c>
      <c r="C2151" s="1" t="s">
        <v>809</v>
      </c>
      <c r="D2151" s="7">
        <v>3469</v>
      </c>
      <c r="E2151" t="s">
        <v>11</v>
      </c>
      <c r="F2151" s="9">
        <v>23.1</v>
      </c>
    </row>
    <row r="2152" spans="1:6">
      <c r="A2152" t="s">
        <v>6</v>
      </c>
      <c r="B2152" t="s">
        <v>795</v>
      </c>
      <c r="C2152" s="1" t="s">
        <v>810</v>
      </c>
      <c r="D2152" s="7">
        <v>4529</v>
      </c>
      <c r="E2152" t="s">
        <v>11</v>
      </c>
      <c r="F2152" s="9">
        <v>21.1</v>
      </c>
    </row>
    <row r="2153" spans="1:6">
      <c r="A2153" t="s">
        <v>6</v>
      </c>
      <c r="B2153" t="s">
        <v>795</v>
      </c>
      <c r="C2153" s="1" t="s">
        <v>811</v>
      </c>
      <c r="D2153" s="7">
        <v>4533</v>
      </c>
      <c r="E2153" t="s">
        <v>11</v>
      </c>
      <c r="F2153" s="9">
        <v>21.4</v>
      </c>
    </row>
    <row r="2154" spans="1:6">
      <c r="A2154" t="s">
        <v>6</v>
      </c>
      <c r="B2154" t="s">
        <v>795</v>
      </c>
      <c r="C2154" s="1" t="s">
        <v>812</v>
      </c>
      <c r="D2154" s="7">
        <v>4537</v>
      </c>
      <c r="E2154" t="s">
        <v>11</v>
      </c>
      <c r="F2154" s="9">
        <v>20.7</v>
      </c>
    </row>
    <row r="2155" spans="1:6">
      <c r="A2155" t="s">
        <v>6</v>
      </c>
      <c r="B2155" t="s">
        <v>795</v>
      </c>
      <c r="C2155" s="1" t="s">
        <v>813</v>
      </c>
      <c r="D2155" s="7">
        <v>4541</v>
      </c>
      <c r="E2155" t="s">
        <v>11</v>
      </c>
      <c r="F2155" s="9">
        <v>21.7</v>
      </c>
    </row>
    <row r="2156" spans="1:6">
      <c r="A2156" t="s">
        <v>6</v>
      </c>
      <c r="B2156" t="s">
        <v>795</v>
      </c>
      <c r="C2156" s="1" t="s">
        <v>800</v>
      </c>
      <c r="D2156" s="7">
        <v>6343</v>
      </c>
      <c r="E2156" t="s">
        <v>12</v>
      </c>
      <c r="F2156" s="9">
        <v>7.74</v>
      </c>
    </row>
    <row r="2157" spans="1:6">
      <c r="A2157" t="s">
        <v>6</v>
      </c>
      <c r="B2157" t="s">
        <v>795</v>
      </c>
      <c r="C2157" s="1" t="s">
        <v>801</v>
      </c>
      <c r="D2157" s="7">
        <v>6335</v>
      </c>
      <c r="E2157" t="s">
        <v>12</v>
      </c>
      <c r="F2157" s="9">
        <v>7.92</v>
      </c>
    </row>
    <row r="2158" spans="1:6">
      <c r="A2158" t="s">
        <v>6</v>
      </c>
      <c r="B2158" t="s">
        <v>795</v>
      </c>
      <c r="C2158" s="1" t="s">
        <v>802</v>
      </c>
      <c r="D2158" s="7">
        <v>6339</v>
      </c>
      <c r="E2158" t="s">
        <v>12</v>
      </c>
      <c r="F2158" s="9">
        <v>7.87</v>
      </c>
    </row>
    <row r="2159" spans="1:6">
      <c r="A2159" t="s">
        <v>6</v>
      </c>
      <c r="B2159" t="s">
        <v>795</v>
      </c>
      <c r="C2159" s="1" t="s">
        <v>803</v>
      </c>
      <c r="D2159" s="7">
        <v>6347</v>
      </c>
      <c r="E2159" t="s">
        <v>12</v>
      </c>
      <c r="F2159" s="9">
        <v>7.24</v>
      </c>
    </row>
    <row r="2160" spans="1:6">
      <c r="A2160" t="s">
        <v>6</v>
      </c>
      <c r="B2160" t="s">
        <v>814</v>
      </c>
      <c r="C2160" s="1" t="s">
        <v>815</v>
      </c>
      <c r="D2160" s="7">
        <v>3330</v>
      </c>
      <c r="E2160" t="s">
        <v>9</v>
      </c>
      <c r="F2160" s="9">
        <v>5.8</v>
      </c>
    </row>
    <row r="2161" spans="1:6">
      <c r="A2161" t="s">
        <v>6</v>
      </c>
      <c r="B2161" t="s">
        <v>814</v>
      </c>
      <c r="C2161" s="1" t="s">
        <v>816</v>
      </c>
      <c r="D2161" s="7">
        <v>3334</v>
      </c>
      <c r="E2161" t="s">
        <v>9</v>
      </c>
      <c r="F2161" s="9">
        <v>5.3</v>
      </c>
    </row>
    <row r="2162" spans="1:6">
      <c r="A2162" t="s">
        <v>6</v>
      </c>
      <c r="B2162" t="s">
        <v>814</v>
      </c>
      <c r="C2162" s="1" t="s">
        <v>817</v>
      </c>
      <c r="D2162" s="7">
        <v>3434</v>
      </c>
      <c r="E2162" t="s">
        <v>9</v>
      </c>
      <c r="F2162" s="9">
        <v>5.6</v>
      </c>
    </row>
    <row r="2163" spans="1:6">
      <c r="A2163" t="s">
        <v>6</v>
      </c>
      <c r="B2163" t="s">
        <v>814</v>
      </c>
      <c r="C2163" s="1" t="s">
        <v>818</v>
      </c>
      <c r="D2163" s="7">
        <v>3438</v>
      </c>
      <c r="E2163" t="s">
        <v>9</v>
      </c>
      <c r="F2163" s="9">
        <v>6.1</v>
      </c>
    </row>
    <row r="2164" spans="1:6">
      <c r="A2164" t="s">
        <v>6</v>
      </c>
      <c r="B2164" t="s">
        <v>814</v>
      </c>
      <c r="C2164" s="1" t="s">
        <v>819</v>
      </c>
      <c r="D2164" s="7">
        <v>3442</v>
      </c>
      <c r="E2164" t="s">
        <v>9</v>
      </c>
      <c r="F2164" s="9">
        <v>6</v>
      </c>
    </row>
    <row r="2165" spans="1:6">
      <c r="A2165" t="s">
        <v>6</v>
      </c>
      <c r="B2165" t="s">
        <v>814</v>
      </c>
      <c r="C2165" s="1" t="s">
        <v>820</v>
      </c>
      <c r="D2165" s="7">
        <v>3446</v>
      </c>
      <c r="E2165" t="s">
        <v>9</v>
      </c>
      <c r="F2165" s="9">
        <v>6</v>
      </c>
    </row>
    <row r="2166" spans="1:6">
      <c r="A2166" t="s">
        <v>6</v>
      </c>
      <c r="B2166" t="s">
        <v>814</v>
      </c>
      <c r="C2166" s="1" t="s">
        <v>821</v>
      </c>
      <c r="D2166" s="7">
        <v>4546</v>
      </c>
      <c r="E2166" t="s">
        <v>9</v>
      </c>
      <c r="F2166" s="9">
        <v>6.1</v>
      </c>
    </row>
    <row r="2167" spans="1:6">
      <c r="A2167" t="s">
        <v>6</v>
      </c>
      <c r="B2167" t="s">
        <v>814</v>
      </c>
      <c r="C2167" s="1" t="s">
        <v>822</v>
      </c>
      <c r="D2167" s="7">
        <v>4550</v>
      </c>
      <c r="E2167" t="s">
        <v>9</v>
      </c>
      <c r="F2167" s="9">
        <v>6</v>
      </c>
    </row>
    <row r="2168" spans="1:6">
      <c r="A2168" t="s">
        <v>6</v>
      </c>
      <c r="B2168" t="s">
        <v>814</v>
      </c>
      <c r="C2168" s="1" t="s">
        <v>823</v>
      </c>
      <c r="D2168" s="7">
        <v>4554</v>
      </c>
      <c r="E2168" t="s">
        <v>9</v>
      </c>
      <c r="F2168" s="9">
        <v>6.2</v>
      </c>
    </row>
    <row r="2169" spans="1:6">
      <c r="A2169" t="s">
        <v>6</v>
      </c>
      <c r="B2169" t="s">
        <v>814</v>
      </c>
      <c r="C2169" s="1" t="s">
        <v>824</v>
      </c>
      <c r="D2169" s="7">
        <v>4558</v>
      </c>
      <c r="E2169" t="s">
        <v>9</v>
      </c>
      <c r="F2169" s="9">
        <v>6.2</v>
      </c>
    </row>
    <row r="2170" spans="1:6">
      <c r="A2170" t="s">
        <v>6</v>
      </c>
      <c r="B2170" t="s">
        <v>814</v>
      </c>
      <c r="C2170" s="1" t="s">
        <v>815</v>
      </c>
      <c r="D2170" s="7">
        <v>3331</v>
      </c>
      <c r="E2170" t="s">
        <v>10</v>
      </c>
      <c r="F2170" s="9">
        <v>22.8</v>
      </c>
    </row>
    <row r="2171" spans="1:6">
      <c r="A2171" t="s">
        <v>6</v>
      </c>
      <c r="B2171" t="s">
        <v>814</v>
      </c>
      <c r="C2171" s="1" t="s">
        <v>816</v>
      </c>
      <c r="D2171" s="7">
        <v>3335</v>
      </c>
      <c r="E2171" t="s">
        <v>10</v>
      </c>
      <c r="F2171" s="9">
        <v>21.5</v>
      </c>
    </row>
    <row r="2172" spans="1:6">
      <c r="A2172" t="s">
        <v>6</v>
      </c>
      <c r="B2172" t="s">
        <v>814</v>
      </c>
      <c r="C2172" s="1" t="s">
        <v>817</v>
      </c>
      <c r="D2172" s="7">
        <v>3435</v>
      </c>
      <c r="E2172" t="s">
        <v>10</v>
      </c>
      <c r="F2172" s="9">
        <v>21.2</v>
      </c>
    </row>
    <row r="2173" spans="1:6">
      <c r="A2173" t="s">
        <v>6</v>
      </c>
      <c r="B2173" t="s">
        <v>814</v>
      </c>
      <c r="C2173" s="1" t="s">
        <v>818</v>
      </c>
      <c r="D2173" s="7">
        <v>3439</v>
      </c>
      <c r="E2173" t="s">
        <v>10</v>
      </c>
      <c r="F2173" s="9">
        <v>22.4</v>
      </c>
    </row>
    <row r="2174" spans="1:6">
      <c r="A2174" t="s">
        <v>6</v>
      </c>
      <c r="B2174" t="s">
        <v>814</v>
      </c>
      <c r="C2174" s="1" t="s">
        <v>819</v>
      </c>
      <c r="D2174" s="7">
        <v>3443</v>
      </c>
      <c r="E2174" t="s">
        <v>10</v>
      </c>
      <c r="F2174" s="9">
        <v>22.6</v>
      </c>
    </row>
    <row r="2175" spans="1:6">
      <c r="A2175" t="s">
        <v>6</v>
      </c>
      <c r="B2175" t="s">
        <v>814</v>
      </c>
      <c r="C2175" s="1" t="s">
        <v>820</v>
      </c>
      <c r="D2175" s="7">
        <v>3447</v>
      </c>
      <c r="E2175" t="s">
        <v>10</v>
      </c>
      <c r="F2175" s="9">
        <v>21.9</v>
      </c>
    </row>
    <row r="2176" spans="1:6">
      <c r="A2176" t="s">
        <v>6</v>
      </c>
      <c r="B2176" t="s">
        <v>814</v>
      </c>
      <c r="C2176" s="1" t="s">
        <v>821</v>
      </c>
      <c r="D2176" s="7">
        <v>4547</v>
      </c>
      <c r="E2176" t="s">
        <v>10</v>
      </c>
      <c r="F2176" s="9">
        <v>16.7</v>
      </c>
    </row>
    <row r="2177" spans="1:6">
      <c r="A2177" t="s">
        <v>6</v>
      </c>
      <c r="B2177" t="s">
        <v>814</v>
      </c>
      <c r="C2177" s="1" t="s">
        <v>822</v>
      </c>
      <c r="D2177" s="7">
        <v>4551</v>
      </c>
      <c r="E2177" t="s">
        <v>10</v>
      </c>
      <c r="F2177" s="9">
        <v>15.1</v>
      </c>
    </row>
    <row r="2178" spans="1:6">
      <c r="A2178" t="s">
        <v>6</v>
      </c>
      <c r="B2178" t="s">
        <v>814</v>
      </c>
      <c r="C2178" s="1" t="s">
        <v>823</v>
      </c>
      <c r="D2178" s="7">
        <v>4555</v>
      </c>
      <c r="E2178" t="s">
        <v>10</v>
      </c>
      <c r="F2178" s="9">
        <v>16.3</v>
      </c>
    </row>
    <row r="2179" spans="1:6">
      <c r="A2179" t="s">
        <v>6</v>
      </c>
      <c r="B2179" t="s">
        <v>814</v>
      </c>
      <c r="C2179" s="1" t="s">
        <v>824</v>
      </c>
      <c r="D2179" s="7">
        <v>4559</v>
      </c>
      <c r="E2179" t="s">
        <v>10</v>
      </c>
      <c r="F2179" s="9">
        <v>16.399999999999999</v>
      </c>
    </row>
    <row r="2180" spans="1:6">
      <c r="A2180" t="s">
        <v>6</v>
      </c>
      <c r="B2180" t="s">
        <v>814</v>
      </c>
      <c r="C2180" s="1" t="s">
        <v>815</v>
      </c>
      <c r="D2180" s="7">
        <v>3329</v>
      </c>
      <c r="E2180" t="s">
        <v>11</v>
      </c>
      <c r="F2180" s="9">
        <v>19.899999999999999</v>
      </c>
    </row>
    <row r="2181" spans="1:6">
      <c r="A2181" t="s">
        <v>6</v>
      </c>
      <c r="B2181" t="s">
        <v>814</v>
      </c>
      <c r="C2181" s="1" t="s">
        <v>816</v>
      </c>
      <c r="D2181" s="7">
        <v>3333</v>
      </c>
      <c r="E2181" t="s">
        <v>11</v>
      </c>
      <c r="F2181" s="9">
        <v>19.899999999999999</v>
      </c>
    </row>
    <row r="2182" spans="1:6">
      <c r="A2182" t="s">
        <v>6</v>
      </c>
      <c r="B2182" t="s">
        <v>814</v>
      </c>
      <c r="C2182" s="1" t="s">
        <v>817</v>
      </c>
      <c r="D2182" s="7">
        <v>3433</v>
      </c>
      <c r="E2182" t="s">
        <v>11</v>
      </c>
      <c r="F2182" s="9">
        <v>18.600000000000001</v>
      </c>
    </row>
    <row r="2183" spans="1:6">
      <c r="A2183" t="s">
        <v>6</v>
      </c>
      <c r="B2183" t="s">
        <v>814</v>
      </c>
      <c r="C2183" s="1" t="s">
        <v>818</v>
      </c>
      <c r="D2183" s="7">
        <v>3437</v>
      </c>
      <c r="E2183" t="s">
        <v>11</v>
      </c>
      <c r="F2183" s="9">
        <v>20.6</v>
      </c>
    </row>
    <row r="2184" spans="1:6">
      <c r="A2184" t="s">
        <v>6</v>
      </c>
      <c r="B2184" t="s">
        <v>814</v>
      </c>
      <c r="C2184" s="1" t="s">
        <v>819</v>
      </c>
      <c r="D2184" s="7">
        <v>3441</v>
      </c>
      <c r="E2184" t="s">
        <v>11</v>
      </c>
      <c r="F2184" s="9">
        <v>20.9</v>
      </c>
    </row>
    <row r="2185" spans="1:6">
      <c r="A2185" t="s">
        <v>6</v>
      </c>
      <c r="B2185" t="s">
        <v>814</v>
      </c>
      <c r="C2185" s="1" t="s">
        <v>820</v>
      </c>
      <c r="D2185" s="7">
        <v>3445</v>
      </c>
      <c r="E2185" t="s">
        <v>11</v>
      </c>
      <c r="F2185" s="9">
        <v>20.2</v>
      </c>
    </row>
    <row r="2186" spans="1:6">
      <c r="A2186" t="s">
        <v>6</v>
      </c>
      <c r="B2186" t="s">
        <v>814</v>
      </c>
      <c r="C2186" s="1" t="s">
        <v>821</v>
      </c>
      <c r="D2186" s="7">
        <v>4545</v>
      </c>
      <c r="E2186" t="s">
        <v>11</v>
      </c>
      <c r="F2186" s="9">
        <v>20.6</v>
      </c>
    </row>
    <row r="2187" spans="1:6">
      <c r="A2187" t="s">
        <v>6</v>
      </c>
      <c r="B2187" t="s">
        <v>814</v>
      </c>
      <c r="C2187" s="1" t="s">
        <v>822</v>
      </c>
      <c r="D2187" s="7">
        <v>4549</v>
      </c>
      <c r="E2187" t="s">
        <v>11</v>
      </c>
      <c r="F2187" s="9">
        <v>19.399999999999999</v>
      </c>
    </row>
    <row r="2188" spans="1:6">
      <c r="A2188" t="s">
        <v>6</v>
      </c>
      <c r="B2188" t="s">
        <v>814</v>
      </c>
      <c r="C2188" s="1" t="s">
        <v>823</v>
      </c>
      <c r="D2188" s="7">
        <v>4553</v>
      </c>
      <c r="E2188" t="s">
        <v>11</v>
      </c>
      <c r="F2188" s="9">
        <v>20.3</v>
      </c>
    </row>
    <row r="2189" spans="1:6">
      <c r="A2189" t="s">
        <v>6</v>
      </c>
      <c r="B2189" t="s">
        <v>814</v>
      </c>
      <c r="C2189" s="1" t="s">
        <v>824</v>
      </c>
      <c r="D2189" s="7">
        <v>4557</v>
      </c>
      <c r="E2189" t="s">
        <v>11</v>
      </c>
      <c r="F2189" s="9">
        <v>19.899999999999999</v>
      </c>
    </row>
    <row r="2190" spans="1:6">
      <c r="A2190" t="s">
        <v>6</v>
      </c>
      <c r="B2190" t="s">
        <v>825</v>
      </c>
      <c r="C2190" s="3" t="s">
        <v>826</v>
      </c>
      <c r="D2190" s="7">
        <v>133</v>
      </c>
      <c r="E2190" s="2" t="s">
        <v>9</v>
      </c>
      <c r="F2190" s="10">
        <v>6.1</v>
      </c>
    </row>
    <row r="2191" spans="1:6">
      <c r="A2191" t="s">
        <v>6</v>
      </c>
      <c r="B2191" t="s">
        <v>825</v>
      </c>
      <c r="C2191" s="3" t="s">
        <v>827</v>
      </c>
      <c r="D2191" s="7">
        <v>137</v>
      </c>
      <c r="E2191" s="2" t="s">
        <v>9</v>
      </c>
      <c r="F2191" s="10">
        <v>5.7</v>
      </c>
    </row>
    <row r="2192" spans="1:6">
      <c r="A2192" t="s">
        <v>6</v>
      </c>
      <c r="B2192" t="s">
        <v>825</v>
      </c>
      <c r="C2192" s="3" t="s">
        <v>828</v>
      </c>
      <c r="D2192" s="7">
        <v>141</v>
      </c>
      <c r="E2192" s="2" t="s">
        <v>9</v>
      </c>
      <c r="F2192" s="10">
        <v>6</v>
      </c>
    </row>
    <row r="2193" spans="1:6">
      <c r="A2193" t="s">
        <v>6</v>
      </c>
      <c r="B2193" s="6" t="s">
        <v>825</v>
      </c>
      <c r="C2193" s="3" t="s">
        <v>829</v>
      </c>
      <c r="D2193" s="7">
        <v>337</v>
      </c>
      <c r="E2193" s="2" t="s">
        <v>9</v>
      </c>
      <c r="F2193" s="10">
        <v>5.3</v>
      </c>
    </row>
    <row r="2194" spans="1:6">
      <c r="A2194" t="s">
        <v>6</v>
      </c>
      <c r="B2194" s="6" t="s">
        <v>825</v>
      </c>
      <c r="C2194" s="3" t="s">
        <v>830</v>
      </c>
      <c r="D2194" s="7">
        <v>249</v>
      </c>
      <c r="E2194" s="2" t="s">
        <v>9</v>
      </c>
      <c r="F2194" s="10">
        <v>4.7</v>
      </c>
    </row>
    <row r="2195" spans="1:6">
      <c r="A2195" t="s">
        <v>6</v>
      </c>
      <c r="B2195" t="s">
        <v>825</v>
      </c>
      <c r="C2195" s="1" t="s">
        <v>831</v>
      </c>
      <c r="D2195" s="7">
        <v>5533</v>
      </c>
      <c r="E2195" t="s">
        <v>9</v>
      </c>
      <c r="F2195" s="9">
        <v>5.0199999999999996</v>
      </c>
    </row>
    <row r="2196" spans="1:6">
      <c r="A2196" t="s">
        <v>6</v>
      </c>
      <c r="B2196" t="s">
        <v>825</v>
      </c>
      <c r="C2196" s="1" t="s">
        <v>832</v>
      </c>
      <c r="D2196" s="7">
        <v>2974</v>
      </c>
      <c r="E2196" t="s">
        <v>9</v>
      </c>
      <c r="F2196" s="9">
        <v>5.0999999999999996</v>
      </c>
    </row>
    <row r="2197" spans="1:6">
      <c r="A2197" t="s">
        <v>6</v>
      </c>
      <c r="B2197" t="s">
        <v>825</v>
      </c>
      <c r="C2197" s="1" t="s">
        <v>833</v>
      </c>
      <c r="D2197" s="7">
        <v>3018</v>
      </c>
      <c r="E2197" t="s">
        <v>9</v>
      </c>
      <c r="F2197" s="9">
        <v>5.0999999999999996</v>
      </c>
    </row>
    <row r="2198" spans="1:6">
      <c r="A2198" t="s">
        <v>6</v>
      </c>
      <c r="B2198" t="s">
        <v>825</v>
      </c>
      <c r="C2198" s="1" t="s">
        <v>834</v>
      </c>
      <c r="D2198" s="7">
        <v>3118</v>
      </c>
      <c r="E2198" t="s">
        <v>9</v>
      </c>
      <c r="F2198" s="9">
        <v>5.7</v>
      </c>
    </row>
    <row r="2199" spans="1:6">
      <c r="A2199" t="s">
        <v>6</v>
      </c>
      <c r="B2199" t="s">
        <v>825</v>
      </c>
      <c r="C2199" s="1" t="s">
        <v>835</v>
      </c>
      <c r="D2199" s="7">
        <v>3218</v>
      </c>
      <c r="E2199" t="s">
        <v>9</v>
      </c>
      <c r="F2199" s="9">
        <v>5.5</v>
      </c>
    </row>
    <row r="2200" spans="1:6">
      <c r="A2200" t="s">
        <v>6</v>
      </c>
      <c r="B2200" t="s">
        <v>825</v>
      </c>
      <c r="C2200" s="1" t="s">
        <v>836</v>
      </c>
      <c r="D2200" s="7">
        <v>3222</v>
      </c>
      <c r="E2200" t="s">
        <v>9</v>
      </c>
      <c r="F2200" s="9">
        <v>5.2</v>
      </c>
    </row>
    <row r="2201" spans="1:6">
      <c r="A2201" t="s">
        <v>6</v>
      </c>
      <c r="B2201" t="s">
        <v>825</v>
      </c>
      <c r="C2201" s="1" t="s">
        <v>837</v>
      </c>
      <c r="D2201" s="7">
        <v>3226</v>
      </c>
      <c r="E2201" t="s">
        <v>9</v>
      </c>
      <c r="F2201" s="9">
        <v>5.5</v>
      </c>
    </row>
    <row r="2202" spans="1:6">
      <c r="A2202" t="s">
        <v>6</v>
      </c>
      <c r="B2202" t="s">
        <v>825</v>
      </c>
      <c r="C2202" s="1" t="s">
        <v>838</v>
      </c>
      <c r="D2202" s="7">
        <v>4562</v>
      </c>
      <c r="E2202" t="s">
        <v>9</v>
      </c>
      <c r="F2202" s="9">
        <v>5.2</v>
      </c>
    </row>
    <row r="2203" spans="1:6">
      <c r="A2203" t="s">
        <v>6</v>
      </c>
      <c r="B2203" t="s">
        <v>825</v>
      </c>
      <c r="C2203" s="1" t="s">
        <v>839</v>
      </c>
      <c r="D2203" s="7">
        <v>3366</v>
      </c>
      <c r="E2203" t="s">
        <v>9</v>
      </c>
      <c r="F2203" s="9">
        <v>4.7</v>
      </c>
    </row>
    <row r="2204" spans="1:6">
      <c r="A2204" t="s">
        <v>6</v>
      </c>
      <c r="B2204" t="s">
        <v>825</v>
      </c>
      <c r="C2204" s="1" t="s">
        <v>840</v>
      </c>
      <c r="D2204" s="7">
        <v>3370</v>
      </c>
      <c r="E2204" t="s">
        <v>9</v>
      </c>
      <c r="F2204" s="9">
        <v>5.0999999999999996</v>
      </c>
    </row>
    <row r="2205" spans="1:6">
      <c r="A2205" t="s">
        <v>6</v>
      </c>
      <c r="B2205" t="s">
        <v>825</v>
      </c>
      <c r="C2205" s="1" t="s">
        <v>841</v>
      </c>
      <c r="D2205" s="7">
        <v>3550</v>
      </c>
      <c r="E2205" t="s">
        <v>9</v>
      </c>
      <c r="F2205" s="9">
        <v>4.5999999999999996</v>
      </c>
    </row>
    <row r="2206" spans="1:6">
      <c r="A2206" t="s">
        <v>6</v>
      </c>
      <c r="B2206" t="s">
        <v>825</v>
      </c>
      <c r="C2206" s="3" t="s">
        <v>826</v>
      </c>
      <c r="D2206" s="7">
        <v>131</v>
      </c>
      <c r="E2206" s="2" t="s">
        <v>10</v>
      </c>
      <c r="F2206" s="10">
        <v>26.3</v>
      </c>
    </row>
    <row r="2207" spans="1:6">
      <c r="A2207" t="s">
        <v>6</v>
      </c>
      <c r="B2207" t="s">
        <v>825</v>
      </c>
      <c r="C2207" s="3" t="s">
        <v>827</v>
      </c>
      <c r="D2207" s="7">
        <v>135</v>
      </c>
      <c r="E2207" s="2" t="s">
        <v>10</v>
      </c>
      <c r="F2207" s="10">
        <v>22.7</v>
      </c>
    </row>
    <row r="2208" spans="1:6">
      <c r="A2208" t="s">
        <v>6</v>
      </c>
      <c r="B2208" t="s">
        <v>825</v>
      </c>
      <c r="C2208" s="3" t="s">
        <v>828</v>
      </c>
      <c r="D2208" s="7">
        <v>139</v>
      </c>
      <c r="E2208" s="2" t="s">
        <v>10</v>
      </c>
      <c r="F2208" s="10">
        <v>24.8</v>
      </c>
    </row>
    <row r="2209" spans="1:6">
      <c r="A2209" t="s">
        <v>6</v>
      </c>
      <c r="B2209" s="6" t="s">
        <v>825</v>
      </c>
      <c r="C2209" s="3" t="s">
        <v>829</v>
      </c>
      <c r="D2209" s="7">
        <v>335</v>
      </c>
      <c r="E2209" s="2" t="s">
        <v>10</v>
      </c>
      <c r="F2209" s="10">
        <v>19.100000000000001</v>
      </c>
    </row>
    <row r="2210" spans="1:6">
      <c r="A2210" t="s">
        <v>6</v>
      </c>
      <c r="B2210" s="6" t="s">
        <v>825</v>
      </c>
      <c r="C2210" s="3" t="s">
        <v>830</v>
      </c>
      <c r="D2210" s="7">
        <v>247</v>
      </c>
      <c r="E2210" s="2" t="s">
        <v>10</v>
      </c>
      <c r="F2210" s="10">
        <v>23.2</v>
      </c>
    </row>
    <row r="2211" spans="1:6">
      <c r="A2211" t="s">
        <v>6</v>
      </c>
      <c r="B2211" t="s">
        <v>825</v>
      </c>
      <c r="C2211" s="1" t="s">
        <v>832</v>
      </c>
      <c r="D2211" s="7">
        <v>2975</v>
      </c>
      <c r="E2211" t="s">
        <v>10</v>
      </c>
      <c r="F2211" s="9">
        <v>18</v>
      </c>
    </row>
    <row r="2212" spans="1:6">
      <c r="A2212" t="s">
        <v>6</v>
      </c>
      <c r="B2212" t="s">
        <v>825</v>
      </c>
      <c r="C2212" s="1" t="s">
        <v>833</v>
      </c>
      <c r="D2212" s="7">
        <v>3019</v>
      </c>
      <c r="E2212" t="s">
        <v>10</v>
      </c>
      <c r="F2212" s="9">
        <v>19.2</v>
      </c>
    </row>
    <row r="2213" spans="1:6">
      <c r="A2213" t="s">
        <v>6</v>
      </c>
      <c r="B2213" t="s">
        <v>825</v>
      </c>
      <c r="C2213" s="1" t="s">
        <v>834</v>
      </c>
      <c r="D2213" s="7">
        <v>3119</v>
      </c>
      <c r="E2213" t="s">
        <v>10</v>
      </c>
      <c r="F2213" s="9">
        <v>18.2</v>
      </c>
    </row>
    <row r="2214" spans="1:6">
      <c r="A2214" t="s">
        <v>6</v>
      </c>
      <c r="B2214" t="s">
        <v>825</v>
      </c>
      <c r="C2214" s="1" t="s">
        <v>835</v>
      </c>
      <c r="D2214" s="7">
        <v>3219</v>
      </c>
      <c r="E2214" t="s">
        <v>10</v>
      </c>
      <c r="F2214" s="9">
        <v>18.7</v>
      </c>
    </row>
    <row r="2215" spans="1:6">
      <c r="A2215" t="s">
        <v>6</v>
      </c>
      <c r="B2215" t="s">
        <v>825</v>
      </c>
      <c r="C2215" s="1" t="s">
        <v>836</v>
      </c>
      <c r="D2215" s="7">
        <v>3223</v>
      </c>
      <c r="E2215" t="s">
        <v>10</v>
      </c>
      <c r="F2215" s="9">
        <v>19.100000000000001</v>
      </c>
    </row>
    <row r="2216" spans="1:6">
      <c r="A2216" t="s">
        <v>6</v>
      </c>
      <c r="B2216" t="s">
        <v>825</v>
      </c>
      <c r="C2216" s="1" t="s">
        <v>837</v>
      </c>
      <c r="D2216" s="7">
        <v>3227</v>
      </c>
      <c r="E2216" t="s">
        <v>10</v>
      </c>
      <c r="F2216" s="9">
        <v>17.7</v>
      </c>
    </row>
    <row r="2217" spans="1:6">
      <c r="A2217" t="s">
        <v>6</v>
      </c>
      <c r="B2217" t="s">
        <v>825</v>
      </c>
      <c r="C2217" s="1" t="s">
        <v>838</v>
      </c>
      <c r="D2217" s="7">
        <v>4563</v>
      </c>
      <c r="E2217" t="s">
        <v>10</v>
      </c>
      <c r="F2217" s="9">
        <v>12.9</v>
      </c>
    </row>
    <row r="2218" spans="1:6">
      <c r="A2218" t="s">
        <v>6</v>
      </c>
      <c r="B2218" t="s">
        <v>825</v>
      </c>
      <c r="C2218" s="1" t="s">
        <v>839</v>
      </c>
      <c r="D2218" s="7">
        <v>3367</v>
      </c>
      <c r="E2218" t="s">
        <v>10</v>
      </c>
      <c r="F2218" s="9">
        <v>17</v>
      </c>
    </row>
    <row r="2219" spans="1:6">
      <c r="A2219" t="s">
        <v>6</v>
      </c>
      <c r="B2219" t="s">
        <v>825</v>
      </c>
      <c r="C2219" s="1" t="s">
        <v>840</v>
      </c>
      <c r="D2219" s="7">
        <v>3371</v>
      </c>
      <c r="E2219" t="s">
        <v>10</v>
      </c>
      <c r="F2219" s="9">
        <v>18.3</v>
      </c>
    </row>
    <row r="2220" spans="1:6">
      <c r="A2220" t="s">
        <v>6</v>
      </c>
      <c r="B2220" t="s">
        <v>825</v>
      </c>
      <c r="C2220" s="1" t="s">
        <v>841</v>
      </c>
      <c r="D2220" s="7">
        <v>3551</v>
      </c>
      <c r="E2220" t="s">
        <v>10</v>
      </c>
      <c r="F2220" s="9">
        <v>17.8</v>
      </c>
    </row>
    <row r="2221" spans="1:6">
      <c r="A2221" t="s">
        <v>6</v>
      </c>
      <c r="B2221" t="s">
        <v>825</v>
      </c>
      <c r="C2221" s="3" t="s">
        <v>826</v>
      </c>
      <c r="D2221" s="7">
        <v>132</v>
      </c>
      <c r="E2221" s="2" t="s">
        <v>11</v>
      </c>
      <c r="F2221" s="10">
        <v>16.8</v>
      </c>
    </row>
    <row r="2222" spans="1:6">
      <c r="A2222" t="s">
        <v>6</v>
      </c>
      <c r="B2222" t="s">
        <v>825</v>
      </c>
      <c r="C2222" s="3" t="s">
        <v>827</v>
      </c>
      <c r="D2222" s="7">
        <v>136</v>
      </c>
      <c r="E2222" s="2" t="s">
        <v>11</v>
      </c>
      <c r="F2222" s="10">
        <v>17.2</v>
      </c>
    </row>
    <row r="2223" spans="1:6">
      <c r="A2223" t="s">
        <v>6</v>
      </c>
      <c r="B2223" t="s">
        <v>825</v>
      </c>
      <c r="C2223" s="3" t="s">
        <v>828</v>
      </c>
      <c r="D2223" s="7">
        <v>140</v>
      </c>
      <c r="E2223" s="2" t="s">
        <v>11</v>
      </c>
      <c r="F2223" s="10">
        <v>16.3</v>
      </c>
    </row>
    <row r="2224" spans="1:6">
      <c r="A2224" t="s">
        <v>6</v>
      </c>
      <c r="B2224" s="6" t="s">
        <v>825</v>
      </c>
      <c r="C2224" s="3" t="s">
        <v>829</v>
      </c>
      <c r="D2224" s="7">
        <v>336</v>
      </c>
      <c r="E2224" s="2" t="s">
        <v>11</v>
      </c>
      <c r="F2224" s="10">
        <v>17.2</v>
      </c>
    </row>
    <row r="2225" spans="1:6">
      <c r="A2225" t="s">
        <v>6</v>
      </c>
      <c r="B2225" s="6" t="s">
        <v>825</v>
      </c>
      <c r="C2225" s="3" t="s">
        <v>830</v>
      </c>
      <c r="D2225" s="7">
        <v>248</v>
      </c>
      <c r="E2225" s="2" t="s">
        <v>11</v>
      </c>
      <c r="F2225" s="10">
        <v>16.8</v>
      </c>
    </row>
    <row r="2226" spans="1:6">
      <c r="A2226" t="s">
        <v>6</v>
      </c>
      <c r="B2226" t="s">
        <v>825</v>
      </c>
      <c r="C2226" s="1" t="s">
        <v>831</v>
      </c>
      <c r="D2226" s="7">
        <v>5534</v>
      </c>
      <c r="E2226" t="s">
        <v>11</v>
      </c>
      <c r="F2226" s="9">
        <v>16.87</v>
      </c>
    </row>
    <row r="2227" spans="1:6">
      <c r="A2227" t="s">
        <v>6</v>
      </c>
      <c r="B2227" t="s">
        <v>825</v>
      </c>
      <c r="C2227" s="1" t="s">
        <v>832</v>
      </c>
      <c r="D2227" s="7">
        <v>2973</v>
      </c>
      <c r="E2227" t="s">
        <v>11</v>
      </c>
      <c r="F2227" s="9">
        <v>16.899999999999999</v>
      </c>
    </row>
    <row r="2228" spans="1:6">
      <c r="A2228" t="s">
        <v>6</v>
      </c>
      <c r="B2228" t="s">
        <v>825</v>
      </c>
      <c r="C2228" s="1" t="s">
        <v>833</v>
      </c>
      <c r="D2228" s="7">
        <v>3017</v>
      </c>
      <c r="E2228" t="s">
        <v>11</v>
      </c>
      <c r="F2228" s="9">
        <v>16.5</v>
      </c>
    </row>
    <row r="2229" spans="1:6">
      <c r="A2229" t="s">
        <v>6</v>
      </c>
      <c r="B2229" t="s">
        <v>825</v>
      </c>
      <c r="C2229" s="1" t="s">
        <v>834</v>
      </c>
      <c r="D2229" s="7">
        <v>3117</v>
      </c>
      <c r="E2229" t="s">
        <v>11</v>
      </c>
      <c r="F2229" s="9">
        <v>16.8</v>
      </c>
    </row>
    <row r="2230" spans="1:6">
      <c r="A2230" t="s">
        <v>6</v>
      </c>
      <c r="B2230" t="s">
        <v>825</v>
      </c>
      <c r="C2230" s="1" t="s">
        <v>835</v>
      </c>
      <c r="D2230" s="7">
        <v>3217</v>
      </c>
      <c r="E2230" t="s">
        <v>11</v>
      </c>
      <c r="F2230" s="9">
        <v>17</v>
      </c>
    </row>
    <row r="2231" spans="1:6">
      <c r="A2231" t="s">
        <v>6</v>
      </c>
      <c r="B2231" t="s">
        <v>825</v>
      </c>
      <c r="C2231" s="1" t="s">
        <v>836</v>
      </c>
      <c r="D2231" s="7">
        <v>3221</v>
      </c>
      <c r="E2231" t="s">
        <v>11</v>
      </c>
      <c r="F2231" s="9">
        <v>16.100000000000001</v>
      </c>
    </row>
    <row r="2232" spans="1:6">
      <c r="A2232" t="s">
        <v>6</v>
      </c>
      <c r="B2232" t="s">
        <v>825</v>
      </c>
      <c r="C2232" s="1" t="s">
        <v>837</v>
      </c>
      <c r="D2232" s="7">
        <v>3225</v>
      </c>
      <c r="E2232" t="s">
        <v>11</v>
      </c>
      <c r="F2232" s="9">
        <v>17.3</v>
      </c>
    </row>
    <row r="2233" spans="1:6">
      <c r="A2233" t="s">
        <v>6</v>
      </c>
      <c r="B2233" t="s">
        <v>825</v>
      </c>
      <c r="C2233" s="1" t="s">
        <v>838</v>
      </c>
      <c r="D2233" s="7">
        <v>4561</v>
      </c>
      <c r="E2233" t="s">
        <v>11</v>
      </c>
      <c r="F2233" s="9">
        <v>16.7</v>
      </c>
    </row>
    <row r="2234" spans="1:6">
      <c r="A2234" t="s">
        <v>6</v>
      </c>
      <c r="B2234" t="s">
        <v>825</v>
      </c>
      <c r="C2234" s="1" t="s">
        <v>839</v>
      </c>
      <c r="D2234" s="7">
        <v>3365</v>
      </c>
      <c r="E2234" t="s">
        <v>11</v>
      </c>
      <c r="F2234" s="9">
        <v>16</v>
      </c>
    </row>
    <row r="2235" spans="1:6">
      <c r="A2235" t="s">
        <v>6</v>
      </c>
      <c r="B2235" t="s">
        <v>825</v>
      </c>
      <c r="C2235" s="1" t="s">
        <v>840</v>
      </c>
      <c r="D2235" s="7">
        <v>3369</v>
      </c>
      <c r="E2235" t="s">
        <v>11</v>
      </c>
      <c r="F2235" s="9">
        <v>15.7</v>
      </c>
    </row>
    <row r="2236" spans="1:6">
      <c r="A2236" t="s">
        <v>6</v>
      </c>
      <c r="B2236" t="s">
        <v>825</v>
      </c>
      <c r="C2236" s="1" t="s">
        <v>841</v>
      </c>
      <c r="D2236" s="7">
        <v>3549</v>
      </c>
      <c r="E2236" t="s">
        <v>11</v>
      </c>
      <c r="F2236" s="9">
        <v>16.100000000000001</v>
      </c>
    </row>
    <row r="2237" spans="1:6">
      <c r="A2237" t="s">
        <v>6</v>
      </c>
      <c r="B2237" t="s">
        <v>825</v>
      </c>
      <c r="C2237" s="1" t="s">
        <v>831</v>
      </c>
      <c r="D2237" s="7">
        <v>5535</v>
      </c>
      <c r="E2237" t="s">
        <v>12</v>
      </c>
      <c r="F2237" s="9">
        <v>5.25</v>
      </c>
    </row>
    <row r="2238" spans="1:6">
      <c r="A2238" t="s">
        <v>6</v>
      </c>
      <c r="B2238" t="s">
        <v>825</v>
      </c>
      <c r="C2238" s="1" t="s">
        <v>842</v>
      </c>
      <c r="D2238" s="7">
        <v>5684</v>
      </c>
      <c r="E2238" t="s">
        <v>12</v>
      </c>
      <c r="F2238" s="9">
        <v>5.52</v>
      </c>
    </row>
    <row r="2239" spans="1:6">
      <c r="A2239" t="s">
        <v>6</v>
      </c>
      <c r="B2239" t="s">
        <v>825</v>
      </c>
      <c r="C2239" s="1" t="s">
        <v>843</v>
      </c>
      <c r="D2239" s="7">
        <v>5688</v>
      </c>
      <c r="E2239" t="s">
        <v>12</v>
      </c>
      <c r="F2239" s="9">
        <v>5.31</v>
      </c>
    </row>
    <row r="2240" spans="1:6">
      <c r="A2240" t="s">
        <v>6</v>
      </c>
      <c r="B2240" t="s">
        <v>825</v>
      </c>
      <c r="C2240" s="1" t="s">
        <v>844</v>
      </c>
      <c r="D2240" s="7">
        <v>5748</v>
      </c>
      <c r="E2240" t="s">
        <v>12</v>
      </c>
      <c r="F2240" s="9">
        <v>5.5</v>
      </c>
    </row>
    <row r="2241" spans="1:6">
      <c r="A2241" t="s">
        <v>6</v>
      </c>
      <c r="B2241" t="s">
        <v>825</v>
      </c>
      <c r="C2241" s="1" t="s">
        <v>845</v>
      </c>
      <c r="D2241" s="7">
        <v>5752</v>
      </c>
      <c r="E2241" t="s">
        <v>12</v>
      </c>
      <c r="F2241" s="9">
        <v>5.23</v>
      </c>
    </row>
    <row r="2242" spans="1:6">
      <c r="A2242" t="s">
        <v>6</v>
      </c>
      <c r="B2242" t="s">
        <v>825</v>
      </c>
      <c r="C2242" s="1" t="s">
        <v>846</v>
      </c>
      <c r="D2242" s="7">
        <v>5756</v>
      </c>
      <c r="E2242" t="s">
        <v>12</v>
      </c>
      <c r="F2242" s="9">
        <v>5.04</v>
      </c>
    </row>
    <row r="2243" spans="1:6">
      <c r="A2243" t="s">
        <v>6</v>
      </c>
      <c r="B2243" t="s">
        <v>825</v>
      </c>
      <c r="C2243" s="1" t="s">
        <v>847</v>
      </c>
      <c r="D2243" s="7">
        <v>5760</v>
      </c>
      <c r="E2243" t="s">
        <v>12</v>
      </c>
      <c r="F2243" s="9">
        <v>5.08</v>
      </c>
    </row>
    <row r="2244" spans="1:6">
      <c r="A2244" t="s">
        <v>6</v>
      </c>
      <c r="B2244" t="s">
        <v>825</v>
      </c>
      <c r="C2244" s="1" t="s">
        <v>848</v>
      </c>
      <c r="D2244" s="7">
        <v>5764</v>
      </c>
      <c r="E2244" t="s">
        <v>12</v>
      </c>
      <c r="F2244" s="9">
        <v>5.36</v>
      </c>
    </row>
    <row r="2245" spans="1:6">
      <c r="A2245" t="s">
        <v>6</v>
      </c>
      <c r="B2245" t="s">
        <v>825</v>
      </c>
      <c r="C2245" s="1" t="s">
        <v>849</v>
      </c>
      <c r="D2245" s="7">
        <v>5768</v>
      </c>
      <c r="E2245" t="s">
        <v>12</v>
      </c>
      <c r="F2245" s="9">
        <v>5.51</v>
      </c>
    </row>
    <row r="2246" spans="1:6">
      <c r="A2246" t="s">
        <v>6</v>
      </c>
      <c r="B2246" t="s">
        <v>825</v>
      </c>
      <c r="C2246" s="1" t="s">
        <v>850</v>
      </c>
      <c r="D2246" s="7">
        <v>5772</v>
      </c>
      <c r="E2246" t="s">
        <v>12</v>
      </c>
      <c r="F2246" s="9">
        <v>5.57</v>
      </c>
    </row>
    <row r="2247" spans="1:6">
      <c r="A2247" t="s">
        <v>6</v>
      </c>
      <c r="B2247" t="s">
        <v>851</v>
      </c>
      <c r="C2247" s="1" t="s">
        <v>852</v>
      </c>
      <c r="D2247" s="7">
        <v>3542</v>
      </c>
      <c r="E2247" t="s">
        <v>9</v>
      </c>
      <c r="F2247" s="9">
        <v>6</v>
      </c>
    </row>
    <row r="2248" spans="1:6">
      <c r="A2248" t="s">
        <v>6</v>
      </c>
      <c r="B2248" t="s">
        <v>851</v>
      </c>
      <c r="C2248" s="1" t="s">
        <v>853</v>
      </c>
      <c r="D2248" s="7">
        <v>4566</v>
      </c>
      <c r="E2248" t="s">
        <v>9</v>
      </c>
      <c r="F2248" s="9">
        <v>5.5</v>
      </c>
    </row>
    <row r="2249" spans="1:6">
      <c r="A2249" t="s">
        <v>6</v>
      </c>
      <c r="B2249" t="s">
        <v>851</v>
      </c>
      <c r="C2249" s="1" t="s">
        <v>854</v>
      </c>
      <c r="D2249" s="7">
        <v>4570</v>
      </c>
      <c r="E2249" t="s">
        <v>9</v>
      </c>
      <c r="F2249" s="9">
        <v>6</v>
      </c>
    </row>
    <row r="2250" spans="1:6">
      <c r="A2250" t="s">
        <v>6</v>
      </c>
      <c r="B2250" t="s">
        <v>851</v>
      </c>
      <c r="C2250" s="1" t="s">
        <v>852</v>
      </c>
      <c r="D2250" s="7">
        <v>3543</v>
      </c>
      <c r="E2250" t="s">
        <v>10</v>
      </c>
      <c r="F2250" s="9">
        <v>23.1</v>
      </c>
    </row>
    <row r="2251" spans="1:6">
      <c r="A2251" t="s">
        <v>6</v>
      </c>
      <c r="B2251" t="s">
        <v>851</v>
      </c>
      <c r="C2251" s="1" t="s">
        <v>853</v>
      </c>
      <c r="D2251" s="7">
        <v>4567</v>
      </c>
      <c r="E2251" t="s">
        <v>10</v>
      </c>
      <c r="F2251" s="9">
        <v>12.5</v>
      </c>
    </row>
    <row r="2252" spans="1:6">
      <c r="A2252" t="s">
        <v>6</v>
      </c>
      <c r="B2252" t="s">
        <v>851</v>
      </c>
      <c r="C2252" s="1" t="s">
        <v>854</v>
      </c>
      <c r="D2252" s="7">
        <v>4571</v>
      </c>
      <c r="E2252" t="s">
        <v>10</v>
      </c>
      <c r="F2252" s="9">
        <v>13.4</v>
      </c>
    </row>
    <row r="2253" spans="1:6">
      <c r="A2253" t="s">
        <v>6</v>
      </c>
      <c r="B2253" t="s">
        <v>851</v>
      </c>
      <c r="C2253" s="1" t="s">
        <v>852</v>
      </c>
      <c r="D2253" s="7">
        <v>3541</v>
      </c>
      <c r="E2253" t="s">
        <v>11</v>
      </c>
      <c r="F2253" s="9">
        <v>21.1</v>
      </c>
    </row>
    <row r="2254" spans="1:6">
      <c r="A2254" t="s">
        <v>6</v>
      </c>
      <c r="B2254" t="s">
        <v>851</v>
      </c>
      <c r="C2254" s="1" t="s">
        <v>853</v>
      </c>
      <c r="D2254" s="7">
        <v>4565</v>
      </c>
      <c r="E2254" t="s">
        <v>11</v>
      </c>
      <c r="F2254" s="9">
        <v>18.8</v>
      </c>
    </row>
    <row r="2255" spans="1:6">
      <c r="A2255" t="s">
        <v>6</v>
      </c>
      <c r="B2255" t="s">
        <v>851</v>
      </c>
      <c r="C2255" s="1" t="s">
        <v>854</v>
      </c>
      <c r="D2255" s="7">
        <v>4569</v>
      </c>
      <c r="E2255" t="s">
        <v>11</v>
      </c>
      <c r="F2255" s="9">
        <v>19</v>
      </c>
    </row>
    <row r="2256" spans="1:6">
      <c r="A2256" t="s">
        <v>6</v>
      </c>
      <c r="B2256" t="s">
        <v>855</v>
      </c>
      <c r="C2256" s="1" t="s">
        <v>856</v>
      </c>
      <c r="D2256" s="7">
        <v>3546</v>
      </c>
      <c r="E2256" t="s">
        <v>9</v>
      </c>
      <c r="F2256" s="9">
        <v>5.9</v>
      </c>
    </row>
    <row r="2257" spans="1:6">
      <c r="A2257" t="s">
        <v>6</v>
      </c>
      <c r="B2257" t="s">
        <v>855</v>
      </c>
      <c r="C2257" s="1" t="s">
        <v>857</v>
      </c>
      <c r="D2257" s="7">
        <v>3730</v>
      </c>
      <c r="E2257" t="s">
        <v>9</v>
      </c>
      <c r="F2257" s="9">
        <v>5.9</v>
      </c>
    </row>
    <row r="2258" spans="1:6">
      <c r="A2258" t="s">
        <v>6</v>
      </c>
      <c r="B2258" t="s">
        <v>855</v>
      </c>
      <c r="C2258" s="1" t="s">
        <v>856</v>
      </c>
      <c r="D2258" s="7">
        <v>3547</v>
      </c>
      <c r="E2258" t="s">
        <v>10</v>
      </c>
      <c r="F2258" s="9">
        <v>32.299999999999997</v>
      </c>
    </row>
    <row r="2259" spans="1:6">
      <c r="A2259" t="s">
        <v>6</v>
      </c>
      <c r="B2259" t="s">
        <v>855</v>
      </c>
      <c r="C2259" s="1" t="s">
        <v>857</v>
      </c>
      <c r="D2259" s="7">
        <v>3731</v>
      </c>
      <c r="E2259" t="s">
        <v>10</v>
      </c>
      <c r="F2259" s="9">
        <v>31.9</v>
      </c>
    </row>
    <row r="2260" spans="1:6">
      <c r="A2260" t="s">
        <v>6</v>
      </c>
      <c r="B2260" t="s">
        <v>855</v>
      </c>
      <c r="C2260" s="1" t="s">
        <v>856</v>
      </c>
      <c r="D2260" s="7">
        <v>3545</v>
      </c>
      <c r="E2260" t="s">
        <v>11</v>
      </c>
      <c r="F2260" s="9">
        <v>19.899999999999999</v>
      </c>
    </row>
    <row r="2261" spans="1:6">
      <c r="A2261" t="s">
        <v>6</v>
      </c>
      <c r="B2261" t="s">
        <v>855</v>
      </c>
      <c r="C2261" s="1" t="s">
        <v>857</v>
      </c>
      <c r="D2261" s="7">
        <v>3729</v>
      </c>
      <c r="E2261" t="s">
        <v>11</v>
      </c>
      <c r="F2261" s="9">
        <v>20.8</v>
      </c>
    </row>
    <row r="2262" spans="1:6">
      <c r="A2262" t="s">
        <v>6</v>
      </c>
      <c r="B2262" t="s">
        <v>858</v>
      </c>
      <c r="C2262" s="3" t="s">
        <v>859</v>
      </c>
      <c r="D2262" s="7">
        <v>125</v>
      </c>
      <c r="E2262" s="2" t="s">
        <v>9</v>
      </c>
      <c r="F2262" s="10">
        <v>7.2</v>
      </c>
    </row>
    <row r="2263" spans="1:6">
      <c r="A2263" t="s">
        <v>6</v>
      </c>
      <c r="B2263" t="s">
        <v>858</v>
      </c>
      <c r="C2263" s="3" t="s">
        <v>860</v>
      </c>
      <c r="D2263" s="7">
        <v>121</v>
      </c>
      <c r="E2263" s="2" t="s">
        <v>9</v>
      </c>
      <c r="F2263" s="10">
        <v>6.7</v>
      </c>
    </row>
    <row r="2264" spans="1:6">
      <c r="A2264" t="s">
        <v>6</v>
      </c>
      <c r="B2264" t="s">
        <v>858</v>
      </c>
      <c r="C2264" s="3" t="s">
        <v>861</v>
      </c>
      <c r="D2264" s="7">
        <v>129</v>
      </c>
      <c r="E2264" s="2" t="s">
        <v>9</v>
      </c>
      <c r="F2264" s="10">
        <v>7</v>
      </c>
    </row>
    <row r="2265" spans="1:6">
      <c r="A2265" t="s">
        <v>6</v>
      </c>
      <c r="B2265" s="6" t="s">
        <v>858</v>
      </c>
      <c r="C2265" s="3" t="s">
        <v>862</v>
      </c>
      <c r="D2265" s="7">
        <v>445</v>
      </c>
      <c r="E2265" s="2" t="s">
        <v>9</v>
      </c>
      <c r="F2265" s="10">
        <v>6.5</v>
      </c>
    </row>
    <row r="2266" spans="1:6">
      <c r="A2266" t="s">
        <v>6</v>
      </c>
      <c r="B2266" s="6" t="s">
        <v>858</v>
      </c>
      <c r="C2266" s="3" t="s">
        <v>863</v>
      </c>
      <c r="D2266" s="7">
        <v>449</v>
      </c>
      <c r="E2266" s="2" t="s">
        <v>9</v>
      </c>
      <c r="F2266" s="10">
        <v>6.2</v>
      </c>
    </row>
    <row r="2267" spans="1:6">
      <c r="A2267" t="s">
        <v>6</v>
      </c>
      <c r="B2267" s="6" t="s">
        <v>858</v>
      </c>
      <c r="C2267" s="3" t="s">
        <v>864</v>
      </c>
      <c r="D2267" s="7">
        <v>453</v>
      </c>
      <c r="E2267" s="2" t="s">
        <v>9</v>
      </c>
      <c r="F2267" s="10">
        <v>6.4</v>
      </c>
    </row>
    <row r="2268" spans="1:6">
      <c r="A2268" t="s">
        <v>6</v>
      </c>
      <c r="B2268" s="6" t="s">
        <v>858</v>
      </c>
      <c r="C2268" s="3" t="s">
        <v>865</v>
      </c>
      <c r="D2268" s="7">
        <v>425</v>
      </c>
      <c r="E2268" s="2" t="s">
        <v>9</v>
      </c>
      <c r="F2268" s="10">
        <v>5.9</v>
      </c>
    </row>
    <row r="2269" spans="1:6">
      <c r="A2269" t="s">
        <v>6</v>
      </c>
      <c r="B2269" s="6" t="s">
        <v>858</v>
      </c>
      <c r="C2269" s="3" t="s">
        <v>866</v>
      </c>
      <c r="D2269" s="7">
        <v>429</v>
      </c>
      <c r="E2269" s="2" t="s">
        <v>9</v>
      </c>
      <c r="F2269" s="10">
        <v>6</v>
      </c>
    </row>
    <row r="2270" spans="1:6">
      <c r="A2270" t="s">
        <v>6</v>
      </c>
      <c r="B2270" s="6" t="s">
        <v>858</v>
      </c>
      <c r="C2270" s="3" t="s">
        <v>867</v>
      </c>
      <c r="D2270" s="7">
        <v>433</v>
      </c>
      <c r="E2270" s="2" t="s">
        <v>9</v>
      </c>
      <c r="F2270" s="10">
        <v>5.9</v>
      </c>
    </row>
    <row r="2271" spans="1:6">
      <c r="A2271" t="s">
        <v>6</v>
      </c>
      <c r="B2271" s="6" t="s">
        <v>858</v>
      </c>
      <c r="C2271" s="3" t="s">
        <v>868</v>
      </c>
      <c r="D2271" s="7">
        <v>437</v>
      </c>
      <c r="E2271" s="2" t="s">
        <v>9</v>
      </c>
      <c r="F2271" s="10">
        <v>5.9</v>
      </c>
    </row>
    <row r="2272" spans="1:6">
      <c r="A2272" t="s">
        <v>6</v>
      </c>
      <c r="B2272" s="6" t="s">
        <v>858</v>
      </c>
      <c r="C2272" s="3" t="s">
        <v>869</v>
      </c>
      <c r="D2272" s="7">
        <v>441</v>
      </c>
      <c r="E2272" s="2" t="s">
        <v>9</v>
      </c>
      <c r="F2272" s="10">
        <v>5.5</v>
      </c>
    </row>
    <row r="2273" spans="1:6">
      <c r="A2273" t="s">
        <v>6</v>
      </c>
      <c r="B2273" t="s">
        <v>858</v>
      </c>
      <c r="C2273" s="1" t="s">
        <v>870</v>
      </c>
      <c r="D2273" s="7">
        <v>2858</v>
      </c>
      <c r="E2273" t="s">
        <v>9</v>
      </c>
      <c r="F2273" s="9">
        <v>6.4</v>
      </c>
    </row>
    <row r="2274" spans="1:6">
      <c r="A2274" t="s">
        <v>6</v>
      </c>
      <c r="B2274" t="s">
        <v>858</v>
      </c>
      <c r="C2274" s="1" t="s">
        <v>871</v>
      </c>
      <c r="D2274" s="7">
        <v>2862</v>
      </c>
      <c r="E2274" t="s">
        <v>9</v>
      </c>
      <c r="F2274" s="9">
        <v>6</v>
      </c>
    </row>
    <row r="2275" spans="1:6">
      <c r="A2275" t="s">
        <v>6</v>
      </c>
      <c r="B2275" t="s">
        <v>858</v>
      </c>
      <c r="C2275" s="1" t="s">
        <v>872</v>
      </c>
      <c r="D2275" s="7">
        <v>2866</v>
      </c>
      <c r="E2275" t="s">
        <v>9</v>
      </c>
      <c r="F2275" s="9">
        <v>6.2</v>
      </c>
    </row>
    <row r="2276" spans="1:6">
      <c r="A2276" t="s">
        <v>6</v>
      </c>
      <c r="B2276" t="s">
        <v>858</v>
      </c>
      <c r="C2276" s="1" t="s">
        <v>873</v>
      </c>
      <c r="D2276" s="7">
        <v>2870</v>
      </c>
      <c r="E2276" t="s">
        <v>9</v>
      </c>
      <c r="F2276" s="9">
        <v>5.8</v>
      </c>
    </row>
    <row r="2277" spans="1:6">
      <c r="A2277" t="s">
        <v>6</v>
      </c>
      <c r="B2277" t="s">
        <v>858</v>
      </c>
      <c r="C2277" s="1" t="s">
        <v>874</v>
      </c>
      <c r="D2277" s="7">
        <v>2874</v>
      </c>
      <c r="E2277" t="s">
        <v>9</v>
      </c>
      <c r="F2277" s="9">
        <v>6.1</v>
      </c>
    </row>
    <row r="2278" spans="1:6">
      <c r="A2278" t="s">
        <v>6</v>
      </c>
      <c r="B2278" t="s">
        <v>858</v>
      </c>
      <c r="C2278" s="1" t="s">
        <v>875</v>
      </c>
      <c r="D2278" s="7">
        <v>2878</v>
      </c>
      <c r="E2278" t="s">
        <v>9</v>
      </c>
      <c r="F2278" s="9">
        <v>6.7</v>
      </c>
    </row>
    <row r="2279" spans="1:6">
      <c r="A2279" t="s">
        <v>6</v>
      </c>
      <c r="B2279" t="s">
        <v>858</v>
      </c>
      <c r="C2279" s="1" t="s">
        <v>876</v>
      </c>
      <c r="D2279" s="7">
        <v>2882</v>
      </c>
      <c r="E2279" t="s">
        <v>9</v>
      </c>
      <c r="F2279" s="9">
        <v>5.7</v>
      </c>
    </row>
    <row r="2280" spans="1:6">
      <c r="A2280" t="s">
        <v>6</v>
      </c>
      <c r="B2280" t="s">
        <v>858</v>
      </c>
      <c r="C2280" s="1" t="s">
        <v>877</v>
      </c>
      <c r="D2280" s="7">
        <v>2886</v>
      </c>
      <c r="E2280" t="s">
        <v>9</v>
      </c>
      <c r="F2280" s="9">
        <v>6.5</v>
      </c>
    </row>
    <row r="2281" spans="1:6">
      <c r="A2281" t="s">
        <v>6</v>
      </c>
      <c r="B2281" t="s">
        <v>858</v>
      </c>
      <c r="C2281" s="1" t="s">
        <v>878</v>
      </c>
      <c r="D2281" s="7">
        <v>2890</v>
      </c>
      <c r="E2281" t="s">
        <v>9</v>
      </c>
      <c r="F2281" s="9">
        <v>5.9</v>
      </c>
    </row>
    <row r="2282" spans="1:6">
      <c r="A2282" t="s">
        <v>6</v>
      </c>
      <c r="B2282" t="s">
        <v>858</v>
      </c>
      <c r="C2282" s="1" t="s">
        <v>879</v>
      </c>
      <c r="D2282" s="7">
        <v>2894</v>
      </c>
      <c r="E2282" t="s">
        <v>9</v>
      </c>
      <c r="F2282" s="9">
        <v>5.8</v>
      </c>
    </row>
    <row r="2283" spans="1:6">
      <c r="A2283" t="s">
        <v>6</v>
      </c>
      <c r="B2283" t="s">
        <v>858</v>
      </c>
      <c r="C2283" s="1" t="s">
        <v>880</v>
      </c>
      <c r="D2283" s="7">
        <v>2898</v>
      </c>
      <c r="E2283" t="s">
        <v>9</v>
      </c>
      <c r="F2283" s="9">
        <v>6.5</v>
      </c>
    </row>
    <row r="2284" spans="1:6">
      <c r="A2284" t="s">
        <v>6</v>
      </c>
      <c r="B2284" t="s">
        <v>858</v>
      </c>
      <c r="C2284" s="1" t="s">
        <v>881</v>
      </c>
      <c r="D2284" s="7">
        <v>2902</v>
      </c>
      <c r="E2284" t="s">
        <v>9</v>
      </c>
      <c r="F2284" s="9">
        <v>6.3</v>
      </c>
    </row>
    <row r="2285" spans="1:6">
      <c r="A2285" t="s">
        <v>6</v>
      </c>
      <c r="B2285" t="s">
        <v>858</v>
      </c>
      <c r="C2285" s="1" t="s">
        <v>882</v>
      </c>
      <c r="D2285" s="7">
        <v>3046</v>
      </c>
      <c r="E2285" t="s">
        <v>9</v>
      </c>
      <c r="F2285" s="9">
        <v>7.2</v>
      </c>
    </row>
    <row r="2286" spans="1:6">
      <c r="A2286" t="s">
        <v>6</v>
      </c>
      <c r="B2286" t="s">
        <v>858</v>
      </c>
      <c r="C2286" s="1" t="s">
        <v>883</v>
      </c>
      <c r="D2286" s="7">
        <v>3170</v>
      </c>
      <c r="E2286" t="s">
        <v>9</v>
      </c>
      <c r="F2286" s="9">
        <v>5.9</v>
      </c>
    </row>
    <row r="2287" spans="1:6">
      <c r="A2287" t="s">
        <v>6</v>
      </c>
      <c r="B2287" t="s">
        <v>858</v>
      </c>
      <c r="C2287" s="1" t="s">
        <v>884</v>
      </c>
      <c r="D2287" s="7">
        <v>3214</v>
      </c>
      <c r="E2287" t="s">
        <v>9</v>
      </c>
      <c r="F2287" s="9">
        <v>5.5</v>
      </c>
    </row>
    <row r="2288" spans="1:6">
      <c r="A2288" t="s">
        <v>6</v>
      </c>
      <c r="B2288" t="s">
        <v>858</v>
      </c>
      <c r="C2288" s="1" t="s">
        <v>885</v>
      </c>
      <c r="D2288" s="7">
        <v>3354</v>
      </c>
      <c r="E2288" t="s">
        <v>9</v>
      </c>
      <c r="F2288" s="9">
        <v>6.3</v>
      </c>
    </row>
    <row r="2289" spans="1:6">
      <c r="A2289" t="s">
        <v>6</v>
      </c>
      <c r="B2289" t="s">
        <v>858</v>
      </c>
      <c r="C2289" s="1" t="s">
        <v>886</v>
      </c>
      <c r="D2289" s="7">
        <v>3422</v>
      </c>
      <c r="E2289" t="s">
        <v>9</v>
      </c>
      <c r="F2289" s="9">
        <v>5.3</v>
      </c>
    </row>
    <row r="2290" spans="1:6">
      <c r="A2290" t="s">
        <v>6</v>
      </c>
      <c r="B2290" t="s">
        <v>858</v>
      </c>
      <c r="C2290" s="1" t="s">
        <v>887</v>
      </c>
      <c r="D2290" s="7">
        <v>3426</v>
      </c>
      <c r="E2290" t="s">
        <v>9</v>
      </c>
      <c r="F2290" s="9">
        <v>6.1</v>
      </c>
    </row>
    <row r="2291" spans="1:6">
      <c r="A2291" t="s">
        <v>6</v>
      </c>
      <c r="B2291" t="s">
        <v>858</v>
      </c>
      <c r="C2291" s="1" t="s">
        <v>888</v>
      </c>
      <c r="D2291" s="7">
        <v>3430</v>
      </c>
      <c r="E2291" t="s">
        <v>9</v>
      </c>
      <c r="F2291" s="9">
        <v>6</v>
      </c>
    </row>
    <row r="2292" spans="1:6">
      <c r="A2292" t="s">
        <v>6</v>
      </c>
      <c r="B2292" t="s">
        <v>858</v>
      </c>
      <c r="C2292" s="1" t="s">
        <v>889</v>
      </c>
      <c r="D2292" s="7">
        <v>3498</v>
      </c>
      <c r="E2292" t="s">
        <v>9</v>
      </c>
      <c r="F2292" s="9">
        <v>5.9</v>
      </c>
    </row>
    <row r="2293" spans="1:6">
      <c r="A2293" t="s">
        <v>6</v>
      </c>
      <c r="B2293" t="s">
        <v>858</v>
      </c>
      <c r="C2293" s="1" t="s">
        <v>890</v>
      </c>
      <c r="D2293" s="7">
        <v>3714</v>
      </c>
      <c r="E2293" t="s">
        <v>9</v>
      </c>
      <c r="F2293" s="9">
        <v>6</v>
      </c>
    </row>
    <row r="2294" spans="1:6">
      <c r="A2294" t="s">
        <v>6</v>
      </c>
      <c r="B2294" t="s">
        <v>858</v>
      </c>
      <c r="C2294" s="1" t="s">
        <v>891</v>
      </c>
      <c r="D2294" s="7">
        <v>3718</v>
      </c>
      <c r="E2294" t="s">
        <v>9</v>
      </c>
      <c r="F2294" s="9">
        <v>6</v>
      </c>
    </row>
    <row r="2295" spans="1:6">
      <c r="A2295" t="s">
        <v>6</v>
      </c>
      <c r="B2295" t="s">
        <v>858</v>
      </c>
      <c r="C2295" s="1" t="s">
        <v>892</v>
      </c>
      <c r="D2295" s="7">
        <v>3722</v>
      </c>
      <c r="E2295" t="s">
        <v>9</v>
      </c>
      <c r="F2295" s="9">
        <v>6.1</v>
      </c>
    </row>
    <row r="2296" spans="1:6">
      <c r="A2296" t="s">
        <v>6</v>
      </c>
      <c r="B2296" t="s">
        <v>858</v>
      </c>
      <c r="C2296" s="1" t="s">
        <v>893</v>
      </c>
      <c r="D2296" s="7">
        <v>3726</v>
      </c>
      <c r="E2296" t="s">
        <v>9</v>
      </c>
      <c r="F2296" s="9">
        <v>6.3</v>
      </c>
    </row>
    <row r="2297" spans="1:6">
      <c r="A2297" t="s">
        <v>6</v>
      </c>
      <c r="B2297" t="s">
        <v>858</v>
      </c>
      <c r="C2297" s="1" t="s">
        <v>894</v>
      </c>
      <c r="D2297" s="7">
        <v>3954</v>
      </c>
      <c r="E2297" t="s">
        <v>9</v>
      </c>
      <c r="F2297" s="9">
        <v>6.1</v>
      </c>
    </row>
    <row r="2298" spans="1:6">
      <c r="A2298" t="s">
        <v>6</v>
      </c>
      <c r="B2298" t="s">
        <v>858</v>
      </c>
      <c r="C2298" s="3" t="s">
        <v>859</v>
      </c>
      <c r="D2298" s="7">
        <v>123</v>
      </c>
      <c r="E2298" s="2" t="s">
        <v>10</v>
      </c>
      <c r="F2298" s="10">
        <v>24</v>
      </c>
    </row>
    <row r="2299" spans="1:6">
      <c r="A2299" t="s">
        <v>6</v>
      </c>
      <c r="B2299" t="s">
        <v>858</v>
      </c>
      <c r="C2299" s="3" t="s">
        <v>860</v>
      </c>
      <c r="D2299" s="7">
        <v>119</v>
      </c>
      <c r="E2299" s="2" t="s">
        <v>10</v>
      </c>
      <c r="F2299" s="10">
        <v>21</v>
      </c>
    </row>
    <row r="2300" spans="1:6">
      <c r="A2300" t="s">
        <v>6</v>
      </c>
      <c r="B2300" t="s">
        <v>858</v>
      </c>
      <c r="C2300" s="3" t="s">
        <v>861</v>
      </c>
      <c r="D2300" s="7">
        <v>127</v>
      </c>
      <c r="E2300" s="2" t="s">
        <v>10</v>
      </c>
      <c r="F2300" s="10">
        <v>21.2</v>
      </c>
    </row>
    <row r="2301" spans="1:6">
      <c r="A2301" t="s">
        <v>6</v>
      </c>
      <c r="B2301" s="6" t="s">
        <v>858</v>
      </c>
      <c r="C2301" s="3" t="s">
        <v>862</v>
      </c>
      <c r="D2301" s="7">
        <v>443</v>
      </c>
      <c r="E2301" s="2" t="s">
        <v>10</v>
      </c>
      <c r="F2301" s="10">
        <v>23.4</v>
      </c>
    </row>
    <row r="2302" spans="1:6">
      <c r="A2302" t="s">
        <v>6</v>
      </c>
      <c r="B2302" s="6" t="s">
        <v>858</v>
      </c>
      <c r="C2302" s="3" t="s">
        <v>863</v>
      </c>
      <c r="D2302" s="7">
        <v>447</v>
      </c>
      <c r="E2302" s="2" t="s">
        <v>10</v>
      </c>
      <c r="F2302" s="10">
        <v>23.9</v>
      </c>
    </row>
    <row r="2303" spans="1:6">
      <c r="A2303" t="s">
        <v>6</v>
      </c>
      <c r="B2303" s="6" t="s">
        <v>858</v>
      </c>
      <c r="C2303" s="3" t="s">
        <v>864</v>
      </c>
      <c r="D2303" s="7">
        <v>451</v>
      </c>
      <c r="E2303" s="2" t="s">
        <v>10</v>
      </c>
      <c r="F2303" s="10">
        <v>23.3</v>
      </c>
    </row>
    <row r="2304" spans="1:6">
      <c r="A2304" t="s">
        <v>6</v>
      </c>
      <c r="B2304" s="6" t="s">
        <v>858</v>
      </c>
      <c r="C2304" s="3" t="s">
        <v>865</v>
      </c>
      <c r="D2304" s="7">
        <v>423</v>
      </c>
      <c r="E2304" s="2" t="s">
        <v>10</v>
      </c>
      <c r="F2304" s="10">
        <v>25.3</v>
      </c>
    </row>
    <row r="2305" spans="1:6">
      <c r="A2305" t="s">
        <v>6</v>
      </c>
      <c r="B2305" s="6" t="s">
        <v>858</v>
      </c>
      <c r="C2305" s="3" t="s">
        <v>866</v>
      </c>
      <c r="D2305" s="7">
        <v>427</v>
      </c>
      <c r="E2305" s="2" t="s">
        <v>10</v>
      </c>
      <c r="F2305" s="10">
        <v>24.6</v>
      </c>
    </row>
    <row r="2306" spans="1:6">
      <c r="A2306" t="s">
        <v>6</v>
      </c>
      <c r="B2306" s="6" t="s">
        <v>858</v>
      </c>
      <c r="C2306" s="3" t="s">
        <v>867</v>
      </c>
      <c r="D2306" s="7">
        <v>431</v>
      </c>
      <c r="E2306" s="2" t="s">
        <v>10</v>
      </c>
      <c r="F2306" s="10">
        <v>24.3</v>
      </c>
    </row>
    <row r="2307" spans="1:6">
      <c r="A2307" t="s">
        <v>6</v>
      </c>
      <c r="B2307" s="6" t="s">
        <v>858</v>
      </c>
      <c r="C2307" s="3" t="s">
        <v>868</v>
      </c>
      <c r="D2307" s="7">
        <v>435</v>
      </c>
      <c r="E2307" s="2" t="s">
        <v>10</v>
      </c>
      <c r="F2307" s="10">
        <v>22.2</v>
      </c>
    </row>
    <row r="2308" spans="1:6">
      <c r="A2308" t="s">
        <v>6</v>
      </c>
      <c r="B2308" s="6" t="s">
        <v>858</v>
      </c>
      <c r="C2308" s="3" t="s">
        <v>869</v>
      </c>
      <c r="D2308" s="7">
        <v>439</v>
      </c>
      <c r="E2308" s="2" t="s">
        <v>10</v>
      </c>
      <c r="F2308" s="10">
        <v>21.5</v>
      </c>
    </row>
    <row r="2309" spans="1:6">
      <c r="A2309" t="s">
        <v>6</v>
      </c>
      <c r="B2309" t="s">
        <v>858</v>
      </c>
      <c r="C2309" s="1" t="s">
        <v>870</v>
      </c>
      <c r="D2309" s="7">
        <v>2859</v>
      </c>
      <c r="E2309" t="s">
        <v>10</v>
      </c>
      <c r="F2309" s="9">
        <v>27.6</v>
      </c>
    </row>
    <row r="2310" spans="1:6">
      <c r="A2310" t="s">
        <v>6</v>
      </c>
      <c r="B2310" t="s">
        <v>858</v>
      </c>
      <c r="C2310" s="1" t="s">
        <v>871</v>
      </c>
      <c r="D2310" s="7">
        <v>2863</v>
      </c>
      <c r="E2310" t="s">
        <v>10</v>
      </c>
      <c r="F2310" s="9">
        <v>22.2</v>
      </c>
    </row>
    <row r="2311" spans="1:6">
      <c r="A2311" t="s">
        <v>6</v>
      </c>
      <c r="B2311" t="s">
        <v>858</v>
      </c>
      <c r="C2311" s="1" t="s">
        <v>872</v>
      </c>
      <c r="D2311" s="7">
        <v>2867</v>
      </c>
      <c r="E2311" t="s">
        <v>10</v>
      </c>
      <c r="F2311" s="9">
        <v>21.8</v>
      </c>
    </row>
    <row r="2312" spans="1:6">
      <c r="A2312" t="s">
        <v>6</v>
      </c>
      <c r="B2312" t="s">
        <v>858</v>
      </c>
      <c r="C2312" s="1" t="s">
        <v>873</v>
      </c>
      <c r="D2312" s="7">
        <v>2871</v>
      </c>
      <c r="E2312" t="s">
        <v>10</v>
      </c>
      <c r="F2312" s="9">
        <v>21.5</v>
      </c>
    </row>
    <row r="2313" spans="1:6">
      <c r="A2313" t="s">
        <v>6</v>
      </c>
      <c r="B2313" t="s">
        <v>858</v>
      </c>
      <c r="C2313" s="1" t="s">
        <v>874</v>
      </c>
      <c r="D2313" s="7">
        <v>2875</v>
      </c>
      <c r="E2313" t="s">
        <v>10</v>
      </c>
      <c r="F2313" s="9">
        <v>22.3</v>
      </c>
    </row>
    <row r="2314" spans="1:6">
      <c r="A2314" t="s">
        <v>6</v>
      </c>
      <c r="B2314" t="s">
        <v>858</v>
      </c>
      <c r="C2314" s="1" t="s">
        <v>875</v>
      </c>
      <c r="D2314" s="7">
        <v>2879</v>
      </c>
      <c r="E2314" t="s">
        <v>10</v>
      </c>
      <c r="F2314" s="9">
        <v>22.1</v>
      </c>
    </row>
    <row r="2315" spans="1:6">
      <c r="A2315" t="s">
        <v>6</v>
      </c>
      <c r="B2315" t="s">
        <v>858</v>
      </c>
      <c r="C2315" s="1" t="s">
        <v>876</v>
      </c>
      <c r="D2315" s="7">
        <v>2883</v>
      </c>
      <c r="E2315" t="s">
        <v>10</v>
      </c>
      <c r="F2315" s="9">
        <v>21.7</v>
      </c>
    </row>
    <row r="2316" spans="1:6">
      <c r="A2316" t="s">
        <v>6</v>
      </c>
      <c r="B2316" t="s">
        <v>858</v>
      </c>
      <c r="C2316" s="1" t="s">
        <v>877</v>
      </c>
      <c r="D2316" s="7">
        <v>2887</v>
      </c>
      <c r="E2316" t="s">
        <v>10</v>
      </c>
      <c r="F2316" s="9">
        <v>22.5</v>
      </c>
    </row>
    <row r="2317" spans="1:6">
      <c r="A2317" t="s">
        <v>6</v>
      </c>
      <c r="B2317" t="s">
        <v>858</v>
      </c>
      <c r="C2317" s="1" t="s">
        <v>878</v>
      </c>
      <c r="D2317" s="7">
        <v>2891</v>
      </c>
      <c r="E2317" t="s">
        <v>10</v>
      </c>
      <c r="F2317" s="9">
        <v>22.3</v>
      </c>
    </row>
    <row r="2318" spans="1:6">
      <c r="A2318" t="s">
        <v>6</v>
      </c>
      <c r="B2318" t="s">
        <v>858</v>
      </c>
      <c r="C2318" s="1" t="s">
        <v>879</v>
      </c>
      <c r="D2318" s="7">
        <v>2895</v>
      </c>
      <c r="E2318" t="s">
        <v>10</v>
      </c>
      <c r="F2318" s="9">
        <v>21</v>
      </c>
    </row>
    <row r="2319" spans="1:6">
      <c r="A2319" t="s">
        <v>6</v>
      </c>
      <c r="B2319" t="s">
        <v>858</v>
      </c>
      <c r="C2319" s="1" t="s">
        <v>880</v>
      </c>
      <c r="D2319" s="7">
        <v>2899</v>
      </c>
      <c r="E2319" t="s">
        <v>10</v>
      </c>
      <c r="F2319" s="9">
        <v>22.6</v>
      </c>
    </row>
    <row r="2320" spans="1:6">
      <c r="A2320" t="s">
        <v>6</v>
      </c>
      <c r="B2320" t="s">
        <v>858</v>
      </c>
      <c r="C2320" s="1" t="s">
        <v>881</v>
      </c>
      <c r="D2320" s="7">
        <v>2903</v>
      </c>
      <c r="E2320" t="s">
        <v>10</v>
      </c>
      <c r="F2320" s="9">
        <v>22.7</v>
      </c>
    </row>
    <row r="2321" spans="1:6">
      <c r="A2321" t="s">
        <v>6</v>
      </c>
      <c r="B2321" t="s">
        <v>858</v>
      </c>
      <c r="C2321" s="1" t="s">
        <v>882</v>
      </c>
      <c r="D2321" s="7">
        <v>3047</v>
      </c>
      <c r="E2321" t="s">
        <v>10</v>
      </c>
      <c r="F2321" s="9">
        <v>23.9</v>
      </c>
    </row>
    <row r="2322" spans="1:6">
      <c r="A2322" t="s">
        <v>6</v>
      </c>
      <c r="B2322" t="s">
        <v>858</v>
      </c>
      <c r="C2322" s="1" t="s">
        <v>883</v>
      </c>
      <c r="D2322" s="7">
        <v>3171</v>
      </c>
      <c r="E2322" t="s">
        <v>10</v>
      </c>
      <c r="F2322" s="9">
        <v>21</v>
      </c>
    </row>
    <row r="2323" spans="1:6">
      <c r="A2323" t="s">
        <v>6</v>
      </c>
      <c r="B2323" t="s">
        <v>858</v>
      </c>
      <c r="C2323" s="1" t="s">
        <v>884</v>
      </c>
      <c r="D2323" s="7">
        <v>3215</v>
      </c>
      <c r="E2323" t="s">
        <v>10</v>
      </c>
      <c r="F2323" s="9">
        <v>20.7</v>
      </c>
    </row>
    <row r="2324" spans="1:6">
      <c r="A2324" t="s">
        <v>6</v>
      </c>
      <c r="B2324" t="s">
        <v>858</v>
      </c>
      <c r="C2324" s="1" t="s">
        <v>885</v>
      </c>
      <c r="D2324" s="7">
        <v>3355</v>
      </c>
      <c r="E2324" t="s">
        <v>10</v>
      </c>
      <c r="F2324" s="9">
        <v>22.5</v>
      </c>
    </row>
    <row r="2325" spans="1:6">
      <c r="A2325" t="s">
        <v>6</v>
      </c>
      <c r="B2325" t="s">
        <v>858</v>
      </c>
      <c r="C2325" s="1" t="s">
        <v>886</v>
      </c>
      <c r="D2325" s="7">
        <v>3423</v>
      </c>
      <c r="E2325" t="s">
        <v>10</v>
      </c>
      <c r="F2325" s="9">
        <v>20.5</v>
      </c>
    </row>
    <row r="2326" spans="1:6">
      <c r="A2326" t="s">
        <v>6</v>
      </c>
      <c r="B2326" t="s">
        <v>858</v>
      </c>
      <c r="C2326" s="1" t="s">
        <v>887</v>
      </c>
      <c r="D2326" s="7">
        <v>3427</v>
      </c>
      <c r="E2326" t="s">
        <v>10</v>
      </c>
      <c r="F2326" s="9">
        <v>21.8</v>
      </c>
    </row>
    <row r="2327" spans="1:6">
      <c r="A2327" t="s">
        <v>6</v>
      </c>
      <c r="B2327" t="s">
        <v>858</v>
      </c>
      <c r="C2327" s="1" t="s">
        <v>888</v>
      </c>
      <c r="D2327" s="7">
        <v>3431</v>
      </c>
      <c r="E2327" t="s">
        <v>10</v>
      </c>
      <c r="F2327" s="9">
        <v>22.2</v>
      </c>
    </row>
    <row r="2328" spans="1:6">
      <c r="A2328" t="s">
        <v>6</v>
      </c>
      <c r="B2328" t="s">
        <v>858</v>
      </c>
      <c r="C2328" s="1" t="s">
        <v>889</v>
      </c>
      <c r="D2328" s="7">
        <v>3499</v>
      </c>
      <c r="E2328" t="s">
        <v>10</v>
      </c>
      <c r="F2328" s="9">
        <v>22.2</v>
      </c>
    </row>
    <row r="2329" spans="1:6">
      <c r="A2329" t="s">
        <v>6</v>
      </c>
      <c r="B2329" t="s">
        <v>858</v>
      </c>
      <c r="C2329" s="1" t="s">
        <v>890</v>
      </c>
      <c r="D2329" s="7">
        <v>3715</v>
      </c>
      <c r="E2329" t="s">
        <v>10</v>
      </c>
      <c r="F2329" s="9">
        <v>19.899999999999999</v>
      </c>
    </row>
    <row r="2330" spans="1:6">
      <c r="A2330" t="s">
        <v>6</v>
      </c>
      <c r="B2330" t="s">
        <v>858</v>
      </c>
      <c r="C2330" s="1" t="s">
        <v>891</v>
      </c>
      <c r="D2330" s="7">
        <v>3719</v>
      </c>
      <c r="E2330" t="s">
        <v>10</v>
      </c>
      <c r="F2330" s="9">
        <v>22.1</v>
      </c>
    </row>
    <row r="2331" spans="1:6">
      <c r="A2331" t="s">
        <v>6</v>
      </c>
      <c r="B2331" t="s">
        <v>858</v>
      </c>
      <c r="C2331" s="1" t="s">
        <v>892</v>
      </c>
      <c r="D2331" s="7">
        <v>3723</v>
      </c>
      <c r="E2331" t="s">
        <v>10</v>
      </c>
      <c r="F2331" s="9">
        <v>22.4</v>
      </c>
    </row>
    <row r="2332" spans="1:6">
      <c r="A2332" t="s">
        <v>6</v>
      </c>
      <c r="B2332" t="s">
        <v>858</v>
      </c>
      <c r="C2332" s="1" t="s">
        <v>893</v>
      </c>
      <c r="D2332" s="7">
        <v>3727</v>
      </c>
      <c r="E2332" t="s">
        <v>10</v>
      </c>
      <c r="F2332" s="9">
        <v>23.1</v>
      </c>
    </row>
    <row r="2333" spans="1:6">
      <c r="A2333" t="s">
        <v>6</v>
      </c>
      <c r="B2333" t="s">
        <v>858</v>
      </c>
      <c r="C2333" s="1" t="s">
        <v>894</v>
      </c>
      <c r="D2333" s="7">
        <v>3955</v>
      </c>
      <c r="E2333" t="s">
        <v>10</v>
      </c>
      <c r="F2333" s="9">
        <v>22.6</v>
      </c>
    </row>
    <row r="2334" spans="1:6">
      <c r="A2334" t="s">
        <v>6</v>
      </c>
      <c r="B2334" t="s">
        <v>858</v>
      </c>
      <c r="C2334" s="3" t="s">
        <v>859</v>
      </c>
      <c r="D2334" s="7">
        <v>124</v>
      </c>
      <c r="E2334" s="2" t="s">
        <v>11</v>
      </c>
      <c r="F2334" s="10">
        <v>21</v>
      </c>
    </row>
    <row r="2335" spans="1:6">
      <c r="A2335" t="s">
        <v>6</v>
      </c>
      <c r="B2335" t="s">
        <v>858</v>
      </c>
      <c r="C2335" s="3" t="s">
        <v>860</v>
      </c>
      <c r="D2335" s="7">
        <v>120</v>
      </c>
      <c r="E2335" s="2" t="s">
        <v>11</v>
      </c>
      <c r="F2335" s="10">
        <v>21</v>
      </c>
    </row>
    <row r="2336" spans="1:6">
      <c r="A2336" t="s">
        <v>6</v>
      </c>
      <c r="B2336" t="s">
        <v>858</v>
      </c>
      <c r="C2336" s="3" t="s">
        <v>861</v>
      </c>
      <c r="D2336" s="7">
        <v>128</v>
      </c>
      <c r="E2336" s="2" t="s">
        <v>11</v>
      </c>
      <c r="F2336" s="10">
        <v>20</v>
      </c>
    </row>
    <row r="2337" spans="1:6">
      <c r="A2337" t="s">
        <v>6</v>
      </c>
      <c r="B2337" s="6" t="s">
        <v>858</v>
      </c>
      <c r="C2337" s="3" t="s">
        <v>862</v>
      </c>
      <c r="D2337" s="7">
        <v>444</v>
      </c>
      <c r="E2337" s="2" t="s">
        <v>11</v>
      </c>
      <c r="F2337" s="10">
        <v>21.1</v>
      </c>
    </row>
    <row r="2338" spans="1:6">
      <c r="A2338" t="s">
        <v>6</v>
      </c>
      <c r="B2338" s="6" t="s">
        <v>858</v>
      </c>
      <c r="C2338" s="3" t="s">
        <v>863</v>
      </c>
      <c r="D2338" s="7">
        <v>448</v>
      </c>
      <c r="E2338" s="2" t="s">
        <v>11</v>
      </c>
      <c r="F2338" s="10">
        <v>21</v>
      </c>
    </row>
    <row r="2339" spans="1:6">
      <c r="A2339" t="s">
        <v>6</v>
      </c>
      <c r="B2339" s="6" t="s">
        <v>858</v>
      </c>
      <c r="C2339" s="3" t="s">
        <v>864</v>
      </c>
      <c r="D2339" s="7">
        <v>452</v>
      </c>
      <c r="E2339" s="2" t="s">
        <v>11</v>
      </c>
      <c r="F2339" s="10">
        <v>21.3</v>
      </c>
    </row>
    <row r="2340" spans="1:6">
      <c r="A2340" t="s">
        <v>6</v>
      </c>
      <c r="B2340" s="6" t="s">
        <v>858</v>
      </c>
      <c r="C2340" s="3" t="s">
        <v>865</v>
      </c>
      <c r="D2340" s="7">
        <v>424</v>
      </c>
      <c r="E2340" s="2" t="s">
        <v>11</v>
      </c>
      <c r="F2340" s="10">
        <v>19.399999999999999</v>
      </c>
    </row>
    <row r="2341" spans="1:6">
      <c r="A2341" t="s">
        <v>6</v>
      </c>
      <c r="B2341" s="6" t="s">
        <v>858</v>
      </c>
      <c r="C2341" s="3" t="s">
        <v>866</v>
      </c>
      <c r="D2341" s="7">
        <v>428</v>
      </c>
      <c r="E2341" s="2" t="s">
        <v>11</v>
      </c>
      <c r="F2341" s="10">
        <v>21.5</v>
      </c>
    </row>
    <row r="2342" spans="1:6">
      <c r="A2342" t="s">
        <v>6</v>
      </c>
      <c r="B2342" s="6" t="s">
        <v>858</v>
      </c>
      <c r="C2342" s="3" t="s">
        <v>867</v>
      </c>
      <c r="D2342" s="7">
        <v>432</v>
      </c>
      <c r="E2342" s="2" t="s">
        <v>11</v>
      </c>
      <c r="F2342" s="10">
        <v>21.7</v>
      </c>
    </row>
    <row r="2343" spans="1:6">
      <c r="A2343" t="s">
        <v>6</v>
      </c>
      <c r="B2343" s="6" t="s">
        <v>858</v>
      </c>
      <c r="C2343" s="3" t="s">
        <v>868</v>
      </c>
      <c r="D2343" s="7">
        <v>436</v>
      </c>
      <c r="E2343" s="2" t="s">
        <v>11</v>
      </c>
      <c r="F2343" s="10">
        <v>21.4</v>
      </c>
    </row>
    <row r="2344" spans="1:6">
      <c r="A2344" t="s">
        <v>6</v>
      </c>
      <c r="B2344" s="6" t="s">
        <v>858</v>
      </c>
      <c r="C2344" s="3" t="s">
        <v>869</v>
      </c>
      <c r="D2344" s="7">
        <v>440</v>
      </c>
      <c r="E2344" s="2" t="s">
        <v>11</v>
      </c>
      <c r="F2344" s="10">
        <v>19.3</v>
      </c>
    </row>
    <row r="2345" spans="1:6">
      <c r="A2345" t="s">
        <v>6</v>
      </c>
      <c r="B2345" t="s">
        <v>858</v>
      </c>
      <c r="C2345" s="1" t="s">
        <v>870</v>
      </c>
      <c r="D2345" s="7">
        <v>2857</v>
      </c>
      <c r="E2345" t="s">
        <v>11</v>
      </c>
      <c r="F2345" s="9">
        <v>20.100000000000001</v>
      </c>
    </row>
    <row r="2346" spans="1:6">
      <c r="A2346" t="s">
        <v>6</v>
      </c>
      <c r="B2346" t="s">
        <v>858</v>
      </c>
      <c r="C2346" s="1" t="s">
        <v>871</v>
      </c>
      <c r="D2346" s="7">
        <v>2861</v>
      </c>
      <c r="E2346" t="s">
        <v>11</v>
      </c>
      <c r="F2346" s="9">
        <v>22.3</v>
      </c>
    </row>
    <row r="2347" spans="1:6">
      <c r="A2347" t="s">
        <v>6</v>
      </c>
      <c r="B2347" t="s">
        <v>858</v>
      </c>
      <c r="C2347" s="1" t="s">
        <v>872</v>
      </c>
      <c r="D2347" s="7">
        <v>2865</v>
      </c>
      <c r="E2347" t="s">
        <v>11</v>
      </c>
      <c r="F2347" s="9">
        <v>21.8</v>
      </c>
    </row>
    <row r="2348" spans="1:6">
      <c r="A2348" t="s">
        <v>6</v>
      </c>
      <c r="B2348" t="s">
        <v>858</v>
      </c>
      <c r="C2348" s="1" t="s">
        <v>873</v>
      </c>
      <c r="D2348" s="7">
        <v>2869</v>
      </c>
      <c r="E2348" t="s">
        <v>11</v>
      </c>
      <c r="F2348" s="9">
        <v>21.8</v>
      </c>
    </row>
    <row r="2349" spans="1:6">
      <c r="A2349" t="s">
        <v>6</v>
      </c>
      <c r="B2349" t="s">
        <v>858</v>
      </c>
      <c r="C2349" s="1" t="s">
        <v>874</v>
      </c>
      <c r="D2349" s="7">
        <v>2873</v>
      </c>
      <c r="E2349" t="s">
        <v>11</v>
      </c>
      <c r="F2349" s="9">
        <v>22.1</v>
      </c>
    </row>
    <row r="2350" spans="1:6">
      <c r="A2350" t="s">
        <v>6</v>
      </c>
      <c r="B2350" t="s">
        <v>858</v>
      </c>
      <c r="C2350" s="1" t="s">
        <v>875</v>
      </c>
      <c r="D2350" s="7">
        <v>2877</v>
      </c>
      <c r="E2350" t="s">
        <v>11</v>
      </c>
      <c r="F2350" s="9">
        <v>22.2</v>
      </c>
    </row>
    <row r="2351" spans="1:6">
      <c r="A2351" t="s">
        <v>6</v>
      </c>
      <c r="B2351" t="s">
        <v>858</v>
      </c>
      <c r="C2351" s="1" t="s">
        <v>876</v>
      </c>
      <c r="D2351" s="7">
        <v>2881</v>
      </c>
      <c r="E2351" t="s">
        <v>11</v>
      </c>
      <c r="F2351" s="9">
        <v>22.3</v>
      </c>
    </row>
    <row r="2352" spans="1:6">
      <c r="A2352" t="s">
        <v>6</v>
      </c>
      <c r="B2352" t="s">
        <v>858</v>
      </c>
      <c r="C2352" s="1" t="s">
        <v>877</v>
      </c>
      <c r="D2352" s="7">
        <v>2885</v>
      </c>
      <c r="E2352" t="s">
        <v>11</v>
      </c>
      <c r="F2352" s="9">
        <v>22.8</v>
      </c>
    </row>
    <row r="2353" spans="1:6">
      <c r="A2353" t="s">
        <v>6</v>
      </c>
      <c r="B2353" t="s">
        <v>858</v>
      </c>
      <c r="C2353" s="1" t="s">
        <v>878</v>
      </c>
      <c r="D2353" s="7">
        <v>2889</v>
      </c>
      <c r="E2353" t="s">
        <v>11</v>
      </c>
      <c r="F2353" s="9">
        <v>21.1</v>
      </c>
    </row>
    <row r="2354" spans="1:6">
      <c r="A2354" t="s">
        <v>6</v>
      </c>
      <c r="B2354" t="s">
        <v>858</v>
      </c>
      <c r="C2354" s="1" t="s">
        <v>879</v>
      </c>
      <c r="D2354" s="7">
        <v>2893</v>
      </c>
      <c r="E2354" t="s">
        <v>11</v>
      </c>
      <c r="F2354" s="9">
        <v>21.7</v>
      </c>
    </row>
    <row r="2355" spans="1:6">
      <c r="A2355" t="s">
        <v>6</v>
      </c>
      <c r="B2355" t="s">
        <v>858</v>
      </c>
      <c r="C2355" s="1" t="s">
        <v>880</v>
      </c>
      <c r="D2355" s="7">
        <v>2897</v>
      </c>
      <c r="E2355" t="s">
        <v>11</v>
      </c>
      <c r="F2355" s="9">
        <v>21.6</v>
      </c>
    </row>
    <row r="2356" spans="1:6">
      <c r="A2356" t="s">
        <v>6</v>
      </c>
      <c r="B2356" t="s">
        <v>858</v>
      </c>
      <c r="C2356" s="1" t="s">
        <v>881</v>
      </c>
      <c r="D2356" s="7">
        <v>2901</v>
      </c>
      <c r="E2356" t="s">
        <v>11</v>
      </c>
      <c r="F2356" s="9">
        <v>21</v>
      </c>
    </row>
    <row r="2357" spans="1:6">
      <c r="A2357" t="s">
        <v>6</v>
      </c>
      <c r="B2357" t="s">
        <v>858</v>
      </c>
      <c r="C2357" s="1" t="s">
        <v>882</v>
      </c>
      <c r="D2357" s="7">
        <v>3045</v>
      </c>
      <c r="E2357" t="s">
        <v>11</v>
      </c>
      <c r="F2357" s="9">
        <v>23.3</v>
      </c>
    </row>
    <row r="2358" spans="1:6">
      <c r="A2358" t="s">
        <v>6</v>
      </c>
      <c r="B2358" t="s">
        <v>858</v>
      </c>
      <c r="C2358" s="1" t="s">
        <v>883</v>
      </c>
      <c r="D2358" s="7">
        <v>3169</v>
      </c>
      <c r="E2358" t="s">
        <v>11</v>
      </c>
      <c r="F2358" s="9">
        <v>19.399999999999999</v>
      </c>
    </row>
    <row r="2359" spans="1:6">
      <c r="A2359" t="s">
        <v>6</v>
      </c>
      <c r="B2359" t="s">
        <v>858</v>
      </c>
      <c r="C2359" s="1" t="s">
        <v>884</v>
      </c>
      <c r="D2359" s="7">
        <v>3213</v>
      </c>
      <c r="E2359" t="s">
        <v>11</v>
      </c>
      <c r="F2359" s="9">
        <v>19.399999999999999</v>
      </c>
    </row>
    <row r="2360" spans="1:6">
      <c r="A2360" t="s">
        <v>6</v>
      </c>
      <c r="B2360" t="s">
        <v>858</v>
      </c>
      <c r="C2360" s="1" t="s">
        <v>885</v>
      </c>
      <c r="D2360" s="7">
        <v>3353</v>
      </c>
      <c r="E2360" t="s">
        <v>11</v>
      </c>
      <c r="F2360" s="9">
        <v>20.7</v>
      </c>
    </row>
    <row r="2361" spans="1:6">
      <c r="A2361" t="s">
        <v>6</v>
      </c>
      <c r="B2361" t="s">
        <v>858</v>
      </c>
      <c r="C2361" s="1" t="s">
        <v>886</v>
      </c>
      <c r="D2361" s="7">
        <v>3421</v>
      </c>
      <c r="E2361" t="s">
        <v>11</v>
      </c>
      <c r="F2361" s="9">
        <v>19.8</v>
      </c>
    </row>
    <row r="2362" spans="1:6">
      <c r="A2362" t="s">
        <v>6</v>
      </c>
      <c r="B2362" t="s">
        <v>858</v>
      </c>
      <c r="C2362" s="1" t="s">
        <v>887</v>
      </c>
      <c r="D2362" s="7">
        <v>3425</v>
      </c>
      <c r="E2362" t="s">
        <v>11</v>
      </c>
      <c r="F2362" s="9">
        <v>20.9</v>
      </c>
    </row>
    <row r="2363" spans="1:6">
      <c r="A2363" t="s">
        <v>6</v>
      </c>
      <c r="B2363" t="s">
        <v>858</v>
      </c>
      <c r="C2363" s="1" t="s">
        <v>888</v>
      </c>
      <c r="D2363" s="7">
        <v>3429</v>
      </c>
      <c r="E2363" t="s">
        <v>11</v>
      </c>
      <c r="F2363" s="9">
        <v>21</v>
      </c>
    </row>
    <row r="2364" spans="1:6">
      <c r="A2364" t="s">
        <v>6</v>
      </c>
      <c r="B2364" t="s">
        <v>858</v>
      </c>
      <c r="C2364" s="1" t="s">
        <v>889</v>
      </c>
      <c r="D2364" s="7">
        <v>3497</v>
      </c>
      <c r="E2364" t="s">
        <v>11</v>
      </c>
      <c r="F2364" s="9">
        <v>22</v>
      </c>
    </row>
    <row r="2365" spans="1:6">
      <c r="A2365" t="s">
        <v>6</v>
      </c>
      <c r="B2365" t="s">
        <v>858</v>
      </c>
      <c r="C2365" s="1" t="s">
        <v>890</v>
      </c>
      <c r="D2365" s="7">
        <v>3713</v>
      </c>
      <c r="E2365" t="s">
        <v>11</v>
      </c>
      <c r="F2365" s="9">
        <v>19.399999999999999</v>
      </c>
    </row>
    <row r="2366" spans="1:6">
      <c r="A2366" t="s">
        <v>6</v>
      </c>
      <c r="B2366" t="s">
        <v>858</v>
      </c>
      <c r="C2366" s="1" t="s">
        <v>891</v>
      </c>
      <c r="D2366" s="7">
        <v>3717</v>
      </c>
      <c r="E2366" t="s">
        <v>11</v>
      </c>
      <c r="F2366" s="9">
        <v>21.4</v>
      </c>
    </row>
    <row r="2367" spans="1:6">
      <c r="A2367" t="s">
        <v>6</v>
      </c>
      <c r="B2367" t="s">
        <v>858</v>
      </c>
      <c r="C2367" s="1" t="s">
        <v>892</v>
      </c>
      <c r="D2367" s="7">
        <v>3721</v>
      </c>
      <c r="E2367" t="s">
        <v>11</v>
      </c>
      <c r="F2367" s="9">
        <v>20.2</v>
      </c>
    </row>
    <row r="2368" spans="1:6">
      <c r="A2368" t="s">
        <v>6</v>
      </c>
      <c r="B2368" t="s">
        <v>858</v>
      </c>
      <c r="C2368" s="1" t="s">
        <v>893</v>
      </c>
      <c r="D2368" s="7">
        <v>3725</v>
      </c>
      <c r="E2368" t="s">
        <v>11</v>
      </c>
      <c r="F2368" s="9">
        <v>21.1</v>
      </c>
    </row>
    <row r="2369" spans="1:6">
      <c r="A2369" t="s">
        <v>6</v>
      </c>
      <c r="B2369" t="s">
        <v>858</v>
      </c>
      <c r="C2369" s="1" t="s">
        <v>894</v>
      </c>
      <c r="D2369" s="7">
        <v>3953</v>
      </c>
      <c r="E2369" t="s">
        <v>11</v>
      </c>
      <c r="F2369" s="9">
        <v>21.7</v>
      </c>
    </row>
    <row r="2370" spans="1:6">
      <c r="A2370" t="s">
        <v>6</v>
      </c>
      <c r="B2370" t="s">
        <v>858</v>
      </c>
      <c r="C2370" s="1" t="s">
        <v>895</v>
      </c>
      <c r="D2370" s="7">
        <v>5527</v>
      </c>
      <c r="E2370" t="s">
        <v>12</v>
      </c>
      <c r="F2370" s="9">
        <v>6.79</v>
      </c>
    </row>
    <row r="2371" spans="1:6">
      <c r="A2371" t="s">
        <v>6</v>
      </c>
      <c r="B2371" t="s">
        <v>858</v>
      </c>
      <c r="C2371" s="1" t="s">
        <v>896</v>
      </c>
      <c r="D2371" s="7">
        <v>5531</v>
      </c>
      <c r="E2371" t="s">
        <v>12</v>
      </c>
      <c r="F2371" s="9">
        <v>6.9</v>
      </c>
    </row>
    <row r="2372" spans="1:6">
      <c r="A2372" t="s">
        <v>6</v>
      </c>
      <c r="B2372" t="s">
        <v>858</v>
      </c>
      <c r="C2372" s="1" t="s">
        <v>897</v>
      </c>
      <c r="D2372" s="7">
        <v>5418</v>
      </c>
      <c r="E2372" t="s">
        <v>12</v>
      </c>
      <c r="F2372" s="9">
        <v>6.99</v>
      </c>
    </row>
    <row r="2373" spans="1:6">
      <c r="A2373" t="s">
        <v>6</v>
      </c>
      <c r="B2373" t="s">
        <v>858</v>
      </c>
      <c r="C2373" s="1" t="s">
        <v>898</v>
      </c>
      <c r="D2373" s="7">
        <v>5342</v>
      </c>
      <c r="E2373" t="s">
        <v>12</v>
      </c>
      <c r="F2373" s="9">
        <v>6.83</v>
      </c>
    </row>
    <row r="2374" spans="1:6">
      <c r="A2374" t="s">
        <v>6</v>
      </c>
      <c r="B2374" t="s">
        <v>858</v>
      </c>
      <c r="C2374" s="1" t="s">
        <v>899</v>
      </c>
      <c r="D2374" s="7">
        <v>5338</v>
      </c>
      <c r="E2374" t="s">
        <v>12</v>
      </c>
      <c r="F2374" s="9">
        <v>6.65</v>
      </c>
    </row>
    <row r="2375" spans="1:6">
      <c r="A2375" t="s">
        <v>6</v>
      </c>
      <c r="B2375" t="s">
        <v>858</v>
      </c>
      <c r="C2375" s="1" t="s">
        <v>900</v>
      </c>
      <c r="D2375" s="7">
        <v>5346</v>
      </c>
      <c r="E2375" t="s">
        <v>12</v>
      </c>
      <c r="F2375" s="9">
        <v>6.69</v>
      </c>
    </row>
    <row r="2376" spans="1:6">
      <c r="A2376" t="s">
        <v>6</v>
      </c>
      <c r="B2376" t="s">
        <v>858</v>
      </c>
      <c r="C2376" s="1" t="s">
        <v>211</v>
      </c>
      <c r="D2376" s="7">
        <v>5334</v>
      </c>
      <c r="E2376" t="s">
        <v>12</v>
      </c>
      <c r="F2376" s="9">
        <v>6.55</v>
      </c>
    </row>
    <row r="2377" spans="1:6">
      <c r="A2377" t="s">
        <v>6</v>
      </c>
      <c r="B2377" t="s">
        <v>858</v>
      </c>
      <c r="C2377" s="1" t="s">
        <v>901</v>
      </c>
      <c r="D2377" s="7">
        <v>5298</v>
      </c>
      <c r="E2377" t="s">
        <v>12</v>
      </c>
      <c r="F2377" s="9">
        <v>6.74</v>
      </c>
    </row>
    <row r="2378" spans="1:6">
      <c r="A2378" t="s">
        <v>6</v>
      </c>
      <c r="B2378" t="s">
        <v>858</v>
      </c>
      <c r="C2378" s="1" t="s">
        <v>902</v>
      </c>
      <c r="D2378" s="7">
        <v>5314</v>
      </c>
      <c r="E2378" t="s">
        <v>12</v>
      </c>
      <c r="F2378" s="9">
        <v>6.16</v>
      </c>
    </row>
    <row r="2379" spans="1:6">
      <c r="A2379" t="s">
        <v>6</v>
      </c>
      <c r="B2379" t="s">
        <v>858</v>
      </c>
      <c r="C2379" s="1" t="s">
        <v>903</v>
      </c>
      <c r="D2379" s="7">
        <v>5318</v>
      </c>
      <c r="E2379" t="s">
        <v>12</v>
      </c>
      <c r="F2379" s="9">
        <v>6.51</v>
      </c>
    </row>
    <row r="2380" spans="1:6">
      <c r="A2380" t="s">
        <v>6</v>
      </c>
      <c r="B2380" t="s">
        <v>858</v>
      </c>
      <c r="C2380" s="1" t="s">
        <v>904</v>
      </c>
      <c r="D2380" s="7">
        <v>5322</v>
      </c>
      <c r="E2380" t="s">
        <v>12</v>
      </c>
      <c r="F2380" s="9">
        <v>6.74</v>
      </c>
    </row>
    <row r="2381" spans="1:6">
      <c r="A2381" t="s">
        <v>6</v>
      </c>
      <c r="B2381" t="s">
        <v>905</v>
      </c>
      <c r="C2381" s="1" t="s">
        <v>906</v>
      </c>
      <c r="D2381" s="7">
        <v>5999</v>
      </c>
      <c r="E2381" t="s">
        <v>9</v>
      </c>
      <c r="F2381" s="9">
        <v>6.04</v>
      </c>
    </row>
    <row r="2382" spans="1:6">
      <c r="A2382" t="s">
        <v>6</v>
      </c>
      <c r="B2382" t="s">
        <v>905</v>
      </c>
      <c r="C2382" s="1" t="s">
        <v>906</v>
      </c>
      <c r="D2382" s="7">
        <v>6002</v>
      </c>
      <c r="E2382" t="s">
        <v>10</v>
      </c>
      <c r="F2382" s="9">
        <v>31.91</v>
      </c>
    </row>
    <row r="2383" spans="1:6">
      <c r="A2383" t="s">
        <v>6</v>
      </c>
      <c r="B2383" t="s">
        <v>905</v>
      </c>
      <c r="C2383" s="1" t="s">
        <v>906</v>
      </c>
      <c r="D2383" s="7">
        <v>6000</v>
      </c>
      <c r="E2383" t="s">
        <v>11</v>
      </c>
      <c r="F2383" s="9">
        <v>21.11</v>
      </c>
    </row>
    <row r="2384" spans="1:6">
      <c r="A2384" t="s">
        <v>6</v>
      </c>
      <c r="B2384" t="s">
        <v>905</v>
      </c>
      <c r="C2384" s="1" t="s">
        <v>906</v>
      </c>
      <c r="D2384" s="7">
        <v>6001</v>
      </c>
      <c r="E2384" t="s">
        <v>12</v>
      </c>
      <c r="F2384" s="9">
        <v>6.93</v>
      </c>
    </row>
    <row r="2385" spans="1:6">
      <c r="A2385" t="s">
        <v>6</v>
      </c>
      <c r="B2385" t="s">
        <v>907</v>
      </c>
      <c r="C2385" s="1" t="s">
        <v>908</v>
      </c>
      <c r="D2385" s="7">
        <v>2970</v>
      </c>
      <c r="E2385" t="s">
        <v>9</v>
      </c>
      <c r="F2385" s="9">
        <v>4.5999999999999996</v>
      </c>
    </row>
    <row r="2386" spans="1:6">
      <c r="A2386" t="s">
        <v>6</v>
      </c>
      <c r="B2386" t="s">
        <v>907</v>
      </c>
      <c r="C2386" s="1" t="s">
        <v>909</v>
      </c>
      <c r="D2386" s="7">
        <v>3038</v>
      </c>
      <c r="E2386" t="s">
        <v>9</v>
      </c>
      <c r="F2386" s="9">
        <v>4.5999999999999996</v>
      </c>
    </row>
    <row r="2387" spans="1:6">
      <c r="A2387" t="s">
        <v>6</v>
      </c>
      <c r="B2387" t="s">
        <v>907</v>
      </c>
      <c r="C2387" s="1" t="s">
        <v>910</v>
      </c>
      <c r="D2387" s="7">
        <v>3230</v>
      </c>
      <c r="E2387" t="s">
        <v>9</v>
      </c>
      <c r="F2387" s="9">
        <v>4.4000000000000004</v>
      </c>
    </row>
    <row r="2388" spans="1:6">
      <c r="A2388" t="s">
        <v>6</v>
      </c>
      <c r="B2388" t="s">
        <v>907</v>
      </c>
      <c r="C2388" s="1" t="s">
        <v>911</v>
      </c>
      <c r="D2388" s="7">
        <v>3238</v>
      </c>
      <c r="E2388" t="s">
        <v>9</v>
      </c>
      <c r="F2388" s="9">
        <v>4.4000000000000004</v>
      </c>
    </row>
    <row r="2389" spans="1:6">
      <c r="A2389" t="s">
        <v>6</v>
      </c>
      <c r="B2389" t="s">
        <v>907</v>
      </c>
      <c r="C2389" s="1" t="s">
        <v>912</v>
      </c>
      <c r="D2389" s="7">
        <v>3242</v>
      </c>
      <c r="E2389" t="s">
        <v>9</v>
      </c>
      <c r="F2389" s="9">
        <v>4.5</v>
      </c>
    </row>
    <row r="2390" spans="1:6">
      <c r="A2390" t="s">
        <v>6</v>
      </c>
      <c r="B2390" t="s">
        <v>907</v>
      </c>
      <c r="C2390" s="1" t="s">
        <v>913</v>
      </c>
      <c r="D2390" s="7">
        <v>3246</v>
      </c>
      <c r="E2390" t="s">
        <v>9</v>
      </c>
      <c r="F2390" s="9">
        <v>4.3</v>
      </c>
    </row>
    <row r="2391" spans="1:6">
      <c r="A2391" t="s">
        <v>6</v>
      </c>
      <c r="B2391" t="s">
        <v>907</v>
      </c>
      <c r="C2391" s="1" t="s">
        <v>914</v>
      </c>
      <c r="D2391" s="7">
        <v>3250</v>
      </c>
      <c r="E2391" t="s">
        <v>9</v>
      </c>
      <c r="F2391" s="9">
        <v>4.3</v>
      </c>
    </row>
    <row r="2392" spans="1:6">
      <c r="A2392" t="s">
        <v>6</v>
      </c>
      <c r="B2392" t="s">
        <v>907</v>
      </c>
      <c r="C2392" s="1" t="s">
        <v>915</v>
      </c>
      <c r="D2392" s="7">
        <v>3254</v>
      </c>
      <c r="E2392" t="s">
        <v>9</v>
      </c>
      <c r="F2392" s="9">
        <v>4.0999999999999996</v>
      </c>
    </row>
    <row r="2393" spans="1:6">
      <c r="A2393" t="s">
        <v>6</v>
      </c>
      <c r="B2393" t="s">
        <v>907</v>
      </c>
      <c r="C2393" s="1" t="s">
        <v>916</v>
      </c>
      <c r="D2393" s="7">
        <v>3258</v>
      </c>
      <c r="E2393" t="s">
        <v>9</v>
      </c>
      <c r="F2393" s="9">
        <v>4.5</v>
      </c>
    </row>
    <row r="2394" spans="1:6">
      <c r="A2394" t="s">
        <v>6</v>
      </c>
      <c r="B2394" t="s">
        <v>907</v>
      </c>
      <c r="C2394" s="1" t="s">
        <v>917</v>
      </c>
      <c r="D2394" s="7">
        <v>3262</v>
      </c>
      <c r="E2394" t="s">
        <v>9</v>
      </c>
      <c r="F2394" s="9">
        <v>4.0999999999999996</v>
      </c>
    </row>
    <row r="2395" spans="1:6">
      <c r="A2395" t="s">
        <v>6</v>
      </c>
      <c r="B2395" t="s">
        <v>907</v>
      </c>
      <c r="C2395" s="1" t="s">
        <v>918</v>
      </c>
      <c r="D2395" s="7">
        <v>3266</v>
      </c>
      <c r="E2395" t="s">
        <v>9</v>
      </c>
      <c r="F2395" s="9">
        <v>4.0999999999999996</v>
      </c>
    </row>
    <row r="2396" spans="1:6">
      <c r="A2396" t="s">
        <v>6</v>
      </c>
      <c r="B2396" t="s">
        <v>907</v>
      </c>
      <c r="C2396" s="1" t="s">
        <v>919</v>
      </c>
      <c r="D2396" s="7">
        <v>3270</v>
      </c>
      <c r="E2396" t="s">
        <v>9</v>
      </c>
      <c r="F2396" s="9">
        <v>4.5999999999999996</v>
      </c>
    </row>
    <row r="2397" spans="1:6">
      <c r="A2397" t="s">
        <v>6</v>
      </c>
      <c r="B2397" t="s">
        <v>907</v>
      </c>
      <c r="C2397" s="1" t="s">
        <v>920</v>
      </c>
      <c r="D2397" s="7">
        <v>3338</v>
      </c>
      <c r="E2397" t="s">
        <v>9</v>
      </c>
      <c r="F2397" s="9">
        <v>4.5999999999999996</v>
      </c>
    </row>
    <row r="2398" spans="1:6">
      <c r="A2398" t="s">
        <v>6</v>
      </c>
      <c r="B2398" t="s">
        <v>907</v>
      </c>
      <c r="C2398" s="1" t="s">
        <v>921</v>
      </c>
      <c r="D2398" s="7">
        <v>3350</v>
      </c>
      <c r="E2398" t="s">
        <v>9</v>
      </c>
      <c r="F2398" s="9">
        <v>3.7</v>
      </c>
    </row>
    <row r="2399" spans="1:6">
      <c r="A2399" t="s">
        <v>6</v>
      </c>
      <c r="B2399" t="s">
        <v>907</v>
      </c>
      <c r="C2399" s="1" t="s">
        <v>922</v>
      </c>
      <c r="D2399" s="7">
        <v>3358</v>
      </c>
      <c r="E2399" t="s">
        <v>9</v>
      </c>
      <c r="F2399" s="9">
        <v>4.5</v>
      </c>
    </row>
    <row r="2400" spans="1:6">
      <c r="A2400" t="s">
        <v>6</v>
      </c>
      <c r="B2400" t="s">
        <v>907</v>
      </c>
      <c r="C2400" s="1" t="s">
        <v>923</v>
      </c>
      <c r="D2400" s="7">
        <v>3362</v>
      </c>
      <c r="E2400" t="s">
        <v>9</v>
      </c>
      <c r="F2400" s="9">
        <v>4.5</v>
      </c>
    </row>
    <row r="2401" spans="1:6">
      <c r="A2401" t="s">
        <v>6</v>
      </c>
      <c r="B2401" t="s">
        <v>907</v>
      </c>
      <c r="C2401" s="1" t="s">
        <v>924</v>
      </c>
      <c r="D2401" s="7">
        <v>3378</v>
      </c>
      <c r="E2401" t="s">
        <v>9</v>
      </c>
      <c r="F2401" s="9">
        <v>4.0999999999999996</v>
      </c>
    </row>
    <row r="2402" spans="1:6">
      <c r="A2402" t="s">
        <v>6</v>
      </c>
      <c r="B2402" t="s">
        <v>907</v>
      </c>
      <c r="C2402" s="1" t="s">
        <v>925</v>
      </c>
      <c r="D2402" s="7">
        <v>3382</v>
      </c>
      <c r="E2402" t="s">
        <v>9</v>
      </c>
      <c r="F2402" s="9">
        <v>3.9</v>
      </c>
    </row>
    <row r="2403" spans="1:6">
      <c r="A2403" t="s">
        <v>6</v>
      </c>
      <c r="B2403" t="s">
        <v>907</v>
      </c>
      <c r="C2403" s="1" t="s">
        <v>926</v>
      </c>
      <c r="D2403" s="7">
        <v>3386</v>
      </c>
      <c r="E2403" t="s">
        <v>9</v>
      </c>
      <c r="F2403" s="9">
        <v>4.2</v>
      </c>
    </row>
    <row r="2404" spans="1:6">
      <c r="A2404" t="s">
        <v>6</v>
      </c>
      <c r="B2404" t="s">
        <v>907</v>
      </c>
      <c r="C2404" s="1" t="s">
        <v>927</v>
      </c>
      <c r="D2404" s="7">
        <v>3474</v>
      </c>
      <c r="E2404" t="s">
        <v>9</v>
      </c>
      <c r="F2404" s="9">
        <v>4.3</v>
      </c>
    </row>
    <row r="2405" spans="1:6">
      <c r="A2405" t="s">
        <v>6</v>
      </c>
      <c r="B2405" t="s">
        <v>907</v>
      </c>
      <c r="C2405" s="1" t="s">
        <v>928</v>
      </c>
      <c r="D2405" s="7">
        <v>3478</v>
      </c>
      <c r="E2405" t="s">
        <v>9</v>
      </c>
      <c r="F2405" s="9">
        <v>4.5</v>
      </c>
    </row>
    <row r="2406" spans="1:6">
      <c r="A2406" t="s">
        <v>6</v>
      </c>
      <c r="B2406" t="s">
        <v>907</v>
      </c>
      <c r="C2406" s="1" t="s">
        <v>929</v>
      </c>
      <c r="D2406" s="7">
        <v>3482</v>
      </c>
      <c r="E2406" t="s">
        <v>9</v>
      </c>
      <c r="F2406" s="9">
        <v>4.3</v>
      </c>
    </row>
    <row r="2407" spans="1:6">
      <c r="A2407" t="s">
        <v>6</v>
      </c>
      <c r="B2407" t="s">
        <v>907</v>
      </c>
      <c r="C2407" s="1" t="s">
        <v>930</v>
      </c>
      <c r="D2407" s="7">
        <v>3486</v>
      </c>
      <c r="E2407" t="s">
        <v>9</v>
      </c>
      <c r="F2407" s="9">
        <v>4.2</v>
      </c>
    </row>
    <row r="2408" spans="1:6">
      <c r="A2408" t="s">
        <v>6</v>
      </c>
      <c r="B2408" t="s">
        <v>907</v>
      </c>
      <c r="C2408" s="1" t="s">
        <v>931</v>
      </c>
      <c r="D2408" s="7">
        <v>3490</v>
      </c>
      <c r="E2408" t="s">
        <v>9</v>
      </c>
      <c r="F2408" s="9">
        <v>4.4000000000000004</v>
      </c>
    </row>
    <row r="2409" spans="1:6">
      <c r="A2409" t="s">
        <v>6</v>
      </c>
      <c r="B2409" t="s">
        <v>907</v>
      </c>
      <c r="C2409" s="1" t="s">
        <v>932</v>
      </c>
      <c r="D2409" s="7">
        <v>3602</v>
      </c>
      <c r="E2409" t="s">
        <v>9</v>
      </c>
      <c r="F2409" s="9">
        <v>4.5999999999999996</v>
      </c>
    </row>
    <row r="2410" spans="1:6">
      <c r="A2410" t="s">
        <v>6</v>
      </c>
      <c r="B2410" t="s">
        <v>907</v>
      </c>
      <c r="C2410" s="1" t="s">
        <v>933</v>
      </c>
      <c r="D2410" s="7">
        <v>3638</v>
      </c>
      <c r="E2410" t="s">
        <v>9</v>
      </c>
      <c r="F2410" s="9">
        <v>4.4000000000000004</v>
      </c>
    </row>
    <row r="2411" spans="1:6">
      <c r="A2411" t="s">
        <v>6</v>
      </c>
      <c r="B2411" t="s">
        <v>907</v>
      </c>
      <c r="C2411" s="1" t="s">
        <v>934</v>
      </c>
      <c r="D2411" s="7">
        <v>3658</v>
      </c>
      <c r="E2411" t="s">
        <v>9</v>
      </c>
      <c r="F2411" s="9">
        <v>4.7</v>
      </c>
    </row>
    <row r="2412" spans="1:6">
      <c r="A2412" t="s">
        <v>6</v>
      </c>
      <c r="B2412" t="s">
        <v>907</v>
      </c>
      <c r="C2412" s="1" t="s">
        <v>935</v>
      </c>
      <c r="D2412" s="7">
        <v>3662</v>
      </c>
      <c r="E2412" t="s">
        <v>9</v>
      </c>
      <c r="F2412" s="9">
        <v>4.5</v>
      </c>
    </row>
    <row r="2413" spans="1:6">
      <c r="A2413" t="s">
        <v>6</v>
      </c>
      <c r="B2413" t="s">
        <v>907</v>
      </c>
      <c r="C2413" s="1" t="s">
        <v>936</v>
      </c>
      <c r="D2413" s="7">
        <v>3690</v>
      </c>
      <c r="E2413" t="s">
        <v>9</v>
      </c>
      <c r="F2413" s="9">
        <v>4</v>
      </c>
    </row>
    <row r="2414" spans="1:6">
      <c r="A2414" t="s">
        <v>6</v>
      </c>
      <c r="B2414" t="s">
        <v>907</v>
      </c>
      <c r="C2414" s="1" t="s">
        <v>937</v>
      </c>
      <c r="D2414" s="7">
        <v>3694</v>
      </c>
      <c r="E2414" t="s">
        <v>9</v>
      </c>
      <c r="F2414" s="9">
        <v>4.5999999999999996</v>
      </c>
    </row>
    <row r="2415" spans="1:6">
      <c r="A2415" t="s">
        <v>6</v>
      </c>
      <c r="B2415" t="s">
        <v>907</v>
      </c>
      <c r="C2415" s="1" t="s">
        <v>938</v>
      </c>
      <c r="D2415" s="7">
        <v>3698</v>
      </c>
      <c r="E2415" t="s">
        <v>9</v>
      </c>
      <c r="F2415" s="9">
        <v>4.3</v>
      </c>
    </row>
    <row r="2416" spans="1:6">
      <c r="A2416" t="s">
        <v>6</v>
      </c>
      <c r="B2416" t="s">
        <v>907</v>
      </c>
      <c r="C2416" s="1" t="s">
        <v>939</v>
      </c>
      <c r="D2416" s="7">
        <v>3702</v>
      </c>
      <c r="E2416" t="s">
        <v>9</v>
      </c>
      <c r="F2416" s="9">
        <v>4.5999999999999996</v>
      </c>
    </row>
    <row r="2417" spans="1:6">
      <c r="A2417" t="s">
        <v>6</v>
      </c>
      <c r="B2417" t="s">
        <v>907</v>
      </c>
      <c r="C2417" s="1" t="s">
        <v>940</v>
      </c>
      <c r="D2417" s="7">
        <v>3706</v>
      </c>
      <c r="E2417" t="s">
        <v>9</v>
      </c>
      <c r="F2417" s="9">
        <v>4.4000000000000004</v>
      </c>
    </row>
    <row r="2418" spans="1:6">
      <c r="A2418" t="s">
        <v>6</v>
      </c>
      <c r="B2418" t="s">
        <v>907</v>
      </c>
      <c r="C2418" s="1" t="s">
        <v>941</v>
      </c>
      <c r="D2418" s="7">
        <v>3710</v>
      </c>
      <c r="E2418" t="s">
        <v>9</v>
      </c>
      <c r="F2418" s="9">
        <v>4.3</v>
      </c>
    </row>
    <row r="2419" spans="1:6">
      <c r="A2419" t="s">
        <v>6</v>
      </c>
      <c r="B2419" t="s">
        <v>907</v>
      </c>
      <c r="C2419" s="1" t="s">
        <v>942</v>
      </c>
      <c r="D2419" s="7">
        <v>3734</v>
      </c>
      <c r="E2419" t="s">
        <v>9</v>
      </c>
      <c r="F2419" s="9">
        <v>4.5</v>
      </c>
    </row>
    <row r="2420" spans="1:6">
      <c r="A2420" t="s">
        <v>6</v>
      </c>
      <c r="B2420" t="s">
        <v>907</v>
      </c>
      <c r="C2420" s="1" t="s">
        <v>943</v>
      </c>
      <c r="D2420" s="7">
        <v>3922</v>
      </c>
      <c r="E2420" t="s">
        <v>9</v>
      </c>
      <c r="F2420" s="9">
        <v>4.4000000000000004</v>
      </c>
    </row>
    <row r="2421" spans="1:6">
      <c r="A2421" t="s">
        <v>6</v>
      </c>
      <c r="B2421" t="s">
        <v>907</v>
      </c>
      <c r="C2421" s="1" t="s">
        <v>908</v>
      </c>
      <c r="D2421" s="7">
        <v>2971</v>
      </c>
      <c r="E2421" t="s">
        <v>10</v>
      </c>
      <c r="F2421" s="9">
        <v>20.3</v>
      </c>
    </row>
    <row r="2422" spans="1:6">
      <c r="A2422" t="s">
        <v>6</v>
      </c>
      <c r="B2422" t="s">
        <v>907</v>
      </c>
      <c r="C2422" s="1" t="s">
        <v>909</v>
      </c>
      <c r="D2422" s="7">
        <v>3039</v>
      </c>
      <c r="E2422" t="s">
        <v>10</v>
      </c>
      <c r="F2422" s="9">
        <v>20.3</v>
      </c>
    </row>
    <row r="2423" spans="1:6">
      <c r="A2423" t="s">
        <v>6</v>
      </c>
      <c r="B2423" t="s">
        <v>907</v>
      </c>
      <c r="C2423" s="1" t="s">
        <v>910</v>
      </c>
      <c r="D2423" s="7">
        <v>3231</v>
      </c>
      <c r="E2423" t="s">
        <v>10</v>
      </c>
      <c r="F2423" s="9">
        <v>20.7</v>
      </c>
    </row>
    <row r="2424" spans="1:6">
      <c r="A2424" t="s">
        <v>6</v>
      </c>
      <c r="B2424" t="s">
        <v>907</v>
      </c>
      <c r="C2424" s="1" t="s">
        <v>911</v>
      </c>
      <c r="D2424" s="7">
        <v>3239</v>
      </c>
      <c r="E2424" t="s">
        <v>10</v>
      </c>
      <c r="F2424" s="9">
        <v>18.600000000000001</v>
      </c>
    </row>
    <row r="2425" spans="1:6">
      <c r="A2425" t="s">
        <v>6</v>
      </c>
      <c r="B2425" t="s">
        <v>907</v>
      </c>
      <c r="C2425" s="1" t="s">
        <v>912</v>
      </c>
      <c r="D2425" s="7">
        <v>3243</v>
      </c>
      <c r="E2425" t="s">
        <v>10</v>
      </c>
      <c r="F2425" s="9">
        <v>19.899999999999999</v>
      </c>
    </row>
    <row r="2426" spans="1:6">
      <c r="A2426" t="s">
        <v>6</v>
      </c>
      <c r="B2426" t="s">
        <v>907</v>
      </c>
      <c r="C2426" s="1" t="s">
        <v>913</v>
      </c>
      <c r="D2426" s="7">
        <v>3247</v>
      </c>
      <c r="E2426" t="s">
        <v>10</v>
      </c>
      <c r="F2426" s="9">
        <v>20</v>
      </c>
    </row>
    <row r="2427" spans="1:6">
      <c r="A2427" t="s">
        <v>6</v>
      </c>
      <c r="B2427" t="s">
        <v>907</v>
      </c>
      <c r="C2427" s="1" t="s">
        <v>914</v>
      </c>
      <c r="D2427" s="7">
        <v>3251</v>
      </c>
      <c r="E2427" t="s">
        <v>10</v>
      </c>
      <c r="F2427" s="9">
        <v>20</v>
      </c>
    </row>
    <row r="2428" spans="1:6">
      <c r="A2428" t="s">
        <v>6</v>
      </c>
      <c r="B2428" t="s">
        <v>907</v>
      </c>
      <c r="C2428" s="1" t="s">
        <v>915</v>
      </c>
      <c r="D2428" s="7">
        <v>3255</v>
      </c>
      <c r="E2428" t="s">
        <v>10</v>
      </c>
      <c r="F2428" s="9">
        <v>19.399999999999999</v>
      </c>
    </row>
    <row r="2429" spans="1:6">
      <c r="A2429" t="s">
        <v>6</v>
      </c>
      <c r="B2429" t="s">
        <v>907</v>
      </c>
      <c r="C2429" s="1" t="s">
        <v>916</v>
      </c>
      <c r="D2429" s="7">
        <v>3259</v>
      </c>
      <c r="E2429" t="s">
        <v>10</v>
      </c>
      <c r="F2429" s="9">
        <v>20.3</v>
      </c>
    </row>
    <row r="2430" spans="1:6">
      <c r="A2430" t="s">
        <v>6</v>
      </c>
      <c r="B2430" t="s">
        <v>907</v>
      </c>
      <c r="C2430" s="1" t="s">
        <v>917</v>
      </c>
      <c r="D2430" s="7">
        <v>3263</v>
      </c>
      <c r="E2430" t="s">
        <v>10</v>
      </c>
      <c r="F2430" s="9">
        <v>19.5</v>
      </c>
    </row>
    <row r="2431" spans="1:6">
      <c r="A2431" t="s">
        <v>6</v>
      </c>
      <c r="B2431" t="s">
        <v>907</v>
      </c>
      <c r="C2431" s="1" t="s">
        <v>918</v>
      </c>
      <c r="D2431" s="7">
        <v>3267</v>
      </c>
      <c r="E2431" t="s">
        <v>10</v>
      </c>
      <c r="F2431" s="9">
        <v>19</v>
      </c>
    </row>
    <row r="2432" spans="1:6">
      <c r="A2432" t="s">
        <v>6</v>
      </c>
      <c r="B2432" t="s">
        <v>907</v>
      </c>
      <c r="C2432" s="1" t="s">
        <v>919</v>
      </c>
      <c r="D2432" s="7">
        <v>3271</v>
      </c>
      <c r="E2432" t="s">
        <v>10</v>
      </c>
      <c r="F2432" s="9">
        <v>21.1</v>
      </c>
    </row>
    <row r="2433" spans="1:6">
      <c r="A2433" t="s">
        <v>6</v>
      </c>
      <c r="B2433" t="s">
        <v>907</v>
      </c>
      <c r="C2433" s="1" t="s">
        <v>920</v>
      </c>
      <c r="D2433" s="7">
        <v>3339</v>
      </c>
      <c r="E2433" t="s">
        <v>10</v>
      </c>
      <c r="F2433" s="9">
        <v>19.899999999999999</v>
      </c>
    </row>
    <row r="2434" spans="1:6">
      <c r="A2434" t="s">
        <v>6</v>
      </c>
      <c r="B2434" t="s">
        <v>907</v>
      </c>
      <c r="C2434" s="1" t="s">
        <v>921</v>
      </c>
      <c r="D2434" s="7">
        <v>3351</v>
      </c>
      <c r="E2434" t="s">
        <v>10</v>
      </c>
      <c r="F2434" s="9">
        <v>19.2</v>
      </c>
    </row>
    <row r="2435" spans="1:6">
      <c r="A2435" t="s">
        <v>6</v>
      </c>
      <c r="B2435" t="s">
        <v>907</v>
      </c>
      <c r="C2435" s="1" t="s">
        <v>922</v>
      </c>
      <c r="D2435" s="7">
        <v>3359</v>
      </c>
      <c r="E2435" t="s">
        <v>10</v>
      </c>
      <c r="F2435" s="9">
        <v>21.4</v>
      </c>
    </row>
    <row r="2436" spans="1:6">
      <c r="A2436" t="s">
        <v>6</v>
      </c>
      <c r="B2436" t="s">
        <v>907</v>
      </c>
      <c r="C2436" s="1" t="s">
        <v>923</v>
      </c>
      <c r="D2436" s="7">
        <v>3363</v>
      </c>
      <c r="E2436" t="s">
        <v>10</v>
      </c>
      <c r="F2436" s="9">
        <v>20.7</v>
      </c>
    </row>
    <row r="2437" spans="1:6">
      <c r="A2437" t="s">
        <v>6</v>
      </c>
      <c r="B2437" t="s">
        <v>907</v>
      </c>
      <c r="C2437" s="1" t="s">
        <v>924</v>
      </c>
      <c r="D2437" s="7">
        <v>3379</v>
      </c>
      <c r="E2437" t="s">
        <v>10</v>
      </c>
      <c r="F2437" s="9">
        <v>18.5</v>
      </c>
    </row>
    <row r="2438" spans="1:6">
      <c r="A2438" t="s">
        <v>6</v>
      </c>
      <c r="B2438" t="s">
        <v>907</v>
      </c>
      <c r="C2438" s="1" t="s">
        <v>925</v>
      </c>
      <c r="D2438" s="7">
        <v>3383</v>
      </c>
      <c r="E2438" t="s">
        <v>10</v>
      </c>
      <c r="F2438" s="9">
        <v>18.7</v>
      </c>
    </row>
    <row r="2439" spans="1:6">
      <c r="A2439" t="s">
        <v>6</v>
      </c>
      <c r="B2439" t="s">
        <v>907</v>
      </c>
      <c r="C2439" s="1" t="s">
        <v>926</v>
      </c>
      <c r="D2439" s="7">
        <v>3387</v>
      </c>
      <c r="E2439" t="s">
        <v>10</v>
      </c>
      <c r="F2439" s="9">
        <v>18.7</v>
      </c>
    </row>
    <row r="2440" spans="1:6">
      <c r="A2440" t="s">
        <v>6</v>
      </c>
      <c r="B2440" t="s">
        <v>907</v>
      </c>
      <c r="C2440" s="1" t="s">
        <v>927</v>
      </c>
      <c r="D2440" s="7">
        <v>3475</v>
      </c>
      <c r="E2440" t="s">
        <v>10</v>
      </c>
      <c r="F2440" s="9">
        <v>20.2</v>
      </c>
    </row>
    <row r="2441" spans="1:6">
      <c r="A2441" t="s">
        <v>6</v>
      </c>
      <c r="B2441" t="s">
        <v>907</v>
      </c>
      <c r="C2441" s="1" t="s">
        <v>928</v>
      </c>
      <c r="D2441" s="7">
        <v>3479</v>
      </c>
      <c r="E2441" t="s">
        <v>10</v>
      </c>
      <c r="F2441" s="9">
        <v>21.3</v>
      </c>
    </row>
    <row r="2442" spans="1:6">
      <c r="A2442" t="s">
        <v>6</v>
      </c>
      <c r="B2442" t="s">
        <v>907</v>
      </c>
      <c r="C2442" s="1" t="s">
        <v>929</v>
      </c>
      <c r="D2442" s="7">
        <v>3483</v>
      </c>
      <c r="E2442" t="s">
        <v>10</v>
      </c>
      <c r="F2442" s="9">
        <v>19.8</v>
      </c>
    </row>
    <row r="2443" spans="1:6">
      <c r="A2443" t="s">
        <v>6</v>
      </c>
      <c r="B2443" t="s">
        <v>907</v>
      </c>
      <c r="C2443" s="1" t="s">
        <v>930</v>
      </c>
      <c r="D2443" s="7">
        <v>3487</v>
      </c>
      <c r="E2443" t="s">
        <v>10</v>
      </c>
      <c r="F2443" s="9">
        <v>19.899999999999999</v>
      </c>
    </row>
    <row r="2444" spans="1:6">
      <c r="A2444" t="s">
        <v>6</v>
      </c>
      <c r="B2444" t="s">
        <v>907</v>
      </c>
      <c r="C2444" s="1" t="s">
        <v>931</v>
      </c>
      <c r="D2444" s="7">
        <v>3491</v>
      </c>
      <c r="E2444" t="s">
        <v>10</v>
      </c>
      <c r="F2444" s="9">
        <v>19.8</v>
      </c>
    </row>
    <row r="2445" spans="1:6">
      <c r="A2445" t="s">
        <v>6</v>
      </c>
      <c r="B2445" t="s">
        <v>907</v>
      </c>
      <c r="C2445" s="1" t="s">
        <v>932</v>
      </c>
      <c r="D2445" s="7">
        <v>3603</v>
      </c>
      <c r="E2445" t="s">
        <v>10</v>
      </c>
      <c r="F2445" s="9">
        <v>18.2</v>
      </c>
    </row>
    <row r="2446" spans="1:6">
      <c r="A2446" t="s">
        <v>6</v>
      </c>
      <c r="B2446" t="s">
        <v>907</v>
      </c>
      <c r="C2446" s="1" t="s">
        <v>933</v>
      </c>
      <c r="D2446" s="7">
        <v>3639</v>
      </c>
      <c r="E2446" t="s">
        <v>10</v>
      </c>
      <c r="F2446" s="9">
        <v>20.7</v>
      </c>
    </row>
    <row r="2447" spans="1:6">
      <c r="A2447" t="s">
        <v>6</v>
      </c>
      <c r="B2447" t="s">
        <v>907</v>
      </c>
      <c r="C2447" s="1" t="s">
        <v>934</v>
      </c>
      <c r="D2447" s="7">
        <v>3659</v>
      </c>
      <c r="E2447" t="s">
        <v>10</v>
      </c>
      <c r="F2447" s="9">
        <v>21.2</v>
      </c>
    </row>
    <row r="2448" spans="1:6">
      <c r="A2448" t="s">
        <v>6</v>
      </c>
      <c r="B2448" t="s">
        <v>907</v>
      </c>
      <c r="C2448" s="1" t="s">
        <v>935</v>
      </c>
      <c r="D2448" s="7">
        <v>3663</v>
      </c>
      <c r="E2448" t="s">
        <v>10</v>
      </c>
      <c r="F2448" s="9">
        <v>18.899999999999999</v>
      </c>
    </row>
    <row r="2449" spans="1:6">
      <c r="A2449" t="s">
        <v>6</v>
      </c>
      <c r="B2449" t="s">
        <v>907</v>
      </c>
      <c r="C2449" s="1" t="s">
        <v>936</v>
      </c>
      <c r="D2449" s="7">
        <v>3691</v>
      </c>
      <c r="E2449" t="s">
        <v>10</v>
      </c>
      <c r="F2449" s="9">
        <v>19.2</v>
      </c>
    </row>
    <row r="2450" spans="1:6">
      <c r="A2450" t="s">
        <v>6</v>
      </c>
      <c r="B2450" t="s">
        <v>907</v>
      </c>
      <c r="C2450" s="1" t="s">
        <v>937</v>
      </c>
      <c r="D2450" s="7">
        <v>3695</v>
      </c>
      <c r="E2450" t="s">
        <v>10</v>
      </c>
      <c r="F2450" s="9">
        <v>21.5</v>
      </c>
    </row>
    <row r="2451" spans="1:6">
      <c r="A2451" t="s">
        <v>6</v>
      </c>
      <c r="B2451" t="s">
        <v>907</v>
      </c>
      <c r="C2451" s="1" t="s">
        <v>938</v>
      </c>
      <c r="D2451" s="7">
        <v>3699</v>
      </c>
      <c r="E2451" t="s">
        <v>10</v>
      </c>
      <c r="F2451" s="9">
        <v>20</v>
      </c>
    </row>
    <row r="2452" spans="1:6">
      <c r="A2452" t="s">
        <v>6</v>
      </c>
      <c r="B2452" t="s">
        <v>907</v>
      </c>
      <c r="C2452" s="1" t="s">
        <v>939</v>
      </c>
      <c r="D2452" s="7">
        <v>3703</v>
      </c>
      <c r="E2452" t="s">
        <v>10</v>
      </c>
      <c r="F2452" s="9">
        <v>20.2</v>
      </c>
    </row>
    <row r="2453" spans="1:6">
      <c r="A2453" t="s">
        <v>6</v>
      </c>
      <c r="B2453" t="s">
        <v>907</v>
      </c>
      <c r="C2453" s="1" t="s">
        <v>940</v>
      </c>
      <c r="D2453" s="7">
        <v>3707</v>
      </c>
      <c r="E2453" t="s">
        <v>10</v>
      </c>
      <c r="F2453" s="9">
        <v>20.7</v>
      </c>
    </row>
    <row r="2454" spans="1:6">
      <c r="A2454" t="s">
        <v>6</v>
      </c>
      <c r="B2454" t="s">
        <v>907</v>
      </c>
      <c r="C2454" s="1" t="s">
        <v>941</v>
      </c>
      <c r="D2454" s="7">
        <v>3711</v>
      </c>
      <c r="E2454" t="s">
        <v>10</v>
      </c>
      <c r="F2454" s="9">
        <v>20.6</v>
      </c>
    </row>
    <row r="2455" spans="1:6">
      <c r="A2455" t="s">
        <v>6</v>
      </c>
      <c r="B2455" t="s">
        <v>907</v>
      </c>
      <c r="C2455" s="1" t="s">
        <v>942</v>
      </c>
      <c r="D2455" s="7">
        <v>3735</v>
      </c>
      <c r="E2455" t="s">
        <v>10</v>
      </c>
      <c r="F2455" s="9">
        <v>19.600000000000001</v>
      </c>
    </row>
    <row r="2456" spans="1:6">
      <c r="A2456" t="s">
        <v>6</v>
      </c>
      <c r="B2456" t="s">
        <v>907</v>
      </c>
      <c r="C2456" s="1" t="s">
        <v>943</v>
      </c>
      <c r="D2456" s="7">
        <v>3923</v>
      </c>
      <c r="E2456" t="s">
        <v>10</v>
      </c>
      <c r="F2456" s="9">
        <v>19.8</v>
      </c>
    </row>
    <row r="2457" spans="1:6">
      <c r="A2457" t="s">
        <v>6</v>
      </c>
      <c r="B2457" t="s">
        <v>907</v>
      </c>
      <c r="C2457" s="1" t="s">
        <v>908</v>
      </c>
      <c r="D2457" s="7">
        <v>2969</v>
      </c>
      <c r="E2457" t="s">
        <v>11</v>
      </c>
      <c r="F2457" s="9">
        <v>18.8</v>
      </c>
    </row>
    <row r="2458" spans="1:6">
      <c r="A2458" t="s">
        <v>6</v>
      </c>
      <c r="B2458" t="s">
        <v>907</v>
      </c>
      <c r="C2458" s="1" t="s">
        <v>909</v>
      </c>
      <c r="D2458" s="7">
        <v>3037</v>
      </c>
      <c r="E2458" t="s">
        <v>11</v>
      </c>
      <c r="F2458" s="9">
        <v>17.5</v>
      </c>
    </row>
    <row r="2459" spans="1:6">
      <c r="A2459" t="s">
        <v>6</v>
      </c>
      <c r="B2459" t="s">
        <v>907</v>
      </c>
      <c r="C2459" s="1" t="s">
        <v>910</v>
      </c>
      <c r="D2459" s="7">
        <v>3229</v>
      </c>
      <c r="E2459" t="s">
        <v>11</v>
      </c>
      <c r="F2459" s="9">
        <v>17.7</v>
      </c>
    </row>
    <row r="2460" spans="1:6">
      <c r="A2460" t="s">
        <v>6</v>
      </c>
      <c r="B2460" t="s">
        <v>907</v>
      </c>
      <c r="C2460" s="1" t="s">
        <v>911</v>
      </c>
      <c r="D2460" s="7">
        <v>3237</v>
      </c>
      <c r="E2460" t="s">
        <v>11</v>
      </c>
      <c r="F2460" s="9">
        <v>16.2</v>
      </c>
    </row>
    <row r="2461" spans="1:6">
      <c r="A2461" t="s">
        <v>6</v>
      </c>
      <c r="B2461" t="s">
        <v>907</v>
      </c>
      <c r="C2461" s="1" t="s">
        <v>912</v>
      </c>
      <c r="D2461" s="7">
        <v>3241</v>
      </c>
      <c r="E2461" t="s">
        <v>11</v>
      </c>
      <c r="F2461" s="9">
        <v>16.600000000000001</v>
      </c>
    </row>
    <row r="2462" spans="1:6">
      <c r="A2462" t="s">
        <v>6</v>
      </c>
      <c r="B2462" t="s">
        <v>907</v>
      </c>
      <c r="C2462" s="1" t="s">
        <v>913</v>
      </c>
      <c r="D2462" s="7">
        <v>3245</v>
      </c>
      <c r="E2462" t="s">
        <v>11</v>
      </c>
      <c r="F2462" s="9">
        <v>17</v>
      </c>
    </row>
    <row r="2463" spans="1:6">
      <c r="A2463" t="s">
        <v>6</v>
      </c>
      <c r="B2463" t="s">
        <v>907</v>
      </c>
      <c r="C2463" s="1" t="s">
        <v>914</v>
      </c>
      <c r="D2463" s="7">
        <v>3249</v>
      </c>
      <c r="E2463" t="s">
        <v>11</v>
      </c>
      <c r="F2463" s="9">
        <v>17.399999999999999</v>
      </c>
    </row>
    <row r="2464" spans="1:6">
      <c r="A2464" t="s">
        <v>6</v>
      </c>
      <c r="B2464" t="s">
        <v>907</v>
      </c>
      <c r="C2464" s="1" t="s">
        <v>915</v>
      </c>
      <c r="D2464" s="7">
        <v>3253</v>
      </c>
      <c r="E2464" t="s">
        <v>11</v>
      </c>
      <c r="F2464" s="9">
        <v>17.2</v>
      </c>
    </row>
    <row r="2465" spans="1:6">
      <c r="A2465" t="s">
        <v>6</v>
      </c>
      <c r="B2465" t="s">
        <v>907</v>
      </c>
      <c r="C2465" s="1" t="s">
        <v>916</v>
      </c>
      <c r="D2465" s="7">
        <v>3257</v>
      </c>
      <c r="E2465" t="s">
        <v>11</v>
      </c>
      <c r="F2465" s="9">
        <v>17.3</v>
      </c>
    </row>
    <row r="2466" spans="1:6">
      <c r="A2466" t="s">
        <v>6</v>
      </c>
      <c r="B2466" t="s">
        <v>907</v>
      </c>
      <c r="C2466" s="1" t="s">
        <v>917</v>
      </c>
      <c r="D2466" s="7">
        <v>3261</v>
      </c>
      <c r="E2466" t="s">
        <v>11</v>
      </c>
      <c r="F2466" s="9">
        <v>17.399999999999999</v>
      </c>
    </row>
    <row r="2467" spans="1:6">
      <c r="A2467" t="s">
        <v>6</v>
      </c>
      <c r="B2467" t="s">
        <v>907</v>
      </c>
      <c r="C2467" s="1" t="s">
        <v>918</v>
      </c>
      <c r="D2467" s="7">
        <v>3265</v>
      </c>
      <c r="E2467" t="s">
        <v>11</v>
      </c>
      <c r="F2467" s="9">
        <v>16.2</v>
      </c>
    </row>
    <row r="2468" spans="1:6">
      <c r="A2468" t="s">
        <v>6</v>
      </c>
      <c r="B2468" t="s">
        <v>907</v>
      </c>
      <c r="C2468" s="1" t="s">
        <v>919</v>
      </c>
      <c r="D2468" s="7">
        <v>3269</v>
      </c>
      <c r="E2468" t="s">
        <v>11</v>
      </c>
      <c r="F2468" s="9">
        <v>17</v>
      </c>
    </row>
    <row r="2469" spans="1:6">
      <c r="A2469" t="s">
        <v>6</v>
      </c>
      <c r="B2469" t="s">
        <v>907</v>
      </c>
      <c r="C2469" s="1" t="s">
        <v>920</v>
      </c>
      <c r="D2469" s="7">
        <v>3337</v>
      </c>
      <c r="E2469" t="s">
        <v>11</v>
      </c>
      <c r="F2469" s="9">
        <v>17.100000000000001</v>
      </c>
    </row>
    <row r="2470" spans="1:6">
      <c r="A2470" t="s">
        <v>6</v>
      </c>
      <c r="B2470" t="s">
        <v>907</v>
      </c>
      <c r="C2470" s="1" t="s">
        <v>921</v>
      </c>
      <c r="D2470" s="7">
        <v>3349</v>
      </c>
      <c r="E2470" t="s">
        <v>11</v>
      </c>
      <c r="F2470" s="9">
        <v>15.8</v>
      </c>
    </row>
    <row r="2471" spans="1:6">
      <c r="A2471" t="s">
        <v>6</v>
      </c>
      <c r="B2471" t="s">
        <v>907</v>
      </c>
      <c r="C2471" s="1" t="s">
        <v>922</v>
      </c>
      <c r="D2471" s="7">
        <v>3357</v>
      </c>
      <c r="E2471" t="s">
        <v>11</v>
      </c>
      <c r="F2471" s="9">
        <v>17.7</v>
      </c>
    </row>
    <row r="2472" spans="1:6">
      <c r="A2472" t="s">
        <v>6</v>
      </c>
      <c r="B2472" t="s">
        <v>907</v>
      </c>
      <c r="C2472" s="1" t="s">
        <v>923</v>
      </c>
      <c r="D2472" s="7">
        <v>3361</v>
      </c>
      <c r="E2472" t="s">
        <v>11</v>
      </c>
      <c r="F2472" s="9">
        <v>17.899999999999999</v>
      </c>
    </row>
    <row r="2473" spans="1:6">
      <c r="A2473" t="s">
        <v>6</v>
      </c>
      <c r="B2473" t="s">
        <v>907</v>
      </c>
      <c r="C2473" s="1" t="s">
        <v>924</v>
      </c>
      <c r="D2473" s="7">
        <v>3377</v>
      </c>
      <c r="E2473" t="s">
        <v>11</v>
      </c>
      <c r="F2473" s="9">
        <v>16.8</v>
      </c>
    </row>
    <row r="2474" spans="1:6">
      <c r="A2474" t="s">
        <v>6</v>
      </c>
      <c r="B2474" t="s">
        <v>907</v>
      </c>
      <c r="C2474" s="1" t="s">
        <v>925</v>
      </c>
      <c r="D2474" s="7">
        <v>3381</v>
      </c>
      <c r="E2474" t="s">
        <v>11</v>
      </c>
      <c r="F2474" s="9">
        <v>15.8</v>
      </c>
    </row>
    <row r="2475" spans="1:6">
      <c r="A2475" t="s">
        <v>6</v>
      </c>
      <c r="B2475" t="s">
        <v>907</v>
      </c>
      <c r="C2475" s="1" t="s">
        <v>926</v>
      </c>
      <c r="D2475" s="7">
        <v>3385</v>
      </c>
      <c r="E2475" t="s">
        <v>11</v>
      </c>
      <c r="F2475" s="9">
        <v>17.100000000000001</v>
      </c>
    </row>
    <row r="2476" spans="1:6">
      <c r="A2476" t="s">
        <v>6</v>
      </c>
      <c r="B2476" t="s">
        <v>907</v>
      </c>
      <c r="C2476" s="1" t="s">
        <v>927</v>
      </c>
      <c r="D2476" s="7">
        <v>3473</v>
      </c>
      <c r="E2476" t="s">
        <v>11</v>
      </c>
      <c r="F2476" s="9">
        <v>16.600000000000001</v>
      </c>
    </row>
    <row r="2477" spans="1:6">
      <c r="A2477" t="s">
        <v>6</v>
      </c>
      <c r="B2477" t="s">
        <v>907</v>
      </c>
      <c r="C2477" s="1" t="s">
        <v>928</v>
      </c>
      <c r="D2477" s="7">
        <v>3477</v>
      </c>
      <c r="E2477" t="s">
        <v>11</v>
      </c>
      <c r="F2477" s="9">
        <v>18.600000000000001</v>
      </c>
    </row>
    <row r="2478" spans="1:6">
      <c r="A2478" t="s">
        <v>6</v>
      </c>
      <c r="B2478" t="s">
        <v>907</v>
      </c>
      <c r="C2478" s="1" t="s">
        <v>929</v>
      </c>
      <c r="D2478" s="7">
        <v>3481</v>
      </c>
      <c r="E2478" t="s">
        <v>11</v>
      </c>
      <c r="F2478" s="9">
        <v>16.899999999999999</v>
      </c>
    </row>
    <row r="2479" spans="1:6">
      <c r="A2479" t="s">
        <v>6</v>
      </c>
      <c r="B2479" t="s">
        <v>907</v>
      </c>
      <c r="C2479" s="1" t="s">
        <v>930</v>
      </c>
      <c r="D2479" s="7">
        <v>3485</v>
      </c>
      <c r="E2479" t="s">
        <v>11</v>
      </c>
      <c r="F2479" s="9">
        <v>16.7</v>
      </c>
    </row>
    <row r="2480" spans="1:6">
      <c r="A2480" t="s">
        <v>6</v>
      </c>
      <c r="B2480" t="s">
        <v>907</v>
      </c>
      <c r="C2480" s="1" t="s">
        <v>931</v>
      </c>
      <c r="D2480" s="7">
        <v>3489</v>
      </c>
      <c r="E2480" t="s">
        <v>11</v>
      </c>
      <c r="F2480" s="9">
        <v>17.100000000000001</v>
      </c>
    </row>
    <row r="2481" spans="1:6">
      <c r="A2481" t="s">
        <v>6</v>
      </c>
      <c r="B2481" t="s">
        <v>907</v>
      </c>
      <c r="C2481" s="1" t="s">
        <v>932</v>
      </c>
      <c r="D2481" s="7">
        <v>3601</v>
      </c>
      <c r="E2481" t="s">
        <v>11</v>
      </c>
      <c r="F2481" s="9">
        <v>16.8</v>
      </c>
    </row>
    <row r="2482" spans="1:6">
      <c r="A2482" t="s">
        <v>6</v>
      </c>
      <c r="B2482" t="s">
        <v>907</v>
      </c>
      <c r="C2482" s="1" t="s">
        <v>933</v>
      </c>
      <c r="D2482" s="7">
        <v>3637</v>
      </c>
      <c r="E2482" t="s">
        <v>11</v>
      </c>
      <c r="F2482" s="9">
        <v>17.2</v>
      </c>
    </row>
    <row r="2483" spans="1:6">
      <c r="A2483" t="s">
        <v>6</v>
      </c>
      <c r="B2483" t="s">
        <v>907</v>
      </c>
      <c r="C2483" s="1" t="s">
        <v>934</v>
      </c>
      <c r="D2483" s="7">
        <v>3657</v>
      </c>
      <c r="E2483" t="s">
        <v>11</v>
      </c>
      <c r="F2483" s="9">
        <v>18.2</v>
      </c>
    </row>
    <row r="2484" spans="1:6">
      <c r="A2484" t="s">
        <v>6</v>
      </c>
      <c r="B2484" t="s">
        <v>907</v>
      </c>
      <c r="C2484" s="1" t="s">
        <v>935</v>
      </c>
      <c r="D2484" s="7">
        <v>3661</v>
      </c>
      <c r="E2484" t="s">
        <v>11</v>
      </c>
      <c r="F2484" s="9">
        <v>16.899999999999999</v>
      </c>
    </row>
    <row r="2485" spans="1:6">
      <c r="A2485" t="s">
        <v>6</v>
      </c>
      <c r="B2485" t="s">
        <v>907</v>
      </c>
      <c r="C2485" s="1" t="s">
        <v>936</v>
      </c>
      <c r="D2485" s="7">
        <v>3689</v>
      </c>
      <c r="E2485" t="s">
        <v>11</v>
      </c>
      <c r="F2485" s="9">
        <v>16.5</v>
      </c>
    </row>
    <row r="2486" spans="1:6">
      <c r="A2486" t="s">
        <v>6</v>
      </c>
      <c r="B2486" t="s">
        <v>907</v>
      </c>
      <c r="C2486" s="1" t="s">
        <v>937</v>
      </c>
      <c r="D2486" s="7">
        <v>3693</v>
      </c>
      <c r="E2486" t="s">
        <v>11</v>
      </c>
      <c r="F2486" s="9">
        <v>18.8</v>
      </c>
    </row>
    <row r="2487" spans="1:6">
      <c r="A2487" t="s">
        <v>6</v>
      </c>
      <c r="B2487" t="s">
        <v>907</v>
      </c>
      <c r="C2487" s="1" t="s">
        <v>938</v>
      </c>
      <c r="D2487" s="7">
        <v>3697</v>
      </c>
      <c r="E2487" t="s">
        <v>11</v>
      </c>
      <c r="F2487" s="9">
        <v>17.100000000000001</v>
      </c>
    </row>
    <row r="2488" spans="1:6">
      <c r="A2488" t="s">
        <v>6</v>
      </c>
      <c r="B2488" t="s">
        <v>907</v>
      </c>
      <c r="C2488" s="1" t="s">
        <v>939</v>
      </c>
      <c r="D2488" s="7">
        <v>3701</v>
      </c>
      <c r="E2488" t="s">
        <v>11</v>
      </c>
      <c r="F2488" s="9">
        <v>17.5</v>
      </c>
    </row>
    <row r="2489" spans="1:6">
      <c r="A2489" t="s">
        <v>6</v>
      </c>
      <c r="B2489" t="s">
        <v>907</v>
      </c>
      <c r="C2489" s="1" t="s">
        <v>940</v>
      </c>
      <c r="D2489" s="7">
        <v>3705</v>
      </c>
      <c r="E2489" t="s">
        <v>11</v>
      </c>
      <c r="F2489" s="9">
        <v>17.899999999999999</v>
      </c>
    </row>
    <row r="2490" spans="1:6">
      <c r="A2490" t="s">
        <v>6</v>
      </c>
      <c r="B2490" t="s">
        <v>907</v>
      </c>
      <c r="C2490" s="1" t="s">
        <v>941</v>
      </c>
      <c r="D2490" s="7">
        <v>3709</v>
      </c>
      <c r="E2490" t="s">
        <v>11</v>
      </c>
      <c r="F2490" s="9">
        <v>17.2</v>
      </c>
    </row>
    <row r="2491" spans="1:6">
      <c r="A2491" t="s">
        <v>6</v>
      </c>
      <c r="B2491" t="s">
        <v>907</v>
      </c>
      <c r="C2491" s="1" t="s">
        <v>942</v>
      </c>
      <c r="D2491" s="7">
        <v>3733</v>
      </c>
      <c r="E2491" t="s">
        <v>11</v>
      </c>
      <c r="F2491" s="9">
        <v>16.3</v>
      </c>
    </row>
    <row r="2492" spans="1:6">
      <c r="A2492" t="s">
        <v>6</v>
      </c>
      <c r="B2492" t="s">
        <v>907</v>
      </c>
      <c r="C2492" s="1" t="s">
        <v>943</v>
      </c>
      <c r="D2492" s="7">
        <v>3921</v>
      </c>
      <c r="E2492" t="s">
        <v>11</v>
      </c>
      <c r="F2492" s="9">
        <v>17</v>
      </c>
    </row>
    <row r="2493" spans="1:6">
      <c r="A2493" t="s">
        <v>6</v>
      </c>
      <c r="B2493" t="s">
        <v>907</v>
      </c>
      <c r="C2493" s="1" t="s">
        <v>944</v>
      </c>
      <c r="D2493" s="7">
        <v>5595</v>
      </c>
      <c r="E2493" t="s">
        <v>12</v>
      </c>
      <c r="F2493" s="9">
        <v>5.39</v>
      </c>
    </row>
    <row r="2494" spans="1:6">
      <c r="A2494" t="s">
        <v>6</v>
      </c>
      <c r="B2494" t="s">
        <v>907</v>
      </c>
      <c r="C2494" s="1" t="s">
        <v>945</v>
      </c>
      <c r="D2494" s="7">
        <v>5539</v>
      </c>
      <c r="E2494" t="s">
        <v>12</v>
      </c>
      <c r="F2494" s="9">
        <v>5.69</v>
      </c>
    </row>
    <row r="2495" spans="1:6">
      <c r="A2495" t="s">
        <v>6</v>
      </c>
      <c r="B2495" t="s">
        <v>907</v>
      </c>
      <c r="C2495" s="1" t="s">
        <v>946</v>
      </c>
      <c r="D2495" s="7">
        <v>5479</v>
      </c>
      <c r="E2495" t="s">
        <v>12</v>
      </c>
      <c r="F2495" s="9">
        <v>5.37</v>
      </c>
    </row>
    <row r="2496" spans="1:6">
      <c r="A2496" t="s">
        <v>6</v>
      </c>
      <c r="B2496" t="s">
        <v>907</v>
      </c>
      <c r="C2496" s="1" t="s">
        <v>947</v>
      </c>
      <c r="D2496" s="7">
        <v>5406</v>
      </c>
      <c r="E2496" t="s">
        <v>12</v>
      </c>
      <c r="F2496" s="9">
        <v>5.75</v>
      </c>
    </row>
    <row r="2497" spans="1:6">
      <c r="A2497" t="s">
        <v>6</v>
      </c>
      <c r="B2497" t="s">
        <v>907</v>
      </c>
      <c r="C2497" s="1" t="s">
        <v>948</v>
      </c>
      <c r="D2497" s="7">
        <v>5410</v>
      </c>
      <c r="E2497" t="s">
        <v>12</v>
      </c>
      <c r="F2497" s="9">
        <v>5.27</v>
      </c>
    </row>
    <row r="2498" spans="1:6">
      <c r="A2498" t="s">
        <v>6</v>
      </c>
      <c r="B2498" t="s">
        <v>907</v>
      </c>
      <c r="C2498" s="1" t="s">
        <v>949</v>
      </c>
      <c r="D2498" s="7">
        <v>5692</v>
      </c>
      <c r="E2498" t="s">
        <v>12</v>
      </c>
      <c r="F2498" s="9">
        <v>5.42</v>
      </c>
    </row>
    <row r="2499" spans="1:6">
      <c r="A2499" t="s">
        <v>6</v>
      </c>
      <c r="B2499" t="s">
        <v>907</v>
      </c>
      <c r="C2499" s="1" t="s">
        <v>950</v>
      </c>
      <c r="D2499" s="7">
        <v>5776</v>
      </c>
      <c r="E2499" t="s">
        <v>12</v>
      </c>
      <c r="F2499" s="9">
        <v>5.32</v>
      </c>
    </row>
    <row r="2500" spans="1:6">
      <c r="A2500" t="s">
        <v>6</v>
      </c>
      <c r="B2500" t="s">
        <v>907</v>
      </c>
      <c r="C2500" s="1" t="s">
        <v>951</v>
      </c>
      <c r="D2500" s="7">
        <v>5780</v>
      </c>
      <c r="E2500" t="s">
        <v>12</v>
      </c>
      <c r="F2500" s="9">
        <v>5.7</v>
      </c>
    </row>
    <row r="2501" spans="1:6">
      <c r="A2501" t="s">
        <v>6</v>
      </c>
      <c r="B2501" t="s">
        <v>907</v>
      </c>
      <c r="C2501" s="1" t="s">
        <v>952</v>
      </c>
      <c r="D2501" s="7">
        <v>5784</v>
      </c>
      <c r="E2501" t="s">
        <v>12</v>
      </c>
      <c r="F2501" s="9">
        <v>5.01</v>
      </c>
    </row>
    <row r="2502" spans="1:6">
      <c r="A2502" t="s">
        <v>6</v>
      </c>
      <c r="B2502" t="s">
        <v>907</v>
      </c>
      <c r="C2502" s="1" t="s">
        <v>953</v>
      </c>
      <c r="D2502" s="7">
        <v>5788</v>
      </c>
      <c r="E2502" t="s">
        <v>12</v>
      </c>
      <c r="F2502" s="9">
        <v>5.66</v>
      </c>
    </row>
    <row r="2503" spans="1:6">
      <c r="A2503" t="s">
        <v>18</v>
      </c>
      <c r="B2503" s="2" t="s">
        <v>954</v>
      </c>
      <c r="C2503" s="3" t="s">
        <v>955</v>
      </c>
      <c r="D2503" s="7">
        <v>4731</v>
      </c>
      <c r="E2503" t="s">
        <v>9</v>
      </c>
      <c r="F2503" s="10">
        <v>1.02</v>
      </c>
    </row>
    <row r="2504" spans="1:6">
      <c r="A2504" t="s">
        <v>18</v>
      </c>
      <c r="B2504" s="2" t="s">
        <v>954</v>
      </c>
      <c r="C2504" s="3" t="s">
        <v>955</v>
      </c>
      <c r="D2504" s="7">
        <v>4729</v>
      </c>
      <c r="E2504" t="s">
        <v>11</v>
      </c>
      <c r="F2504" s="10">
        <v>3.73</v>
      </c>
    </row>
    <row r="2505" spans="1:6">
      <c r="A2505" t="s">
        <v>18</v>
      </c>
      <c r="B2505" s="2" t="s">
        <v>954</v>
      </c>
      <c r="C2505" s="3" t="s">
        <v>955</v>
      </c>
      <c r="D2505" s="7">
        <v>4730</v>
      </c>
      <c r="E2505" t="s">
        <v>12</v>
      </c>
      <c r="F2505" s="10">
        <v>1.33</v>
      </c>
    </row>
    <row r="2506" spans="1:6">
      <c r="A2506" t="s">
        <v>956</v>
      </c>
      <c r="B2506" s="2" t="s">
        <v>957</v>
      </c>
      <c r="C2506" s="3" t="s">
        <v>958</v>
      </c>
      <c r="D2506" s="7">
        <v>4630</v>
      </c>
      <c r="E2506" t="s">
        <v>9</v>
      </c>
      <c r="F2506" s="10">
        <v>1.75</v>
      </c>
    </row>
    <row r="2507" spans="1:6">
      <c r="A2507" t="s">
        <v>956</v>
      </c>
      <c r="B2507" s="2" t="s">
        <v>957</v>
      </c>
      <c r="C2507" s="3" t="s">
        <v>958</v>
      </c>
      <c r="D2507" s="7">
        <v>4631</v>
      </c>
      <c r="E2507" t="s">
        <v>10</v>
      </c>
      <c r="F2507" s="10">
        <f>3.74+1.35</f>
        <v>5.09</v>
      </c>
    </row>
    <row r="2508" spans="1:6">
      <c r="A2508" t="s">
        <v>956</v>
      </c>
      <c r="B2508" s="2" t="s">
        <v>957</v>
      </c>
      <c r="C2508" s="3" t="s">
        <v>958</v>
      </c>
      <c r="D2508" s="7">
        <v>4628</v>
      </c>
      <c r="E2508" t="s">
        <v>11</v>
      </c>
      <c r="F2508" s="10">
        <v>4.97</v>
      </c>
    </row>
    <row r="2509" spans="1:6">
      <c r="A2509" t="s">
        <v>956</v>
      </c>
      <c r="B2509" s="2" t="s">
        <v>957</v>
      </c>
      <c r="C2509" s="3" t="s">
        <v>958</v>
      </c>
      <c r="D2509" s="7">
        <v>4629</v>
      </c>
      <c r="E2509" t="s">
        <v>12</v>
      </c>
      <c r="F2509" s="10">
        <v>1.58</v>
      </c>
    </row>
    <row r="2510" spans="1:6">
      <c r="A2510" t="s">
        <v>956</v>
      </c>
      <c r="B2510" s="2" t="s">
        <v>959</v>
      </c>
      <c r="C2510" s="3" t="s">
        <v>960</v>
      </c>
      <c r="D2510" s="7">
        <v>4595</v>
      </c>
      <c r="E2510" t="s">
        <v>9</v>
      </c>
      <c r="F2510" s="10">
        <v>3.84</v>
      </c>
    </row>
    <row r="2511" spans="1:6">
      <c r="A2511" t="s">
        <v>956</v>
      </c>
      <c r="B2511" s="2" t="s">
        <v>959</v>
      </c>
      <c r="C2511" s="3" t="s">
        <v>960</v>
      </c>
      <c r="D2511" s="7">
        <v>4596</v>
      </c>
      <c r="E2511" t="s">
        <v>10</v>
      </c>
      <c r="F2511" s="10">
        <v>5.74</v>
      </c>
    </row>
    <row r="2512" spans="1:6">
      <c r="A2512" t="s">
        <v>956</v>
      </c>
      <c r="B2512" s="2" t="s">
        <v>959</v>
      </c>
      <c r="C2512" s="3" t="s">
        <v>960</v>
      </c>
      <c r="D2512" s="7">
        <v>4593</v>
      </c>
      <c r="E2512" t="s">
        <v>11</v>
      </c>
      <c r="F2512" s="10">
        <v>8.93</v>
      </c>
    </row>
    <row r="2513" spans="1:6">
      <c r="A2513" t="s">
        <v>956</v>
      </c>
      <c r="B2513" s="2" t="s">
        <v>959</v>
      </c>
      <c r="C2513" s="3" t="s">
        <v>960</v>
      </c>
      <c r="D2513" s="7">
        <v>4594</v>
      </c>
      <c r="E2513" t="s">
        <v>12</v>
      </c>
      <c r="F2513" s="10">
        <v>2.79</v>
      </c>
    </row>
    <row r="2514" spans="1:6">
      <c r="A2514" t="s">
        <v>956</v>
      </c>
      <c r="B2514" s="2" t="s">
        <v>961</v>
      </c>
      <c r="C2514" s="3" t="s">
        <v>962</v>
      </c>
      <c r="D2514" s="7">
        <v>4706</v>
      </c>
      <c r="E2514" t="s">
        <v>9</v>
      </c>
      <c r="F2514" s="10">
        <v>2.92</v>
      </c>
    </row>
    <row r="2515" spans="1:6">
      <c r="A2515" t="s">
        <v>956</v>
      </c>
      <c r="B2515" s="2" t="s">
        <v>961</v>
      </c>
      <c r="C2515" s="3" t="s">
        <v>962</v>
      </c>
      <c r="D2515" s="7">
        <v>4707</v>
      </c>
      <c r="E2515" t="s">
        <v>10</v>
      </c>
      <c r="F2515" s="10">
        <f>1.64+3.62</f>
        <v>5.26</v>
      </c>
    </row>
    <row r="2516" spans="1:6">
      <c r="A2516" t="s">
        <v>956</v>
      </c>
      <c r="B2516" s="2" t="s">
        <v>961</v>
      </c>
      <c r="C2516" s="3" t="s">
        <v>962</v>
      </c>
      <c r="D2516" s="7">
        <v>4704</v>
      </c>
      <c r="E2516" t="s">
        <v>11</v>
      </c>
      <c r="F2516" s="10">
        <v>7.59</v>
      </c>
    </row>
    <row r="2517" spans="1:6">
      <c r="A2517" t="s">
        <v>956</v>
      </c>
      <c r="B2517" s="2" t="s">
        <v>961</v>
      </c>
      <c r="C2517" s="3" t="s">
        <v>962</v>
      </c>
      <c r="D2517" s="7">
        <v>4705</v>
      </c>
      <c r="E2517" t="s">
        <v>12</v>
      </c>
      <c r="F2517" s="10">
        <v>2.8</v>
      </c>
    </row>
    <row r="2518" spans="1:6">
      <c r="A2518" t="s">
        <v>956</v>
      </c>
      <c r="B2518" s="2" t="s">
        <v>963</v>
      </c>
      <c r="C2518" s="3" t="s">
        <v>964</v>
      </c>
      <c r="D2518" s="7">
        <v>4711</v>
      </c>
      <c r="E2518" t="s">
        <v>9</v>
      </c>
      <c r="F2518" s="10">
        <v>2.99</v>
      </c>
    </row>
    <row r="2519" spans="1:6">
      <c r="A2519" t="s">
        <v>956</v>
      </c>
      <c r="B2519" s="2" t="s">
        <v>963</v>
      </c>
      <c r="C2519" s="3" t="s">
        <v>964</v>
      </c>
      <c r="D2519" s="7">
        <v>4712</v>
      </c>
      <c r="E2519" t="s">
        <v>10</v>
      </c>
      <c r="F2519" s="10">
        <f>1.31+2.82</f>
        <v>4.13</v>
      </c>
    </row>
    <row r="2520" spans="1:6">
      <c r="A2520" t="s">
        <v>956</v>
      </c>
      <c r="B2520" s="2" t="s">
        <v>963</v>
      </c>
      <c r="C2520" s="3" t="s">
        <v>964</v>
      </c>
      <c r="D2520" s="7">
        <v>4709</v>
      </c>
      <c r="E2520" t="s">
        <v>11</v>
      </c>
      <c r="F2520" s="10">
        <v>7.21</v>
      </c>
    </row>
    <row r="2521" spans="1:6">
      <c r="A2521" t="s">
        <v>956</v>
      </c>
      <c r="B2521" s="2" t="s">
        <v>963</v>
      </c>
      <c r="C2521" s="3" t="s">
        <v>964</v>
      </c>
      <c r="D2521" s="7">
        <v>4710</v>
      </c>
      <c r="E2521" t="s">
        <v>12</v>
      </c>
      <c r="F2521" s="10">
        <v>2.39</v>
      </c>
    </row>
    <row r="2522" spans="1:6">
      <c r="A2522" t="s">
        <v>965</v>
      </c>
      <c r="B2522" s="2" t="s">
        <v>966</v>
      </c>
      <c r="C2522" s="3" t="s">
        <v>967</v>
      </c>
      <c r="D2522" s="7">
        <v>4978</v>
      </c>
      <c r="E2522" t="s">
        <v>9</v>
      </c>
      <c r="F2522" s="10">
        <v>2.31</v>
      </c>
    </row>
    <row r="2523" spans="1:6">
      <c r="A2523" t="s">
        <v>965</v>
      </c>
      <c r="B2523" s="2" t="s">
        <v>966</v>
      </c>
      <c r="C2523" s="3" t="s">
        <v>968</v>
      </c>
      <c r="D2523" s="7">
        <v>4983</v>
      </c>
      <c r="E2523" t="s">
        <v>9</v>
      </c>
      <c r="F2523" s="10">
        <v>2.2999999999999998</v>
      </c>
    </row>
    <row r="2524" spans="1:6">
      <c r="A2524" t="s">
        <v>965</v>
      </c>
      <c r="B2524" s="2" t="s">
        <v>966</v>
      </c>
      <c r="C2524" s="3" t="s">
        <v>969</v>
      </c>
      <c r="D2524" s="7">
        <v>4988</v>
      </c>
      <c r="E2524" t="s">
        <v>9</v>
      </c>
      <c r="F2524" s="10">
        <v>2.38</v>
      </c>
    </row>
    <row r="2525" spans="1:6">
      <c r="A2525" t="s">
        <v>965</v>
      </c>
      <c r="B2525" s="2" t="s">
        <v>966</v>
      </c>
      <c r="C2525" s="3" t="s">
        <v>970</v>
      </c>
      <c r="D2525" s="7">
        <v>4675</v>
      </c>
      <c r="E2525" t="s">
        <v>9</v>
      </c>
      <c r="F2525" s="10">
        <v>2.48</v>
      </c>
    </row>
    <row r="2526" spans="1:6">
      <c r="A2526" t="s">
        <v>965</v>
      </c>
      <c r="B2526" s="2" t="s">
        <v>966</v>
      </c>
      <c r="C2526" s="3" t="s">
        <v>971</v>
      </c>
      <c r="D2526" s="7">
        <v>4680</v>
      </c>
      <c r="E2526" t="s">
        <v>9</v>
      </c>
      <c r="F2526" s="10">
        <v>2.38</v>
      </c>
    </row>
    <row r="2527" spans="1:6">
      <c r="A2527" t="s">
        <v>965</v>
      </c>
      <c r="B2527" s="2" t="s">
        <v>966</v>
      </c>
      <c r="C2527" s="3" t="s">
        <v>972</v>
      </c>
      <c r="D2527" s="7">
        <v>4685</v>
      </c>
      <c r="E2527" t="s">
        <v>9</v>
      </c>
      <c r="F2527" s="10">
        <v>1.86</v>
      </c>
    </row>
    <row r="2528" spans="1:6">
      <c r="A2528" t="s">
        <v>965</v>
      </c>
      <c r="B2528" s="2" t="s">
        <v>966</v>
      </c>
      <c r="C2528" s="3" t="s">
        <v>967</v>
      </c>
      <c r="D2528" s="7">
        <v>4979</v>
      </c>
      <c r="E2528" t="s">
        <v>10</v>
      </c>
      <c r="F2528" s="10">
        <f>2.17+3.13</f>
        <v>5.3</v>
      </c>
    </row>
    <row r="2529" spans="1:6">
      <c r="A2529" t="s">
        <v>965</v>
      </c>
      <c r="B2529" s="2" t="s">
        <v>966</v>
      </c>
      <c r="C2529" s="3" t="s">
        <v>968</v>
      </c>
      <c r="D2529" s="7">
        <v>4984</v>
      </c>
      <c r="E2529" t="s">
        <v>10</v>
      </c>
      <c r="F2529" s="10">
        <f>1.69+2.63</f>
        <v>4.32</v>
      </c>
    </row>
    <row r="2530" spans="1:6">
      <c r="A2530" t="s">
        <v>965</v>
      </c>
      <c r="B2530" s="2" t="s">
        <v>966</v>
      </c>
      <c r="C2530" s="3" t="s">
        <v>969</v>
      </c>
      <c r="D2530" s="7">
        <v>4989</v>
      </c>
      <c r="E2530" t="s">
        <v>10</v>
      </c>
      <c r="F2530" s="10">
        <f>3.4+2.03+1.46</f>
        <v>6.89</v>
      </c>
    </row>
    <row r="2531" spans="1:6">
      <c r="A2531" t="s">
        <v>965</v>
      </c>
      <c r="B2531" s="2" t="s">
        <v>966</v>
      </c>
      <c r="C2531" s="3" t="s">
        <v>970</v>
      </c>
      <c r="D2531" s="7">
        <v>4676</v>
      </c>
      <c r="E2531" t="s">
        <v>10</v>
      </c>
      <c r="F2531" s="10">
        <f>2.54+3.53+1.35</f>
        <v>7.42</v>
      </c>
    </row>
    <row r="2532" spans="1:6">
      <c r="A2532" t="s">
        <v>965</v>
      </c>
      <c r="B2532" s="2" t="s">
        <v>966</v>
      </c>
      <c r="C2532" s="3" t="s">
        <v>971</v>
      </c>
      <c r="D2532" s="7">
        <v>4681</v>
      </c>
      <c r="E2532" t="s">
        <v>10</v>
      </c>
      <c r="F2532" s="10">
        <f>2.5+4.79+1.5</f>
        <v>8.7899999999999991</v>
      </c>
    </row>
    <row r="2533" spans="1:6">
      <c r="A2533" t="s">
        <v>965</v>
      </c>
      <c r="B2533" s="2" t="s">
        <v>966</v>
      </c>
      <c r="C2533" s="3" t="s">
        <v>972</v>
      </c>
      <c r="D2533" s="7">
        <v>4686</v>
      </c>
      <c r="E2533" t="s">
        <v>10</v>
      </c>
      <c r="F2533" s="10">
        <f>1.61+1.95+1.15</f>
        <v>4.71</v>
      </c>
    </row>
    <row r="2534" spans="1:6">
      <c r="A2534" t="s">
        <v>965</v>
      </c>
      <c r="B2534" s="2" t="s">
        <v>966</v>
      </c>
      <c r="C2534" s="3" t="s">
        <v>967</v>
      </c>
      <c r="D2534" s="7">
        <v>4981</v>
      </c>
      <c r="E2534" t="s">
        <v>11</v>
      </c>
      <c r="F2534" s="10">
        <v>8.92</v>
      </c>
    </row>
    <row r="2535" spans="1:6">
      <c r="A2535" t="s">
        <v>965</v>
      </c>
      <c r="B2535" s="2" t="s">
        <v>966</v>
      </c>
      <c r="C2535" s="3" t="s">
        <v>968</v>
      </c>
      <c r="D2535" s="7">
        <v>4986</v>
      </c>
      <c r="E2535" t="s">
        <v>11</v>
      </c>
      <c r="F2535" s="10">
        <v>8.14</v>
      </c>
    </row>
    <row r="2536" spans="1:6">
      <c r="A2536" t="s">
        <v>965</v>
      </c>
      <c r="B2536" s="2" t="s">
        <v>966</v>
      </c>
      <c r="C2536" s="3" t="s">
        <v>969</v>
      </c>
      <c r="D2536" s="7">
        <v>4991</v>
      </c>
      <c r="E2536" t="s">
        <v>11</v>
      </c>
      <c r="F2536" s="10">
        <v>8.59</v>
      </c>
    </row>
    <row r="2537" spans="1:6">
      <c r="A2537" t="s">
        <v>965</v>
      </c>
      <c r="B2537" s="2" t="s">
        <v>966</v>
      </c>
      <c r="C2537" s="3" t="s">
        <v>970</v>
      </c>
      <c r="D2537" s="7">
        <v>4673</v>
      </c>
      <c r="E2537" t="s">
        <v>11</v>
      </c>
      <c r="F2537" s="10">
        <v>9.1300000000000008</v>
      </c>
    </row>
    <row r="2538" spans="1:6">
      <c r="A2538" t="s">
        <v>965</v>
      </c>
      <c r="B2538" s="2" t="s">
        <v>966</v>
      </c>
      <c r="C2538" s="3" t="s">
        <v>971</v>
      </c>
      <c r="D2538" s="7">
        <v>4678</v>
      </c>
      <c r="E2538" t="s">
        <v>11</v>
      </c>
      <c r="F2538" s="10">
        <v>8.81</v>
      </c>
    </row>
    <row r="2539" spans="1:6">
      <c r="A2539" t="s">
        <v>965</v>
      </c>
      <c r="B2539" s="2" t="s">
        <v>966</v>
      </c>
      <c r="C2539" s="3" t="s">
        <v>972</v>
      </c>
      <c r="D2539" s="7">
        <v>4683</v>
      </c>
      <c r="E2539" t="s">
        <v>11</v>
      </c>
      <c r="F2539" s="10">
        <v>7.1</v>
      </c>
    </row>
    <row r="2540" spans="1:6">
      <c r="A2540" t="s">
        <v>965</v>
      </c>
      <c r="B2540" s="2" t="s">
        <v>966</v>
      </c>
      <c r="C2540" s="3" t="s">
        <v>967</v>
      </c>
      <c r="D2540" s="7">
        <v>4982</v>
      </c>
      <c r="E2540" t="s">
        <v>12</v>
      </c>
      <c r="F2540" s="10">
        <v>2.96</v>
      </c>
    </row>
    <row r="2541" spans="1:6">
      <c r="A2541" t="s">
        <v>965</v>
      </c>
      <c r="B2541" s="2" t="s">
        <v>966</v>
      </c>
      <c r="C2541" s="3" t="s">
        <v>968</v>
      </c>
      <c r="D2541" s="7">
        <v>4987</v>
      </c>
      <c r="E2541" t="s">
        <v>12</v>
      </c>
      <c r="F2541" s="10">
        <v>2.82</v>
      </c>
    </row>
    <row r="2542" spans="1:6">
      <c r="A2542" t="s">
        <v>965</v>
      </c>
      <c r="B2542" s="2" t="s">
        <v>966</v>
      </c>
      <c r="C2542" s="3" t="s">
        <v>969</v>
      </c>
      <c r="D2542" s="7">
        <v>4992</v>
      </c>
      <c r="E2542" t="s">
        <v>12</v>
      </c>
      <c r="F2542" s="10">
        <v>2.8</v>
      </c>
    </row>
    <row r="2543" spans="1:6">
      <c r="A2543" t="s">
        <v>965</v>
      </c>
      <c r="B2543" s="2" t="s">
        <v>966</v>
      </c>
      <c r="C2543" s="3" t="s">
        <v>970</v>
      </c>
      <c r="D2543" s="7">
        <v>4674</v>
      </c>
      <c r="E2543" t="s">
        <v>12</v>
      </c>
      <c r="F2543" s="10">
        <v>2.97</v>
      </c>
    </row>
    <row r="2544" spans="1:6">
      <c r="A2544" t="s">
        <v>965</v>
      </c>
      <c r="B2544" s="2" t="s">
        <v>966</v>
      </c>
      <c r="C2544" s="3" t="s">
        <v>971</v>
      </c>
      <c r="D2544" s="7">
        <v>4679</v>
      </c>
      <c r="E2544" t="s">
        <v>12</v>
      </c>
      <c r="F2544" s="10">
        <v>3.01</v>
      </c>
    </row>
    <row r="2545" spans="1:6">
      <c r="A2545" t="s">
        <v>965</v>
      </c>
      <c r="B2545" s="2" t="s">
        <v>966</v>
      </c>
      <c r="C2545" s="3" t="s">
        <v>972</v>
      </c>
      <c r="D2545" s="7">
        <v>4684</v>
      </c>
      <c r="E2545" t="s">
        <v>12</v>
      </c>
      <c r="F2545" s="10">
        <v>2.4900000000000002</v>
      </c>
    </row>
    <row r="2546" spans="1:6">
      <c r="A2546" t="s">
        <v>965</v>
      </c>
      <c r="B2546" s="2" t="s">
        <v>973</v>
      </c>
      <c r="C2546" s="3" t="s">
        <v>974</v>
      </c>
      <c r="D2546" s="7">
        <v>4670</v>
      </c>
      <c r="E2546" t="s">
        <v>9</v>
      </c>
      <c r="F2546" s="10">
        <v>2.2400000000000002</v>
      </c>
    </row>
    <row r="2547" spans="1:6">
      <c r="A2547" t="s">
        <v>965</v>
      </c>
      <c r="B2547" s="2" t="s">
        <v>973</v>
      </c>
      <c r="C2547" s="3" t="s">
        <v>975</v>
      </c>
      <c r="D2547" s="7">
        <v>5003</v>
      </c>
      <c r="E2547" t="s">
        <v>9</v>
      </c>
      <c r="F2547" s="10">
        <v>2.68</v>
      </c>
    </row>
    <row r="2548" spans="1:6">
      <c r="A2548" t="s">
        <v>965</v>
      </c>
      <c r="B2548" s="2" t="s">
        <v>973</v>
      </c>
      <c r="C2548" s="3" t="s">
        <v>976</v>
      </c>
      <c r="D2548" s="7">
        <v>5008</v>
      </c>
      <c r="E2548" t="s">
        <v>9</v>
      </c>
      <c r="F2548" s="10">
        <v>2.73</v>
      </c>
    </row>
    <row r="2549" spans="1:6">
      <c r="A2549" t="s">
        <v>965</v>
      </c>
      <c r="B2549" s="2" t="s">
        <v>973</v>
      </c>
      <c r="C2549" s="5" t="s">
        <v>977</v>
      </c>
      <c r="D2549" s="7">
        <v>5048</v>
      </c>
      <c r="E2549" t="s">
        <v>9</v>
      </c>
      <c r="F2549" s="10">
        <v>2.84</v>
      </c>
    </row>
    <row r="2550" spans="1:6">
      <c r="A2550" t="s">
        <v>965</v>
      </c>
      <c r="B2550" s="2" t="s">
        <v>973</v>
      </c>
      <c r="C2550" s="3" t="s">
        <v>978</v>
      </c>
      <c r="D2550" s="7">
        <v>5033</v>
      </c>
      <c r="E2550" t="s">
        <v>9</v>
      </c>
      <c r="F2550" s="10">
        <v>2.95</v>
      </c>
    </row>
    <row r="2551" spans="1:6">
      <c r="A2551" t="s">
        <v>965</v>
      </c>
      <c r="B2551" s="2" t="s">
        <v>973</v>
      </c>
      <c r="C2551" s="3" t="s">
        <v>979</v>
      </c>
      <c r="D2551" s="7">
        <v>5013</v>
      </c>
      <c r="E2551" t="s">
        <v>9</v>
      </c>
      <c r="F2551" s="10">
        <v>3.04</v>
      </c>
    </row>
    <row r="2552" spans="1:6">
      <c r="A2552" t="s">
        <v>965</v>
      </c>
      <c r="B2552" s="2" t="s">
        <v>973</v>
      </c>
      <c r="C2552" s="3" t="s">
        <v>980</v>
      </c>
      <c r="D2552" s="7">
        <v>5018</v>
      </c>
      <c r="E2552" t="s">
        <v>9</v>
      </c>
      <c r="F2552" s="10">
        <v>2.9</v>
      </c>
    </row>
    <row r="2553" spans="1:6">
      <c r="A2553" t="s">
        <v>965</v>
      </c>
      <c r="B2553" s="2" t="s">
        <v>973</v>
      </c>
      <c r="C2553" s="3" t="s">
        <v>981</v>
      </c>
      <c r="D2553" s="7">
        <v>5043</v>
      </c>
      <c r="E2553" t="s">
        <v>9</v>
      </c>
      <c r="F2553" s="10">
        <v>2.2200000000000002</v>
      </c>
    </row>
    <row r="2554" spans="1:6">
      <c r="A2554" t="s">
        <v>965</v>
      </c>
      <c r="B2554" s="2" t="s">
        <v>973</v>
      </c>
      <c r="C2554" s="5" t="s">
        <v>982</v>
      </c>
      <c r="D2554" s="7">
        <v>5053</v>
      </c>
      <c r="E2554" t="s">
        <v>9</v>
      </c>
      <c r="F2554" s="10">
        <v>2.4500000000000002</v>
      </c>
    </row>
    <row r="2555" spans="1:6">
      <c r="A2555" t="s">
        <v>965</v>
      </c>
      <c r="B2555" s="2" t="s">
        <v>973</v>
      </c>
      <c r="C2555" s="3" t="s">
        <v>983</v>
      </c>
      <c r="D2555" s="7">
        <v>5038</v>
      </c>
      <c r="E2555" t="s">
        <v>9</v>
      </c>
      <c r="F2555" s="10">
        <v>3.19</v>
      </c>
    </row>
    <row r="2556" spans="1:6">
      <c r="A2556" t="s">
        <v>965</v>
      </c>
      <c r="B2556" s="2" t="s">
        <v>973</v>
      </c>
      <c r="C2556" s="3" t="s">
        <v>984</v>
      </c>
      <c r="D2556" s="7">
        <v>5023</v>
      </c>
      <c r="E2556" t="s">
        <v>9</v>
      </c>
      <c r="F2556" s="10">
        <v>2.99</v>
      </c>
    </row>
    <row r="2557" spans="1:6">
      <c r="A2557" t="s">
        <v>965</v>
      </c>
      <c r="B2557" s="2" t="s">
        <v>973</v>
      </c>
      <c r="C2557" s="3" t="s">
        <v>985</v>
      </c>
      <c r="D2557" s="7">
        <v>4650</v>
      </c>
      <c r="E2557" t="s">
        <v>9</v>
      </c>
      <c r="F2557" s="10">
        <v>3.02</v>
      </c>
    </row>
    <row r="2558" spans="1:6">
      <c r="A2558" t="s">
        <v>965</v>
      </c>
      <c r="B2558" s="2" t="s">
        <v>973</v>
      </c>
      <c r="C2558" s="5" t="s">
        <v>986</v>
      </c>
      <c r="D2558" s="7">
        <v>5063</v>
      </c>
      <c r="E2558" t="s">
        <v>9</v>
      </c>
      <c r="F2558" s="10">
        <v>2.72</v>
      </c>
    </row>
    <row r="2559" spans="1:6">
      <c r="A2559" t="s">
        <v>965</v>
      </c>
      <c r="B2559" s="2" t="s">
        <v>973</v>
      </c>
      <c r="C2559" s="3" t="s">
        <v>987</v>
      </c>
      <c r="D2559" s="7">
        <v>5028</v>
      </c>
      <c r="E2559" t="s">
        <v>9</v>
      </c>
      <c r="F2559" s="10">
        <v>2.93</v>
      </c>
    </row>
    <row r="2560" spans="1:6">
      <c r="A2560" t="s">
        <v>965</v>
      </c>
      <c r="B2560" s="2" t="s">
        <v>973</v>
      </c>
      <c r="C2560" s="3" t="s">
        <v>988</v>
      </c>
      <c r="D2560" s="7">
        <v>4690</v>
      </c>
      <c r="E2560" t="s">
        <v>9</v>
      </c>
      <c r="F2560" s="10">
        <v>2.98</v>
      </c>
    </row>
    <row r="2561" spans="1:6">
      <c r="A2561" t="s">
        <v>965</v>
      </c>
      <c r="B2561" s="2" t="s">
        <v>973</v>
      </c>
      <c r="C2561" s="3" t="s">
        <v>989</v>
      </c>
      <c r="D2561" s="7">
        <v>4645</v>
      </c>
      <c r="E2561" t="s">
        <v>9</v>
      </c>
      <c r="F2561" s="10">
        <v>3.47</v>
      </c>
    </row>
    <row r="2562" spans="1:6">
      <c r="A2562" t="s">
        <v>965</v>
      </c>
      <c r="B2562" s="2" t="s">
        <v>973</v>
      </c>
      <c r="C2562" s="3" t="s">
        <v>990</v>
      </c>
      <c r="D2562" s="7">
        <v>4640</v>
      </c>
      <c r="E2562" t="s">
        <v>9</v>
      </c>
      <c r="F2562" s="10">
        <v>3.29</v>
      </c>
    </row>
    <row r="2563" spans="1:6">
      <c r="A2563" t="s">
        <v>965</v>
      </c>
      <c r="B2563" s="2" t="s">
        <v>973</v>
      </c>
      <c r="C2563" s="3" t="s">
        <v>991</v>
      </c>
      <c r="D2563" s="7">
        <v>4695</v>
      </c>
      <c r="E2563" t="s">
        <v>9</v>
      </c>
      <c r="F2563" s="10">
        <v>3.29</v>
      </c>
    </row>
    <row r="2564" spans="1:6">
      <c r="A2564" t="s">
        <v>965</v>
      </c>
      <c r="B2564" s="2" t="s">
        <v>973</v>
      </c>
      <c r="C2564" s="5" t="s">
        <v>992</v>
      </c>
      <c r="D2564" s="7">
        <v>5058</v>
      </c>
      <c r="E2564" t="s">
        <v>9</v>
      </c>
      <c r="F2564" s="10">
        <v>3.01</v>
      </c>
    </row>
    <row r="2565" spans="1:6">
      <c r="A2565" t="s">
        <v>965</v>
      </c>
      <c r="B2565" s="2" t="s">
        <v>973</v>
      </c>
      <c r="C2565" s="3" t="s">
        <v>993</v>
      </c>
      <c r="D2565" s="7">
        <v>4993</v>
      </c>
      <c r="E2565" t="s">
        <v>9</v>
      </c>
      <c r="F2565" s="10">
        <v>2.4900000000000002</v>
      </c>
    </row>
    <row r="2566" spans="1:6">
      <c r="A2566" t="s">
        <v>965</v>
      </c>
      <c r="B2566" s="2" t="s">
        <v>973</v>
      </c>
      <c r="C2566" s="3" t="s">
        <v>994</v>
      </c>
      <c r="D2566" s="7">
        <v>4998</v>
      </c>
      <c r="E2566" t="s">
        <v>9</v>
      </c>
      <c r="F2566" s="10">
        <v>2.4500000000000002</v>
      </c>
    </row>
    <row r="2567" spans="1:6">
      <c r="A2567" t="s">
        <v>965</v>
      </c>
      <c r="B2567" s="2" t="s">
        <v>973</v>
      </c>
      <c r="C2567" s="3" t="s">
        <v>995</v>
      </c>
      <c r="D2567" s="7">
        <v>5068</v>
      </c>
      <c r="E2567" t="s">
        <v>9</v>
      </c>
      <c r="F2567" s="10">
        <v>2.4900000000000002</v>
      </c>
    </row>
    <row r="2568" spans="1:6">
      <c r="A2568" t="s">
        <v>965</v>
      </c>
      <c r="B2568" s="2" t="s">
        <v>973</v>
      </c>
      <c r="C2568" s="3" t="s">
        <v>996</v>
      </c>
      <c r="D2568" s="7">
        <v>5073</v>
      </c>
      <c r="E2568" t="s">
        <v>9</v>
      </c>
      <c r="F2568" s="10">
        <v>2.5099999999999998</v>
      </c>
    </row>
    <row r="2569" spans="1:6">
      <c r="A2569" t="s">
        <v>965</v>
      </c>
      <c r="B2569" s="2" t="s">
        <v>973</v>
      </c>
      <c r="C2569" s="3" t="s">
        <v>997</v>
      </c>
      <c r="D2569" s="7">
        <v>5078</v>
      </c>
      <c r="E2569" t="s">
        <v>9</v>
      </c>
      <c r="F2569" s="10">
        <v>2.36</v>
      </c>
    </row>
    <row r="2570" spans="1:6">
      <c r="A2570" t="s">
        <v>965</v>
      </c>
      <c r="B2570" s="2" t="s">
        <v>973</v>
      </c>
      <c r="C2570" s="3" t="s">
        <v>998</v>
      </c>
      <c r="D2570" s="7">
        <v>5083</v>
      </c>
      <c r="E2570" t="s">
        <v>9</v>
      </c>
      <c r="F2570" s="10">
        <v>2.54</v>
      </c>
    </row>
    <row r="2571" spans="1:6">
      <c r="A2571" t="s">
        <v>965</v>
      </c>
      <c r="B2571" s="2" t="s">
        <v>973</v>
      </c>
      <c r="C2571" s="3" t="s">
        <v>999</v>
      </c>
      <c r="D2571" s="7">
        <v>5088</v>
      </c>
      <c r="E2571" t="s">
        <v>9</v>
      </c>
      <c r="F2571" s="10">
        <v>2.62</v>
      </c>
    </row>
    <row r="2572" spans="1:6">
      <c r="A2572" t="s">
        <v>965</v>
      </c>
      <c r="B2572" s="2" t="s">
        <v>973</v>
      </c>
      <c r="C2572" s="3" t="s">
        <v>1000</v>
      </c>
      <c r="D2572" s="7">
        <v>4655</v>
      </c>
      <c r="E2572" t="s">
        <v>9</v>
      </c>
      <c r="F2572" s="10">
        <v>2.63</v>
      </c>
    </row>
    <row r="2573" spans="1:6">
      <c r="A2573" t="s">
        <v>965</v>
      </c>
      <c r="B2573" s="2" t="s">
        <v>973</v>
      </c>
      <c r="C2573" s="3" t="s">
        <v>1001</v>
      </c>
      <c r="D2573" s="7">
        <v>4660</v>
      </c>
      <c r="E2573" t="s">
        <v>9</v>
      </c>
      <c r="F2573" s="10">
        <v>2.54</v>
      </c>
    </row>
    <row r="2574" spans="1:6">
      <c r="A2574" t="s">
        <v>965</v>
      </c>
      <c r="B2574" s="2" t="s">
        <v>973</v>
      </c>
      <c r="C2574" s="3" t="s">
        <v>1002</v>
      </c>
      <c r="D2574" s="7">
        <v>4665</v>
      </c>
      <c r="E2574" t="s">
        <v>9</v>
      </c>
      <c r="F2574" s="10">
        <v>2.46</v>
      </c>
    </row>
    <row r="2575" spans="1:6">
      <c r="A2575" t="s">
        <v>965</v>
      </c>
      <c r="B2575" s="2" t="s">
        <v>973</v>
      </c>
      <c r="C2575" s="3" t="s">
        <v>974</v>
      </c>
      <c r="D2575" s="7">
        <v>4671</v>
      </c>
      <c r="E2575" t="s">
        <v>10</v>
      </c>
      <c r="F2575" s="10">
        <f>6.39+2.99</f>
        <v>9.379999999999999</v>
      </c>
    </row>
    <row r="2576" spans="1:6">
      <c r="A2576" t="s">
        <v>965</v>
      </c>
      <c r="B2576" s="2" t="s">
        <v>973</v>
      </c>
      <c r="C2576" s="3" t="s">
        <v>975</v>
      </c>
      <c r="D2576" s="7">
        <v>5004</v>
      </c>
      <c r="E2576" t="s">
        <v>10</v>
      </c>
      <c r="F2576" s="10">
        <f>3.03+2.22</f>
        <v>5.25</v>
      </c>
    </row>
    <row r="2577" spans="1:6">
      <c r="A2577" t="s">
        <v>965</v>
      </c>
      <c r="B2577" s="2" t="s">
        <v>973</v>
      </c>
      <c r="C2577" s="3" t="s">
        <v>976</v>
      </c>
      <c r="D2577" s="7">
        <v>5009</v>
      </c>
      <c r="E2577" t="s">
        <v>10</v>
      </c>
      <c r="F2577" s="10">
        <f>3.55+2.44</f>
        <v>5.99</v>
      </c>
    </row>
    <row r="2578" spans="1:6">
      <c r="A2578" t="s">
        <v>965</v>
      </c>
      <c r="B2578" s="2" t="s">
        <v>973</v>
      </c>
      <c r="C2578" s="5" t="s">
        <v>977</v>
      </c>
      <c r="D2578" s="7">
        <v>5049</v>
      </c>
      <c r="E2578" t="s">
        <v>10</v>
      </c>
      <c r="F2578" s="10">
        <f>3.68+2.46</f>
        <v>6.1400000000000006</v>
      </c>
    </row>
    <row r="2579" spans="1:6">
      <c r="A2579" t="s">
        <v>965</v>
      </c>
      <c r="B2579" s="2" t="s">
        <v>973</v>
      </c>
      <c r="C2579" s="3" t="s">
        <v>978</v>
      </c>
      <c r="D2579" s="7">
        <v>5034</v>
      </c>
      <c r="E2579" t="s">
        <v>10</v>
      </c>
      <c r="F2579" s="10">
        <f>3.3+1.96</f>
        <v>5.26</v>
      </c>
    </row>
    <row r="2580" spans="1:6">
      <c r="A2580" t="s">
        <v>965</v>
      </c>
      <c r="B2580" s="2" t="s">
        <v>973</v>
      </c>
      <c r="C2580" s="3" t="s">
        <v>979</v>
      </c>
      <c r="D2580" s="7">
        <v>5014</v>
      </c>
      <c r="E2580" t="s">
        <v>10</v>
      </c>
      <c r="F2580" s="10">
        <f>3.18+2.93</f>
        <v>6.11</v>
      </c>
    </row>
    <row r="2581" spans="1:6">
      <c r="A2581" t="s">
        <v>965</v>
      </c>
      <c r="B2581" s="2" t="s">
        <v>973</v>
      </c>
      <c r="C2581" s="3" t="s">
        <v>980</v>
      </c>
      <c r="D2581" s="7">
        <v>5019</v>
      </c>
      <c r="E2581" t="s">
        <v>10</v>
      </c>
      <c r="F2581" s="10">
        <f>4.09+2.82</f>
        <v>6.91</v>
      </c>
    </row>
    <row r="2582" spans="1:6">
      <c r="A2582" t="s">
        <v>965</v>
      </c>
      <c r="B2582" s="2" t="s">
        <v>973</v>
      </c>
      <c r="C2582" s="3" t="s">
        <v>981</v>
      </c>
      <c r="D2582" s="7">
        <v>5044</v>
      </c>
      <c r="E2582" t="s">
        <v>10</v>
      </c>
      <c r="F2582" s="10">
        <f>2.48+2.47</f>
        <v>4.95</v>
      </c>
    </row>
    <row r="2583" spans="1:6">
      <c r="A2583" t="s">
        <v>965</v>
      </c>
      <c r="B2583" s="2" t="s">
        <v>973</v>
      </c>
      <c r="C2583" s="5" t="s">
        <v>982</v>
      </c>
      <c r="D2583" s="7">
        <v>5054</v>
      </c>
      <c r="E2583" t="s">
        <v>10</v>
      </c>
      <c r="F2583" s="10">
        <f>3.56+2.18</f>
        <v>5.74</v>
      </c>
    </row>
    <row r="2584" spans="1:6">
      <c r="A2584" t="s">
        <v>965</v>
      </c>
      <c r="B2584" s="2" t="s">
        <v>973</v>
      </c>
      <c r="C2584" s="3" t="s">
        <v>983</v>
      </c>
      <c r="D2584" s="7">
        <v>5039</v>
      </c>
      <c r="E2584" t="s">
        <v>10</v>
      </c>
      <c r="F2584" s="10">
        <f>3.71+2.34</f>
        <v>6.05</v>
      </c>
    </row>
    <row r="2585" spans="1:6">
      <c r="A2585" t="s">
        <v>965</v>
      </c>
      <c r="B2585" s="2" t="s">
        <v>973</v>
      </c>
      <c r="C2585" s="3" t="s">
        <v>984</v>
      </c>
      <c r="D2585" s="7">
        <v>5024</v>
      </c>
      <c r="E2585" t="s">
        <v>10</v>
      </c>
      <c r="F2585" s="10">
        <f>3.59+2.77</f>
        <v>6.3599999999999994</v>
      </c>
    </row>
    <row r="2586" spans="1:6">
      <c r="A2586" t="s">
        <v>965</v>
      </c>
      <c r="B2586" s="2" t="s">
        <v>973</v>
      </c>
      <c r="C2586" s="5" t="s">
        <v>986</v>
      </c>
      <c r="D2586" s="7">
        <v>5064</v>
      </c>
      <c r="E2586" t="s">
        <v>10</v>
      </c>
      <c r="F2586" s="10">
        <f>3.59+2.02</f>
        <v>5.6099999999999994</v>
      </c>
    </row>
    <row r="2587" spans="1:6">
      <c r="A2587" t="s">
        <v>965</v>
      </c>
      <c r="B2587" s="2" t="s">
        <v>973</v>
      </c>
      <c r="C2587" s="3" t="s">
        <v>987</v>
      </c>
      <c r="D2587" s="7">
        <v>5029</v>
      </c>
      <c r="E2587" t="s">
        <v>10</v>
      </c>
      <c r="F2587" s="10">
        <f>2.97+2.8</f>
        <v>5.77</v>
      </c>
    </row>
    <row r="2588" spans="1:6">
      <c r="A2588" t="s">
        <v>965</v>
      </c>
      <c r="B2588" s="2" t="s">
        <v>973</v>
      </c>
      <c r="C2588" s="3" t="s">
        <v>988</v>
      </c>
      <c r="D2588" s="7">
        <v>4691</v>
      </c>
      <c r="E2588" t="s">
        <v>10</v>
      </c>
      <c r="F2588" s="10">
        <f>5.85+2.96</f>
        <v>8.8099999999999987</v>
      </c>
    </row>
    <row r="2589" spans="1:6">
      <c r="A2589" t="s">
        <v>965</v>
      </c>
      <c r="B2589" s="2" t="s">
        <v>973</v>
      </c>
      <c r="C2589" s="3" t="s">
        <v>989</v>
      </c>
      <c r="D2589" s="7">
        <v>4646</v>
      </c>
      <c r="E2589" t="s">
        <v>10</v>
      </c>
      <c r="F2589" s="10">
        <f>7.54+3.82</f>
        <v>11.36</v>
      </c>
    </row>
    <row r="2590" spans="1:6">
      <c r="A2590" t="s">
        <v>965</v>
      </c>
      <c r="B2590" s="2" t="s">
        <v>973</v>
      </c>
      <c r="C2590" s="3" t="s">
        <v>990</v>
      </c>
      <c r="D2590" s="7">
        <v>4641</v>
      </c>
      <c r="E2590" t="s">
        <v>10</v>
      </c>
      <c r="F2590" s="10">
        <f>3.95+4.31+2.87</f>
        <v>11.129999999999999</v>
      </c>
    </row>
    <row r="2591" spans="1:6">
      <c r="A2591" t="s">
        <v>965</v>
      </c>
      <c r="B2591" s="2" t="s">
        <v>973</v>
      </c>
      <c r="C2591" s="3" t="s">
        <v>991</v>
      </c>
      <c r="D2591" s="7">
        <v>4696</v>
      </c>
      <c r="E2591" t="s">
        <v>10</v>
      </c>
      <c r="F2591" s="10">
        <f>3.79+5.06+1.94</f>
        <v>10.79</v>
      </c>
    </row>
    <row r="2592" spans="1:6">
      <c r="A2592" t="s">
        <v>965</v>
      </c>
      <c r="B2592" s="2" t="s">
        <v>973</v>
      </c>
      <c r="C2592" s="5" t="s">
        <v>992</v>
      </c>
      <c r="D2592" s="7">
        <v>5059</v>
      </c>
      <c r="E2592" t="s">
        <v>10</v>
      </c>
      <c r="F2592" s="10">
        <f>3.4+2.94</f>
        <v>6.34</v>
      </c>
    </row>
    <row r="2593" spans="1:6">
      <c r="A2593" t="s">
        <v>965</v>
      </c>
      <c r="B2593" s="2" t="s">
        <v>973</v>
      </c>
      <c r="C2593" s="3" t="s">
        <v>993</v>
      </c>
      <c r="D2593" s="7">
        <v>4994</v>
      </c>
      <c r="E2593" t="s">
        <v>10</v>
      </c>
      <c r="F2593" s="10">
        <f>3.19+2.33</f>
        <v>5.52</v>
      </c>
    </row>
    <row r="2594" spans="1:6">
      <c r="A2594" t="s">
        <v>965</v>
      </c>
      <c r="B2594" s="2" t="s">
        <v>973</v>
      </c>
      <c r="C2594" s="3" t="s">
        <v>994</v>
      </c>
      <c r="D2594" s="7">
        <v>4999</v>
      </c>
      <c r="E2594" t="s">
        <v>10</v>
      </c>
      <c r="F2594" s="10">
        <f>3.4+1.86</f>
        <v>5.26</v>
      </c>
    </row>
    <row r="2595" spans="1:6">
      <c r="A2595" t="s">
        <v>965</v>
      </c>
      <c r="B2595" s="2" t="s">
        <v>973</v>
      </c>
      <c r="C2595" s="3" t="s">
        <v>995</v>
      </c>
      <c r="D2595" s="7">
        <v>5069</v>
      </c>
      <c r="E2595" t="s">
        <v>10</v>
      </c>
      <c r="F2595" s="10">
        <f>2.99+1.95</f>
        <v>4.9400000000000004</v>
      </c>
    </row>
    <row r="2596" spans="1:6">
      <c r="A2596" t="s">
        <v>965</v>
      </c>
      <c r="B2596" s="2" t="s">
        <v>973</v>
      </c>
      <c r="C2596" s="3" t="s">
        <v>996</v>
      </c>
      <c r="D2596" s="7">
        <v>5074</v>
      </c>
      <c r="E2596" t="s">
        <v>10</v>
      </c>
      <c r="F2596" s="10">
        <f>2.79+1.51</f>
        <v>4.3</v>
      </c>
    </row>
    <row r="2597" spans="1:6">
      <c r="A2597" t="s">
        <v>965</v>
      </c>
      <c r="B2597" s="2" t="s">
        <v>973</v>
      </c>
      <c r="C2597" s="3" t="s">
        <v>997</v>
      </c>
      <c r="D2597" s="7">
        <v>5079</v>
      </c>
      <c r="E2597" t="s">
        <v>10</v>
      </c>
      <c r="F2597" s="10">
        <f>3.08+2.37</f>
        <v>5.45</v>
      </c>
    </row>
    <row r="2598" spans="1:6">
      <c r="A2598" t="s">
        <v>965</v>
      </c>
      <c r="B2598" s="2" t="s">
        <v>973</v>
      </c>
      <c r="C2598" s="3" t="s">
        <v>998</v>
      </c>
      <c r="D2598" s="7">
        <v>5084</v>
      </c>
      <c r="E2598" t="s">
        <v>10</v>
      </c>
      <c r="F2598" s="10">
        <f>2.87+2.29</f>
        <v>5.16</v>
      </c>
    </row>
    <row r="2599" spans="1:6">
      <c r="A2599" t="s">
        <v>965</v>
      </c>
      <c r="B2599" s="2" t="s">
        <v>973</v>
      </c>
      <c r="C2599" s="3" t="s">
        <v>999</v>
      </c>
      <c r="D2599" s="7">
        <v>5089</v>
      </c>
      <c r="E2599" t="s">
        <v>10</v>
      </c>
      <c r="F2599" s="10">
        <f>3+2.28</f>
        <v>5.2799999999999994</v>
      </c>
    </row>
    <row r="2600" spans="1:6">
      <c r="A2600" t="s">
        <v>965</v>
      </c>
      <c r="B2600" s="2" t="s">
        <v>973</v>
      </c>
      <c r="C2600" s="3" t="s">
        <v>1001</v>
      </c>
      <c r="D2600" s="7">
        <v>4661</v>
      </c>
      <c r="E2600" t="s">
        <v>10</v>
      </c>
      <c r="F2600" s="10">
        <f>3.3+3.63+2.3</f>
        <v>9.23</v>
      </c>
    </row>
    <row r="2601" spans="1:6">
      <c r="A2601" t="s">
        <v>965</v>
      </c>
      <c r="B2601" s="2" t="s">
        <v>973</v>
      </c>
      <c r="C2601" s="3" t="s">
        <v>974</v>
      </c>
      <c r="D2601" s="7">
        <v>4668</v>
      </c>
      <c r="E2601" t="s">
        <v>11</v>
      </c>
      <c r="F2601" s="10">
        <v>10.09</v>
      </c>
    </row>
    <row r="2602" spans="1:6">
      <c r="A2602" t="s">
        <v>965</v>
      </c>
      <c r="B2602" s="2" t="s">
        <v>973</v>
      </c>
      <c r="C2602" s="3" t="s">
        <v>975</v>
      </c>
      <c r="D2602" s="7">
        <v>5006</v>
      </c>
      <c r="E2602" t="s">
        <v>11</v>
      </c>
      <c r="F2602" s="10">
        <v>10.44</v>
      </c>
    </row>
    <row r="2603" spans="1:6">
      <c r="A2603" t="s">
        <v>965</v>
      </c>
      <c r="B2603" s="2" t="s">
        <v>973</v>
      </c>
      <c r="C2603" s="3" t="s">
        <v>976</v>
      </c>
      <c r="D2603" s="7">
        <v>5011</v>
      </c>
      <c r="E2603" t="s">
        <v>11</v>
      </c>
      <c r="F2603" s="10">
        <v>11.17</v>
      </c>
    </row>
    <row r="2604" spans="1:6">
      <c r="A2604" t="s">
        <v>965</v>
      </c>
      <c r="B2604" s="2" t="s">
        <v>973</v>
      </c>
      <c r="C2604" s="5" t="s">
        <v>977</v>
      </c>
      <c r="D2604" s="7">
        <v>5051</v>
      </c>
      <c r="E2604" t="s">
        <v>11</v>
      </c>
      <c r="F2604" s="10">
        <v>10.48</v>
      </c>
    </row>
    <row r="2605" spans="1:6">
      <c r="A2605" t="s">
        <v>965</v>
      </c>
      <c r="B2605" s="2" t="s">
        <v>973</v>
      </c>
      <c r="C2605" s="3" t="s">
        <v>978</v>
      </c>
      <c r="D2605" s="7">
        <v>5036</v>
      </c>
      <c r="E2605" t="s">
        <v>11</v>
      </c>
      <c r="F2605" s="10">
        <v>10.78</v>
      </c>
    </row>
    <row r="2606" spans="1:6">
      <c r="A2606" t="s">
        <v>965</v>
      </c>
      <c r="B2606" s="2" t="s">
        <v>973</v>
      </c>
      <c r="C2606" s="3" t="s">
        <v>979</v>
      </c>
      <c r="D2606" s="7">
        <v>5016</v>
      </c>
      <c r="E2606" t="s">
        <v>11</v>
      </c>
      <c r="F2606" s="10">
        <v>11.31</v>
      </c>
    </row>
    <row r="2607" spans="1:6">
      <c r="A2607" t="s">
        <v>965</v>
      </c>
      <c r="B2607" s="2" t="s">
        <v>973</v>
      </c>
      <c r="C2607" s="3" t="s">
        <v>980</v>
      </c>
      <c r="D2607" s="7">
        <v>5021</v>
      </c>
      <c r="E2607" t="s">
        <v>11</v>
      </c>
      <c r="F2607" s="10">
        <v>10.9</v>
      </c>
    </row>
    <row r="2608" spans="1:6">
      <c r="A2608" t="s">
        <v>965</v>
      </c>
      <c r="B2608" s="2" t="s">
        <v>973</v>
      </c>
      <c r="C2608" s="3" t="s">
        <v>981</v>
      </c>
      <c r="D2608" s="7">
        <v>5046</v>
      </c>
      <c r="E2608" t="s">
        <v>11</v>
      </c>
      <c r="F2608" s="10">
        <v>9.5500000000000007</v>
      </c>
    </row>
    <row r="2609" spans="1:6">
      <c r="A2609" t="s">
        <v>965</v>
      </c>
      <c r="B2609" s="2" t="s">
        <v>973</v>
      </c>
      <c r="C2609" s="5" t="s">
        <v>982</v>
      </c>
      <c r="D2609" s="7">
        <v>5056</v>
      </c>
      <c r="E2609" t="s">
        <v>11</v>
      </c>
      <c r="F2609" s="10">
        <v>10.87</v>
      </c>
    </row>
    <row r="2610" spans="1:6">
      <c r="A2610" t="s">
        <v>965</v>
      </c>
      <c r="B2610" s="2" t="s">
        <v>973</v>
      </c>
      <c r="C2610" s="3" t="s">
        <v>983</v>
      </c>
      <c r="D2610" s="7">
        <v>5041</v>
      </c>
      <c r="E2610" t="s">
        <v>11</v>
      </c>
      <c r="F2610" s="10">
        <v>11.43</v>
      </c>
    </row>
    <row r="2611" spans="1:6">
      <c r="A2611" t="s">
        <v>965</v>
      </c>
      <c r="B2611" s="2" t="s">
        <v>973</v>
      </c>
      <c r="C2611" s="3" t="s">
        <v>984</v>
      </c>
      <c r="D2611" s="7">
        <v>5026</v>
      </c>
      <c r="E2611" t="s">
        <v>11</v>
      </c>
      <c r="F2611" s="10">
        <v>10.59</v>
      </c>
    </row>
    <row r="2612" spans="1:6">
      <c r="A2612" t="s">
        <v>965</v>
      </c>
      <c r="B2612" s="2" t="s">
        <v>973</v>
      </c>
      <c r="C2612" s="3" t="s">
        <v>985</v>
      </c>
      <c r="D2612" s="7">
        <v>4648</v>
      </c>
      <c r="E2612" t="s">
        <v>11</v>
      </c>
      <c r="F2612" s="10">
        <v>11.34</v>
      </c>
    </row>
    <row r="2613" spans="1:6">
      <c r="A2613" t="s">
        <v>965</v>
      </c>
      <c r="B2613" s="2" t="s">
        <v>973</v>
      </c>
      <c r="C2613" s="5" t="s">
        <v>986</v>
      </c>
      <c r="D2613" s="7">
        <v>5066</v>
      </c>
      <c r="E2613" t="s">
        <v>11</v>
      </c>
      <c r="F2613" s="10">
        <v>11.24</v>
      </c>
    </row>
    <row r="2614" spans="1:6">
      <c r="A2614" t="s">
        <v>965</v>
      </c>
      <c r="B2614" s="2" t="s">
        <v>973</v>
      </c>
      <c r="C2614" s="3" t="s">
        <v>987</v>
      </c>
      <c r="D2614" s="7">
        <v>5031</v>
      </c>
      <c r="E2614" t="s">
        <v>11</v>
      </c>
      <c r="F2614" s="10">
        <v>10.71</v>
      </c>
    </row>
    <row r="2615" spans="1:6">
      <c r="A2615" t="s">
        <v>965</v>
      </c>
      <c r="B2615" s="2" t="s">
        <v>973</v>
      </c>
      <c r="C2615" s="3" t="s">
        <v>988</v>
      </c>
      <c r="D2615" s="7">
        <v>4688</v>
      </c>
      <c r="E2615" t="s">
        <v>11</v>
      </c>
      <c r="F2615" s="10">
        <v>12.39</v>
      </c>
    </row>
    <row r="2616" spans="1:6">
      <c r="A2616" t="s">
        <v>965</v>
      </c>
      <c r="B2616" s="2" t="s">
        <v>973</v>
      </c>
      <c r="C2616" s="3" t="s">
        <v>989</v>
      </c>
      <c r="D2616" s="7">
        <v>4643</v>
      </c>
      <c r="E2616" t="s">
        <v>11</v>
      </c>
      <c r="F2616" s="10">
        <v>12.78</v>
      </c>
    </row>
    <row r="2617" spans="1:6">
      <c r="A2617" t="s">
        <v>965</v>
      </c>
      <c r="B2617" s="2" t="s">
        <v>973</v>
      </c>
      <c r="C2617" s="3" t="s">
        <v>990</v>
      </c>
      <c r="D2617" s="7">
        <v>4638</v>
      </c>
      <c r="E2617" t="s">
        <v>11</v>
      </c>
      <c r="F2617" s="10">
        <v>12.71</v>
      </c>
    </row>
    <row r="2618" spans="1:6">
      <c r="A2618" t="s">
        <v>965</v>
      </c>
      <c r="B2618" s="2" t="s">
        <v>973</v>
      </c>
      <c r="C2618" s="3" t="s">
        <v>991</v>
      </c>
      <c r="D2618" s="7">
        <v>4693</v>
      </c>
      <c r="E2618" t="s">
        <v>11</v>
      </c>
      <c r="F2618" s="10">
        <v>12.42</v>
      </c>
    </row>
    <row r="2619" spans="1:6">
      <c r="A2619" t="s">
        <v>965</v>
      </c>
      <c r="B2619" s="2" t="s">
        <v>973</v>
      </c>
      <c r="C2619" s="5" t="s">
        <v>992</v>
      </c>
      <c r="D2619" s="7">
        <v>5061</v>
      </c>
      <c r="E2619" t="s">
        <v>11</v>
      </c>
      <c r="F2619" s="10">
        <v>11.96</v>
      </c>
    </row>
    <row r="2620" spans="1:6">
      <c r="A2620" t="s">
        <v>965</v>
      </c>
      <c r="B2620" s="2" t="s">
        <v>973</v>
      </c>
      <c r="C2620" s="3" t="s">
        <v>993</v>
      </c>
      <c r="D2620" s="7">
        <v>4996</v>
      </c>
      <c r="E2620" t="s">
        <v>11</v>
      </c>
      <c r="F2620" s="10">
        <v>10.119999999999999</v>
      </c>
    </row>
    <row r="2621" spans="1:6">
      <c r="A2621" t="s">
        <v>965</v>
      </c>
      <c r="B2621" s="2" t="s">
        <v>973</v>
      </c>
      <c r="C2621" s="3" t="s">
        <v>994</v>
      </c>
      <c r="D2621" s="7">
        <v>5001</v>
      </c>
      <c r="E2621" t="s">
        <v>11</v>
      </c>
      <c r="F2621" s="10">
        <v>10.26</v>
      </c>
    </row>
    <row r="2622" spans="1:6">
      <c r="A2622" t="s">
        <v>965</v>
      </c>
      <c r="B2622" s="2" t="s">
        <v>973</v>
      </c>
      <c r="C2622" s="3" t="s">
        <v>995</v>
      </c>
      <c r="D2622" s="7">
        <v>5071</v>
      </c>
      <c r="E2622" t="s">
        <v>11</v>
      </c>
      <c r="F2622" s="10">
        <v>10.050000000000001</v>
      </c>
    </row>
    <row r="2623" spans="1:6">
      <c r="A2623" t="s">
        <v>965</v>
      </c>
      <c r="B2623" s="2" t="s">
        <v>973</v>
      </c>
      <c r="C2623" s="3" t="s">
        <v>996</v>
      </c>
      <c r="D2623" s="7">
        <v>5076</v>
      </c>
      <c r="E2623" t="s">
        <v>11</v>
      </c>
      <c r="F2623" s="10">
        <v>9.8800000000000008</v>
      </c>
    </row>
    <row r="2624" spans="1:6">
      <c r="A2624" t="s">
        <v>965</v>
      </c>
      <c r="B2624" s="2" t="s">
        <v>973</v>
      </c>
      <c r="C2624" s="3" t="s">
        <v>997</v>
      </c>
      <c r="D2624" s="7">
        <v>5081</v>
      </c>
      <c r="E2624" t="s">
        <v>11</v>
      </c>
      <c r="F2624" s="10">
        <v>9.64</v>
      </c>
    </row>
    <row r="2625" spans="1:6">
      <c r="A2625" t="s">
        <v>965</v>
      </c>
      <c r="B2625" s="2" t="s">
        <v>973</v>
      </c>
      <c r="C2625" s="3" t="s">
        <v>998</v>
      </c>
      <c r="D2625" s="7">
        <v>5086</v>
      </c>
      <c r="E2625" t="s">
        <v>11</v>
      </c>
      <c r="F2625" s="10">
        <v>10.63</v>
      </c>
    </row>
    <row r="2626" spans="1:6">
      <c r="A2626" t="s">
        <v>965</v>
      </c>
      <c r="B2626" s="2" t="s">
        <v>973</v>
      </c>
      <c r="C2626" s="3" t="s">
        <v>999</v>
      </c>
      <c r="D2626" s="7">
        <v>5091</v>
      </c>
      <c r="E2626" t="s">
        <v>11</v>
      </c>
      <c r="F2626" s="10">
        <v>10.02</v>
      </c>
    </row>
    <row r="2627" spans="1:6">
      <c r="A2627" t="s">
        <v>965</v>
      </c>
      <c r="B2627" s="2" t="s">
        <v>973</v>
      </c>
      <c r="C2627" s="3" t="s">
        <v>1000</v>
      </c>
      <c r="D2627" s="7">
        <v>4653</v>
      </c>
      <c r="E2627" t="s">
        <v>11</v>
      </c>
      <c r="F2627" s="10">
        <v>10.95</v>
      </c>
    </row>
    <row r="2628" spans="1:6">
      <c r="A2628" t="s">
        <v>965</v>
      </c>
      <c r="B2628" s="2" t="s">
        <v>973</v>
      </c>
      <c r="C2628" s="3" t="s">
        <v>1001</v>
      </c>
      <c r="D2628" s="7">
        <v>4658</v>
      </c>
      <c r="E2628" t="s">
        <v>11</v>
      </c>
      <c r="F2628" s="10">
        <v>10.33</v>
      </c>
    </row>
    <row r="2629" spans="1:6">
      <c r="A2629" t="s">
        <v>965</v>
      </c>
      <c r="B2629" s="2" t="s">
        <v>973</v>
      </c>
      <c r="C2629" s="3" t="s">
        <v>1002</v>
      </c>
      <c r="D2629" s="7">
        <v>4663</v>
      </c>
      <c r="E2629" t="s">
        <v>11</v>
      </c>
      <c r="F2629" s="10">
        <v>10.87</v>
      </c>
    </row>
    <row r="2630" spans="1:6">
      <c r="A2630" t="s">
        <v>965</v>
      </c>
      <c r="B2630" s="2" t="s">
        <v>973</v>
      </c>
      <c r="C2630" s="3" t="s">
        <v>974</v>
      </c>
      <c r="D2630" s="7">
        <v>4669</v>
      </c>
      <c r="E2630" t="s">
        <v>12</v>
      </c>
      <c r="F2630" s="10">
        <v>3.35</v>
      </c>
    </row>
    <row r="2631" spans="1:6">
      <c r="A2631" t="s">
        <v>965</v>
      </c>
      <c r="B2631" s="2" t="s">
        <v>973</v>
      </c>
      <c r="C2631" s="3" t="s">
        <v>975</v>
      </c>
      <c r="D2631" s="7">
        <v>5007</v>
      </c>
      <c r="E2631" t="s">
        <v>12</v>
      </c>
      <c r="F2631" s="10">
        <v>3.6</v>
      </c>
    </row>
    <row r="2632" spans="1:6">
      <c r="A2632" t="s">
        <v>965</v>
      </c>
      <c r="B2632" s="2" t="s">
        <v>973</v>
      </c>
      <c r="C2632" s="3" t="s">
        <v>976</v>
      </c>
      <c r="D2632" s="7">
        <v>5012</v>
      </c>
      <c r="E2632" t="s">
        <v>12</v>
      </c>
      <c r="F2632" s="10">
        <v>3.62</v>
      </c>
    </row>
    <row r="2633" spans="1:6">
      <c r="A2633" t="s">
        <v>965</v>
      </c>
      <c r="B2633" s="2" t="s">
        <v>973</v>
      </c>
      <c r="C2633" s="5" t="s">
        <v>977</v>
      </c>
      <c r="D2633" s="7">
        <v>5052</v>
      </c>
      <c r="E2633" t="s">
        <v>12</v>
      </c>
      <c r="F2633" s="10">
        <v>3.68</v>
      </c>
    </row>
    <row r="2634" spans="1:6">
      <c r="A2634" t="s">
        <v>965</v>
      </c>
      <c r="B2634" s="2" t="s">
        <v>973</v>
      </c>
      <c r="C2634" s="3" t="s">
        <v>978</v>
      </c>
      <c r="D2634" s="7">
        <v>5037</v>
      </c>
      <c r="E2634" t="s">
        <v>12</v>
      </c>
      <c r="F2634" s="10">
        <v>3.81</v>
      </c>
    </row>
    <row r="2635" spans="1:6">
      <c r="A2635" t="s">
        <v>965</v>
      </c>
      <c r="B2635" s="2" t="s">
        <v>973</v>
      </c>
      <c r="C2635" s="3" t="s">
        <v>979</v>
      </c>
      <c r="D2635" s="7">
        <v>5017</v>
      </c>
      <c r="E2635" t="s">
        <v>12</v>
      </c>
      <c r="F2635" s="10">
        <v>3.91</v>
      </c>
    </row>
    <row r="2636" spans="1:6">
      <c r="A2636" t="s">
        <v>965</v>
      </c>
      <c r="B2636" s="2" t="s">
        <v>973</v>
      </c>
      <c r="C2636" s="3" t="s">
        <v>980</v>
      </c>
      <c r="D2636" s="7">
        <v>5022</v>
      </c>
      <c r="E2636" t="s">
        <v>12</v>
      </c>
      <c r="F2636" s="10">
        <v>3.69</v>
      </c>
    </row>
    <row r="2637" spans="1:6">
      <c r="A2637" t="s">
        <v>965</v>
      </c>
      <c r="B2637" s="2" t="s">
        <v>973</v>
      </c>
      <c r="C2637" s="3" t="s">
        <v>981</v>
      </c>
      <c r="D2637" s="7">
        <v>5047</v>
      </c>
      <c r="E2637" t="s">
        <v>12</v>
      </c>
      <c r="F2637" s="10">
        <v>3.16</v>
      </c>
    </row>
    <row r="2638" spans="1:6">
      <c r="A2638" t="s">
        <v>965</v>
      </c>
      <c r="B2638" s="2" t="s">
        <v>973</v>
      </c>
      <c r="C2638" s="5" t="s">
        <v>982</v>
      </c>
      <c r="D2638" s="7">
        <v>5057</v>
      </c>
      <c r="E2638" t="s">
        <v>12</v>
      </c>
      <c r="F2638" s="10">
        <v>3.6</v>
      </c>
    </row>
    <row r="2639" spans="1:6">
      <c r="A2639" t="s">
        <v>965</v>
      </c>
      <c r="B2639" s="2" t="s">
        <v>973</v>
      </c>
      <c r="C2639" s="3" t="s">
        <v>983</v>
      </c>
      <c r="D2639" s="7">
        <v>5042</v>
      </c>
      <c r="E2639" t="s">
        <v>12</v>
      </c>
      <c r="F2639" s="10">
        <v>4.2</v>
      </c>
    </row>
    <row r="2640" spans="1:6">
      <c r="A2640" t="s">
        <v>965</v>
      </c>
      <c r="B2640" s="2" t="s">
        <v>973</v>
      </c>
      <c r="C2640" s="3" t="s">
        <v>984</v>
      </c>
      <c r="D2640" s="7">
        <v>5027</v>
      </c>
      <c r="E2640" t="s">
        <v>12</v>
      </c>
      <c r="F2640" s="10">
        <v>3.69</v>
      </c>
    </row>
    <row r="2641" spans="1:6">
      <c r="A2641" t="s">
        <v>965</v>
      </c>
      <c r="B2641" s="2" t="s">
        <v>973</v>
      </c>
      <c r="C2641" s="3" t="s">
        <v>985</v>
      </c>
      <c r="D2641" s="7">
        <v>4649</v>
      </c>
      <c r="E2641" t="s">
        <v>12</v>
      </c>
      <c r="F2641" s="10">
        <v>4.1900000000000004</v>
      </c>
    </row>
    <row r="2642" spans="1:6">
      <c r="A2642" t="s">
        <v>965</v>
      </c>
      <c r="B2642" s="2" t="s">
        <v>973</v>
      </c>
      <c r="C2642" s="5" t="s">
        <v>986</v>
      </c>
      <c r="D2642" s="7">
        <v>5067</v>
      </c>
      <c r="E2642" t="s">
        <v>12</v>
      </c>
      <c r="F2642" s="10">
        <v>3.49</v>
      </c>
    </row>
    <row r="2643" spans="1:6">
      <c r="A2643" t="s">
        <v>965</v>
      </c>
      <c r="B2643" s="2" t="s">
        <v>973</v>
      </c>
      <c r="C2643" s="3" t="s">
        <v>987</v>
      </c>
      <c r="D2643" s="7">
        <v>5032</v>
      </c>
      <c r="E2643" t="s">
        <v>12</v>
      </c>
      <c r="F2643" s="10">
        <v>3.49</v>
      </c>
    </row>
    <row r="2644" spans="1:6">
      <c r="A2644" t="s">
        <v>965</v>
      </c>
      <c r="B2644" s="2" t="s">
        <v>973</v>
      </c>
      <c r="C2644" s="3" t="s">
        <v>988</v>
      </c>
      <c r="D2644" s="7">
        <v>4689</v>
      </c>
      <c r="E2644" t="s">
        <v>12</v>
      </c>
      <c r="F2644" s="10">
        <v>4</v>
      </c>
    </row>
    <row r="2645" spans="1:6">
      <c r="A2645" t="s">
        <v>965</v>
      </c>
      <c r="B2645" s="2" t="s">
        <v>973</v>
      </c>
      <c r="C2645" s="3" t="s">
        <v>989</v>
      </c>
      <c r="D2645" s="7">
        <v>4644</v>
      </c>
      <c r="E2645" t="s">
        <v>12</v>
      </c>
      <c r="F2645" s="10">
        <v>3.97</v>
      </c>
    </row>
    <row r="2646" spans="1:6">
      <c r="A2646" t="s">
        <v>965</v>
      </c>
      <c r="B2646" s="2" t="s">
        <v>973</v>
      </c>
      <c r="C2646" s="3" t="s">
        <v>990</v>
      </c>
      <c r="D2646" s="7">
        <v>4639</v>
      </c>
      <c r="E2646" t="s">
        <v>12</v>
      </c>
      <c r="F2646" s="10">
        <v>4.47</v>
      </c>
    </row>
    <row r="2647" spans="1:6">
      <c r="A2647" t="s">
        <v>965</v>
      </c>
      <c r="B2647" s="2" t="s">
        <v>973</v>
      </c>
      <c r="C2647" s="3" t="s">
        <v>991</v>
      </c>
      <c r="D2647" s="7">
        <v>4694</v>
      </c>
      <c r="E2647" t="s">
        <v>12</v>
      </c>
      <c r="F2647" s="10">
        <v>3.94</v>
      </c>
    </row>
    <row r="2648" spans="1:6">
      <c r="A2648" t="s">
        <v>965</v>
      </c>
      <c r="B2648" s="2" t="s">
        <v>973</v>
      </c>
      <c r="C2648" s="5" t="s">
        <v>992</v>
      </c>
      <c r="D2648" s="7">
        <v>5062</v>
      </c>
      <c r="E2648" t="s">
        <v>12</v>
      </c>
      <c r="F2648" s="10">
        <v>3.78</v>
      </c>
    </row>
    <row r="2649" spans="1:6">
      <c r="A2649" t="s">
        <v>965</v>
      </c>
      <c r="B2649" s="2" t="s">
        <v>973</v>
      </c>
      <c r="C2649" s="3" t="s">
        <v>993</v>
      </c>
      <c r="D2649" s="7">
        <v>4997</v>
      </c>
      <c r="E2649" t="s">
        <v>12</v>
      </c>
      <c r="F2649" s="10">
        <v>3.33</v>
      </c>
    </row>
    <row r="2650" spans="1:6">
      <c r="A2650" t="s">
        <v>965</v>
      </c>
      <c r="B2650" s="2" t="s">
        <v>973</v>
      </c>
      <c r="C2650" s="3" t="s">
        <v>994</v>
      </c>
      <c r="D2650" s="7">
        <v>5002</v>
      </c>
      <c r="E2650" t="s">
        <v>12</v>
      </c>
      <c r="F2650" s="10">
        <v>3.55</v>
      </c>
    </row>
    <row r="2651" spans="1:6">
      <c r="A2651" t="s">
        <v>965</v>
      </c>
      <c r="B2651" s="2" t="s">
        <v>973</v>
      </c>
      <c r="C2651" s="3" t="s">
        <v>995</v>
      </c>
      <c r="D2651" s="7">
        <v>5072</v>
      </c>
      <c r="E2651" t="s">
        <v>12</v>
      </c>
      <c r="F2651" s="10">
        <v>3.5</v>
      </c>
    </row>
    <row r="2652" spans="1:6">
      <c r="A2652" t="s">
        <v>965</v>
      </c>
      <c r="B2652" s="2" t="s">
        <v>973</v>
      </c>
      <c r="C2652" s="3" t="s">
        <v>996</v>
      </c>
      <c r="D2652" s="7">
        <v>5077</v>
      </c>
      <c r="E2652" t="s">
        <v>12</v>
      </c>
      <c r="F2652" s="10">
        <v>3.25</v>
      </c>
    </row>
    <row r="2653" spans="1:6">
      <c r="A2653" t="s">
        <v>965</v>
      </c>
      <c r="B2653" s="2" t="s">
        <v>973</v>
      </c>
      <c r="C2653" s="3" t="s">
        <v>997</v>
      </c>
      <c r="D2653" s="7">
        <v>5082</v>
      </c>
      <c r="E2653" t="s">
        <v>12</v>
      </c>
      <c r="F2653" s="10">
        <v>3.48</v>
      </c>
    </row>
    <row r="2654" spans="1:6">
      <c r="A2654" t="s">
        <v>965</v>
      </c>
      <c r="B2654" s="2" t="s">
        <v>973</v>
      </c>
      <c r="C2654" s="3" t="s">
        <v>998</v>
      </c>
      <c r="D2654" s="7">
        <v>5087</v>
      </c>
      <c r="E2654" t="s">
        <v>12</v>
      </c>
      <c r="F2654" s="10">
        <v>3.39</v>
      </c>
    </row>
    <row r="2655" spans="1:6">
      <c r="A2655" t="s">
        <v>965</v>
      </c>
      <c r="B2655" s="2" t="s">
        <v>973</v>
      </c>
      <c r="C2655" s="3" t="s">
        <v>999</v>
      </c>
      <c r="D2655" s="7">
        <v>5092</v>
      </c>
      <c r="E2655" t="s">
        <v>12</v>
      </c>
      <c r="F2655" s="10">
        <v>3.5</v>
      </c>
    </row>
    <row r="2656" spans="1:6">
      <c r="A2656" t="s">
        <v>965</v>
      </c>
      <c r="B2656" s="2" t="s">
        <v>973</v>
      </c>
      <c r="C2656" s="3" t="s">
        <v>1000</v>
      </c>
      <c r="D2656" s="7">
        <v>4654</v>
      </c>
      <c r="E2656" t="s">
        <v>12</v>
      </c>
      <c r="F2656" s="10">
        <v>2.84</v>
      </c>
    </row>
    <row r="2657" spans="1:6">
      <c r="A2657" t="s">
        <v>965</v>
      </c>
      <c r="B2657" s="2" t="s">
        <v>973</v>
      </c>
      <c r="C2657" s="3" t="s">
        <v>1001</v>
      </c>
      <c r="D2657" s="7">
        <v>4659</v>
      </c>
      <c r="E2657" t="s">
        <v>12</v>
      </c>
      <c r="F2657" s="10">
        <v>3.3</v>
      </c>
    </row>
    <row r="2658" spans="1:6">
      <c r="A2658" t="s">
        <v>965</v>
      </c>
      <c r="B2658" s="2" t="s">
        <v>973</v>
      </c>
      <c r="C2658" s="3" t="s">
        <v>1002</v>
      </c>
      <c r="D2658" s="7">
        <v>4664</v>
      </c>
      <c r="E2658" t="s">
        <v>12</v>
      </c>
      <c r="F2658" s="10">
        <v>3.37</v>
      </c>
    </row>
    <row r="2659" spans="1:6">
      <c r="A2659" t="s">
        <v>85</v>
      </c>
      <c r="B2659" s="2" t="s">
        <v>1003</v>
      </c>
      <c r="C2659" s="3" t="s">
        <v>1004</v>
      </c>
      <c r="D2659" s="7">
        <v>4800</v>
      </c>
      <c r="E2659" t="s">
        <v>9</v>
      </c>
      <c r="F2659" s="10">
        <v>3.31</v>
      </c>
    </row>
    <row r="2660" spans="1:6">
      <c r="A2660" t="s">
        <v>85</v>
      </c>
      <c r="B2660" s="2" t="s">
        <v>1003</v>
      </c>
      <c r="C2660" s="3" t="s">
        <v>1004</v>
      </c>
      <c r="D2660" s="7">
        <v>4798</v>
      </c>
      <c r="E2660" t="s">
        <v>11</v>
      </c>
      <c r="F2660" s="10">
        <v>8.4700000000000006</v>
      </c>
    </row>
    <row r="2661" spans="1:6">
      <c r="A2661" t="s">
        <v>85</v>
      </c>
      <c r="B2661" s="2" t="s">
        <v>1003</v>
      </c>
      <c r="C2661" s="3" t="s">
        <v>1004</v>
      </c>
      <c r="D2661" s="7">
        <v>4799</v>
      </c>
      <c r="E2661" t="s">
        <v>12</v>
      </c>
      <c r="F2661" s="10">
        <v>3.18</v>
      </c>
    </row>
    <row r="2662" spans="1:6">
      <c r="A2662" t="s">
        <v>85</v>
      </c>
      <c r="B2662" t="s">
        <v>1005</v>
      </c>
      <c r="C2662" s="1" t="s">
        <v>1006</v>
      </c>
      <c r="D2662" s="7">
        <v>878</v>
      </c>
      <c r="E2662" t="s">
        <v>9</v>
      </c>
      <c r="F2662" s="9">
        <v>2.9</v>
      </c>
    </row>
    <row r="2663" spans="1:6">
      <c r="A2663" t="s">
        <v>85</v>
      </c>
      <c r="B2663" t="s">
        <v>1005</v>
      </c>
      <c r="C2663" s="1" t="s">
        <v>1007</v>
      </c>
      <c r="D2663" s="7">
        <v>884</v>
      </c>
      <c r="E2663" t="s">
        <v>9</v>
      </c>
      <c r="F2663" s="1">
        <v>3.0150000000000001</v>
      </c>
    </row>
    <row r="2664" spans="1:6">
      <c r="A2664" t="s">
        <v>85</v>
      </c>
      <c r="B2664" t="s">
        <v>1005</v>
      </c>
      <c r="C2664" s="1" t="s">
        <v>1008</v>
      </c>
      <c r="D2664" s="7">
        <v>890</v>
      </c>
      <c r="E2664" t="s">
        <v>9</v>
      </c>
      <c r="F2664" s="1">
        <v>3.044</v>
      </c>
    </row>
    <row r="2665" spans="1:6">
      <c r="A2665" t="s">
        <v>85</v>
      </c>
      <c r="B2665" t="s">
        <v>1005</v>
      </c>
      <c r="C2665" s="1" t="s">
        <v>1009</v>
      </c>
      <c r="D2665" s="7">
        <v>2208</v>
      </c>
      <c r="E2665" t="s">
        <v>9</v>
      </c>
      <c r="F2665" s="1">
        <v>2.835</v>
      </c>
    </row>
    <row r="2666" spans="1:6">
      <c r="A2666" t="s">
        <v>85</v>
      </c>
      <c r="B2666" t="s">
        <v>1005</v>
      </c>
      <c r="C2666" s="1" t="s">
        <v>1010</v>
      </c>
      <c r="D2666" s="7">
        <v>2214</v>
      </c>
      <c r="E2666" t="s">
        <v>9</v>
      </c>
      <c r="F2666" s="1">
        <v>2.4750000000000001</v>
      </c>
    </row>
    <row r="2667" spans="1:6">
      <c r="A2667" t="s">
        <v>85</v>
      </c>
      <c r="B2667" t="s">
        <v>1005</v>
      </c>
      <c r="C2667" s="1" t="s">
        <v>1011</v>
      </c>
      <c r="D2667" s="7">
        <v>2220</v>
      </c>
      <c r="E2667" t="s">
        <v>9</v>
      </c>
      <c r="F2667" s="1">
        <v>2.7519999999999998</v>
      </c>
    </row>
    <row r="2668" spans="1:6">
      <c r="A2668" t="s">
        <v>85</v>
      </c>
      <c r="B2668" t="s">
        <v>1005</v>
      </c>
      <c r="C2668" s="1" t="s">
        <v>1006</v>
      </c>
      <c r="D2668" s="7">
        <v>879</v>
      </c>
      <c r="E2668" t="s">
        <v>10</v>
      </c>
      <c r="F2668" s="1">
        <v>4.6680000000000001</v>
      </c>
    </row>
    <row r="2669" spans="1:6">
      <c r="A2669" t="s">
        <v>85</v>
      </c>
      <c r="B2669" t="s">
        <v>1005</v>
      </c>
      <c r="C2669" s="1" t="s">
        <v>1007</v>
      </c>
      <c r="D2669" s="7">
        <v>885</v>
      </c>
      <c r="E2669" t="s">
        <v>10</v>
      </c>
      <c r="F2669" s="9">
        <v>4.93</v>
      </c>
    </row>
    <row r="2670" spans="1:6">
      <c r="A2670" t="s">
        <v>85</v>
      </c>
      <c r="B2670" t="s">
        <v>1005</v>
      </c>
      <c r="C2670" s="1" t="s">
        <v>1008</v>
      </c>
      <c r="D2670" s="7">
        <v>891</v>
      </c>
      <c r="E2670" t="s">
        <v>10</v>
      </c>
      <c r="F2670" s="1">
        <v>4.8010000000000002</v>
      </c>
    </row>
    <row r="2671" spans="1:6">
      <c r="A2671" t="s">
        <v>85</v>
      </c>
      <c r="B2671" t="s">
        <v>1005</v>
      </c>
      <c r="C2671" s="1" t="s">
        <v>1009</v>
      </c>
      <c r="D2671" s="7">
        <v>2209</v>
      </c>
      <c r="E2671" t="s">
        <v>10</v>
      </c>
      <c r="F2671" s="1">
        <v>5.5259999999999998</v>
      </c>
    </row>
    <row r="2672" spans="1:6">
      <c r="A2672" t="s">
        <v>85</v>
      </c>
      <c r="B2672" t="s">
        <v>1005</v>
      </c>
      <c r="C2672" s="1" t="s">
        <v>1010</v>
      </c>
      <c r="D2672" s="7">
        <v>2215</v>
      </c>
      <c r="E2672" t="s">
        <v>10</v>
      </c>
      <c r="F2672" s="1">
        <v>4.1859999999999999</v>
      </c>
    </row>
    <row r="2673" spans="1:6">
      <c r="A2673" t="s">
        <v>85</v>
      </c>
      <c r="B2673" t="s">
        <v>1005</v>
      </c>
      <c r="C2673" s="1" t="s">
        <v>1011</v>
      </c>
      <c r="D2673" s="7">
        <v>2221</v>
      </c>
      <c r="E2673" t="s">
        <v>10</v>
      </c>
      <c r="F2673" s="1">
        <v>5.3650000000000002</v>
      </c>
    </row>
    <row r="2674" spans="1:6">
      <c r="A2674" t="s">
        <v>85</v>
      </c>
      <c r="B2674" t="s">
        <v>1005</v>
      </c>
      <c r="C2674" s="1" t="s">
        <v>1006</v>
      </c>
      <c r="D2674" s="7">
        <v>877</v>
      </c>
      <c r="E2674" t="s">
        <v>11</v>
      </c>
      <c r="F2674" s="1">
        <v>7.7249999999999996</v>
      </c>
    </row>
    <row r="2675" spans="1:6">
      <c r="A2675" t="s">
        <v>85</v>
      </c>
      <c r="B2675" t="s">
        <v>1005</v>
      </c>
      <c r="C2675" s="1" t="s">
        <v>1007</v>
      </c>
      <c r="D2675" s="7">
        <v>883</v>
      </c>
      <c r="E2675" t="s">
        <v>11</v>
      </c>
      <c r="F2675" s="1">
        <v>8.0259999999999998</v>
      </c>
    </row>
    <row r="2676" spans="1:6">
      <c r="A2676" t="s">
        <v>85</v>
      </c>
      <c r="B2676" t="s">
        <v>1005</v>
      </c>
      <c r="C2676" s="1" t="s">
        <v>1008</v>
      </c>
      <c r="D2676" s="7">
        <v>889</v>
      </c>
      <c r="E2676" t="s">
        <v>11</v>
      </c>
      <c r="F2676" s="1">
        <v>8.0530000000000008</v>
      </c>
    </row>
    <row r="2677" spans="1:6">
      <c r="A2677" t="s">
        <v>85</v>
      </c>
      <c r="B2677" t="s">
        <v>1005</v>
      </c>
      <c r="C2677" s="1" t="s">
        <v>1009</v>
      </c>
      <c r="D2677" s="7">
        <v>2207</v>
      </c>
      <c r="E2677" t="s">
        <v>11</v>
      </c>
      <c r="F2677" s="1">
        <v>8.4220000000000006</v>
      </c>
    </row>
    <row r="2678" spans="1:6">
      <c r="A2678" t="s">
        <v>85</v>
      </c>
      <c r="B2678" t="s">
        <v>1005</v>
      </c>
      <c r="C2678" s="1" t="s">
        <v>1010</v>
      </c>
      <c r="D2678" s="7">
        <v>2213</v>
      </c>
      <c r="E2678" t="s">
        <v>11</v>
      </c>
      <c r="F2678" s="9">
        <v>7.68</v>
      </c>
    </row>
    <row r="2679" spans="1:6">
      <c r="A2679" t="s">
        <v>85</v>
      </c>
      <c r="B2679" t="s">
        <v>1005</v>
      </c>
      <c r="C2679" s="1" t="s">
        <v>1011</v>
      </c>
      <c r="D2679" s="7">
        <v>2219</v>
      </c>
      <c r="E2679" t="s">
        <v>11</v>
      </c>
      <c r="F2679" s="1">
        <v>7.8339999999999996</v>
      </c>
    </row>
    <row r="2680" spans="1:6">
      <c r="A2680" t="s">
        <v>85</v>
      </c>
      <c r="B2680" t="s">
        <v>1005</v>
      </c>
      <c r="C2680" s="3" t="s">
        <v>1012</v>
      </c>
      <c r="D2680" s="7">
        <v>4928</v>
      </c>
      <c r="E2680" t="s">
        <v>12</v>
      </c>
      <c r="F2680" s="10">
        <v>2.85</v>
      </c>
    </row>
    <row r="2681" spans="1:6">
      <c r="A2681" t="s">
        <v>85</v>
      </c>
      <c r="B2681" t="s">
        <v>1005</v>
      </c>
      <c r="C2681" s="3" t="s">
        <v>1013</v>
      </c>
      <c r="D2681" s="7">
        <v>4924</v>
      </c>
      <c r="E2681" t="s">
        <v>12</v>
      </c>
      <c r="F2681" s="10">
        <v>2.8</v>
      </c>
    </row>
    <row r="2682" spans="1:6">
      <c r="A2682" t="s">
        <v>85</v>
      </c>
      <c r="B2682" t="s">
        <v>1005</v>
      </c>
      <c r="C2682" s="3" t="s">
        <v>1014</v>
      </c>
      <c r="D2682" s="7">
        <v>4926</v>
      </c>
      <c r="E2682" t="s">
        <v>12</v>
      </c>
      <c r="F2682" s="10">
        <v>2.87</v>
      </c>
    </row>
    <row r="2683" spans="1:6">
      <c r="A2683" t="s">
        <v>85</v>
      </c>
      <c r="B2683" t="s">
        <v>1005</v>
      </c>
      <c r="C2683" s="3" t="s">
        <v>1015</v>
      </c>
      <c r="D2683" s="7">
        <v>4925</v>
      </c>
      <c r="E2683" t="s">
        <v>12</v>
      </c>
      <c r="F2683" s="10">
        <v>2.65</v>
      </c>
    </row>
    <row r="2684" spans="1:6">
      <c r="A2684" t="s">
        <v>85</v>
      </c>
      <c r="B2684" t="s">
        <v>1005</v>
      </c>
      <c r="C2684" s="3" t="s">
        <v>1016</v>
      </c>
      <c r="D2684" s="7">
        <v>4927</v>
      </c>
      <c r="E2684" t="s">
        <v>12</v>
      </c>
      <c r="F2684" s="10">
        <v>2.78</v>
      </c>
    </row>
    <row r="2685" spans="1:6">
      <c r="A2685" t="s">
        <v>85</v>
      </c>
      <c r="B2685" t="s">
        <v>1017</v>
      </c>
      <c r="C2685" s="1" t="s">
        <v>1018</v>
      </c>
      <c r="D2685" s="7">
        <v>1040</v>
      </c>
      <c r="E2685" t="s">
        <v>9</v>
      </c>
      <c r="F2685" s="1">
        <v>1.276</v>
      </c>
    </row>
    <row r="2686" spans="1:6">
      <c r="A2686" t="s">
        <v>85</v>
      </c>
      <c r="B2686" t="s">
        <v>1017</v>
      </c>
      <c r="C2686" s="1" t="s">
        <v>1019</v>
      </c>
      <c r="D2686" s="7">
        <v>1718</v>
      </c>
      <c r="E2686" t="s">
        <v>9</v>
      </c>
      <c r="F2686" s="9">
        <v>1.26</v>
      </c>
    </row>
    <row r="2687" spans="1:6">
      <c r="A2687" t="s">
        <v>85</v>
      </c>
      <c r="B2687" t="s">
        <v>1017</v>
      </c>
      <c r="C2687" s="1" t="s">
        <v>1020</v>
      </c>
      <c r="D2687" s="7">
        <v>1730</v>
      </c>
      <c r="E2687" t="s">
        <v>9</v>
      </c>
      <c r="F2687" s="9">
        <v>1.22</v>
      </c>
    </row>
    <row r="2688" spans="1:6">
      <c r="A2688" t="s">
        <v>85</v>
      </c>
      <c r="B2688" t="s">
        <v>1017</v>
      </c>
      <c r="C2688" s="1" t="s">
        <v>1021</v>
      </c>
      <c r="D2688" s="7">
        <v>2328</v>
      </c>
      <c r="E2688" t="s">
        <v>9</v>
      </c>
      <c r="F2688" s="9">
        <v>1.22</v>
      </c>
    </row>
    <row r="2689" spans="1:6">
      <c r="A2689" t="s">
        <v>85</v>
      </c>
      <c r="B2689" t="s">
        <v>1017</v>
      </c>
      <c r="C2689" s="1" t="s">
        <v>1018</v>
      </c>
      <c r="D2689" s="7">
        <v>1041</v>
      </c>
      <c r="E2689" t="s">
        <v>10</v>
      </c>
      <c r="F2689" s="1">
        <v>1.8620000000000001</v>
      </c>
    </row>
    <row r="2690" spans="1:6">
      <c r="A2690" t="s">
        <v>85</v>
      </c>
      <c r="B2690" t="s">
        <v>1017</v>
      </c>
      <c r="C2690" s="1" t="s">
        <v>1019</v>
      </c>
      <c r="D2690" s="7">
        <v>1719</v>
      </c>
      <c r="E2690" t="s">
        <v>10</v>
      </c>
      <c r="F2690" s="1">
        <v>1.9570000000000001</v>
      </c>
    </row>
    <row r="2691" spans="1:6">
      <c r="A2691" t="s">
        <v>85</v>
      </c>
      <c r="B2691" t="s">
        <v>1017</v>
      </c>
      <c r="C2691" s="1" t="s">
        <v>1020</v>
      </c>
      <c r="D2691" s="7">
        <v>1731</v>
      </c>
      <c r="E2691" t="s">
        <v>10</v>
      </c>
      <c r="F2691" s="1">
        <v>1.921</v>
      </c>
    </row>
    <row r="2692" spans="1:6">
      <c r="A2692" t="s">
        <v>85</v>
      </c>
      <c r="B2692" t="s">
        <v>1017</v>
      </c>
      <c r="C2692" s="1" t="s">
        <v>1021</v>
      </c>
      <c r="D2692" s="7">
        <v>2329</v>
      </c>
      <c r="E2692" t="s">
        <v>10</v>
      </c>
      <c r="F2692" s="1">
        <v>1.9410000000000001</v>
      </c>
    </row>
    <row r="2693" spans="1:6">
      <c r="A2693" t="s">
        <v>85</v>
      </c>
      <c r="B2693" t="s">
        <v>1017</v>
      </c>
      <c r="C2693" s="1" t="s">
        <v>1018</v>
      </c>
      <c r="D2693" s="7">
        <v>1039</v>
      </c>
      <c r="E2693" t="s">
        <v>11</v>
      </c>
      <c r="F2693" s="1">
        <v>4.3319999999999999</v>
      </c>
    </row>
    <row r="2694" spans="1:6">
      <c r="A2694" t="s">
        <v>85</v>
      </c>
      <c r="B2694" t="s">
        <v>1017</v>
      </c>
      <c r="C2694" s="1" t="s">
        <v>1019</v>
      </c>
      <c r="D2694" s="7">
        <v>1717</v>
      </c>
      <c r="E2694" t="s">
        <v>11</v>
      </c>
      <c r="F2694" s="9">
        <v>4.22</v>
      </c>
    </row>
    <row r="2695" spans="1:6">
      <c r="A2695" t="s">
        <v>85</v>
      </c>
      <c r="B2695" t="s">
        <v>1017</v>
      </c>
      <c r="C2695" s="1" t="s">
        <v>1020</v>
      </c>
      <c r="D2695" s="7">
        <v>1729</v>
      </c>
      <c r="E2695" t="s">
        <v>11</v>
      </c>
      <c r="F2695" s="1">
        <v>4.0469999999999997</v>
      </c>
    </row>
    <row r="2696" spans="1:6">
      <c r="A2696" t="s">
        <v>85</v>
      </c>
      <c r="B2696" t="s">
        <v>1017</v>
      </c>
      <c r="C2696" s="1" t="s">
        <v>1021</v>
      </c>
      <c r="D2696" s="7">
        <v>2327</v>
      </c>
      <c r="E2696" t="s">
        <v>11</v>
      </c>
      <c r="F2696" s="1">
        <v>4.1479999999999997</v>
      </c>
    </row>
    <row r="2697" spans="1:6">
      <c r="A2697" t="s">
        <v>85</v>
      </c>
      <c r="B2697" t="s">
        <v>1017</v>
      </c>
      <c r="C2697" s="3" t="s">
        <v>1022</v>
      </c>
      <c r="D2697" s="7">
        <v>5135</v>
      </c>
      <c r="E2697" t="s">
        <v>12</v>
      </c>
      <c r="F2697" s="10">
        <v>1.48</v>
      </c>
    </row>
    <row r="2698" spans="1:6">
      <c r="A2698" t="s">
        <v>85</v>
      </c>
      <c r="B2698" t="s">
        <v>1017</v>
      </c>
      <c r="C2698" s="3" t="s">
        <v>1023</v>
      </c>
      <c r="D2698" s="7">
        <v>5136</v>
      </c>
      <c r="E2698" t="s">
        <v>12</v>
      </c>
      <c r="F2698" s="10">
        <v>1.51</v>
      </c>
    </row>
    <row r="2699" spans="1:6">
      <c r="A2699" t="s">
        <v>85</v>
      </c>
      <c r="B2699" t="s">
        <v>1017</v>
      </c>
      <c r="C2699" s="3" t="s">
        <v>1024</v>
      </c>
      <c r="D2699" s="7">
        <v>5137</v>
      </c>
      <c r="E2699" t="s">
        <v>12</v>
      </c>
      <c r="F2699" s="10">
        <v>1.55</v>
      </c>
    </row>
    <row r="2700" spans="1:6">
      <c r="A2700" t="s">
        <v>85</v>
      </c>
      <c r="B2700" t="s">
        <v>1025</v>
      </c>
      <c r="C2700" s="1" t="s">
        <v>1026</v>
      </c>
      <c r="D2700" s="7">
        <v>1154</v>
      </c>
      <c r="E2700" t="s">
        <v>9</v>
      </c>
      <c r="F2700" s="9">
        <v>1.48</v>
      </c>
    </row>
    <row r="2701" spans="1:6">
      <c r="A2701" t="s">
        <v>85</v>
      </c>
      <c r="B2701" t="s">
        <v>1025</v>
      </c>
      <c r="C2701" s="1" t="s">
        <v>1027</v>
      </c>
      <c r="D2701" s="7">
        <v>1160</v>
      </c>
      <c r="E2701" t="s">
        <v>9</v>
      </c>
      <c r="F2701" s="1">
        <v>1.448</v>
      </c>
    </row>
    <row r="2702" spans="1:6">
      <c r="A2702" t="s">
        <v>85</v>
      </c>
      <c r="B2702" t="s">
        <v>1025</v>
      </c>
      <c r="C2702" s="1" t="s">
        <v>1028</v>
      </c>
      <c r="D2702" s="7">
        <v>1166</v>
      </c>
      <c r="E2702" t="s">
        <v>9</v>
      </c>
      <c r="F2702" s="9">
        <v>1.43</v>
      </c>
    </row>
    <row r="2703" spans="1:6">
      <c r="A2703" t="s">
        <v>85</v>
      </c>
      <c r="B2703" t="s">
        <v>1025</v>
      </c>
      <c r="C2703" s="1" t="s">
        <v>1029</v>
      </c>
      <c r="D2703" s="7">
        <v>1172</v>
      </c>
      <c r="E2703" t="s">
        <v>9</v>
      </c>
      <c r="F2703" s="1">
        <v>1.405</v>
      </c>
    </row>
    <row r="2704" spans="1:6">
      <c r="A2704" t="s">
        <v>85</v>
      </c>
      <c r="B2704" t="s">
        <v>1025</v>
      </c>
      <c r="C2704" s="1" t="s">
        <v>1030</v>
      </c>
      <c r="D2704" s="7">
        <v>1178</v>
      </c>
      <c r="E2704" t="s">
        <v>9</v>
      </c>
      <c r="F2704" s="1">
        <v>1.4930000000000001</v>
      </c>
    </row>
    <row r="2705" spans="1:6">
      <c r="A2705" t="s">
        <v>85</v>
      </c>
      <c r="B2705" t="s">
        <v>1025</v>
      </c>
      <c r="C2705" s="1" t="s">
        <v>1031</v>
      </c>
      <c r="D2705" s="7">
        <v>1184</v>
      </c>
      <c r="E2705" t="s">
        <v>9</v>
      </c>
      <c r="F2705" s="1">
        <v>1.3720000000000001</v>
      </c>
    </row>
    <row r="2706" spans="1:6">
      <c r="A2706" t="s">
        <v>85</v>
      </c>
      <c r="B2706" t="s">
        <v>1025</v>
      </c>
      <c r="C2706" s="1" t="s">
        <v>1032</v>
      </c>
      <c r="D2706" s="7">
        <v>1190</v>
      </c>
      <c r="E2706" t="s">
        <v>9</v>
      </c>
      <c r="F2706" s="1">
        <v>1.369</v>
      </c>
    </row>
    <row r="2707" spans="1:6">
      <c r="A2707" t="s">
        <v>85</v>
      </c>
      <c r="B2707" t="s">
        <v>1025</v>
      </c>
      <c r="C2707" s="1" t="s">
        <v>1033</v>
      </c>
      <c r="D2707" s="7">
        <v>1196</v>
      </c>
      <c r="E2707" t="s">
        <v>9</v>
      </c>
      <c r="F2707" s="1">
        <v>1.4139999999999999</v>
      </c>
    </row>
    <row r="2708" spans="1:6">
      <c r="A2708" t="s">
        <v>85</v>
      </c>
      <c r="B2708" t="s">
        <v>1025</v>
      </c>
      <c r="C2708" s="1" t="s">
        <v>1034</v>
      </c>
      <c r="D2708" s="7">
        <v>1202</v>
      </c>
      <c r="E2708" t="s">
        <v>9</v>
      </c>
      <c r="F2708" s="1">
        <v>1.4570000000000001</v>
      </c>
    </row>
    <row r="2709" spans="1:6">
      <c r="A2709" t="s">
        <v>85</v>
      </c>
      <c r="B2709" t="s">
        <v>1025</v>
      </c>
      <c r="C2709" s="1" t="s">
        <v>1035</v>
      </c>
      <c r="D2709" s="7">
        <v>1208</v>
      </c>
      <c r="E2709" t="s">
        <v>9</v>
      </c>
      <c r="F2709" s="1">
        <v>1.425</v>
      </c>
    </row>
    <row r="2710" spans="1:6">
      <c r="A2710" t="s">
        <v>85</v>
      </c>
      <c r="B2710" t="s">
        <v>1025</v>
      </c>
      <c r="C2710" s="1" t="s">
        <v>1036</v>
      </c>
      <c r="D2710" s="7">
        <v>2322</v>
      </c>
      <c r="E2710" t="s">
        <v>9</v>
      </c>
      <c r="F2710" s="1">
        <v>1.363</v>
      </c>
    </row>
    <row r="2711" spans="1:6">
      <c r="A2711" t="s">
        <v>85</v>
      </c>
      <c r="B2711" t="s">
        <v>1025</v>
      </c>
      <c r="C2711" s="1" t="s">
        <v>1026</v>
      </c>
      <c r="D2711" s="7">
        <v>1155</v>
      </c>
      <c r="E2711" t="s">
        <v>10</v>
      </c>
      <c r="F2711" s="1">
        <v>1.6719999999999999</v>
      </c>
    </row>
    <row r="2712" spans="1:6">
      <c r="A2712" t="s">
        <v>85</v>
      </c>
      <c r="B2712" t="s">
        <v>1025</v>
      </c>
      <c r="C2712" s="1" t="s">
        <v>1027</v>
      </c>
      <c r="D2712" s="7">
        <v>1161</v>
      </c>
      <c r="E2712" t="s">
        <v>10</v>
      </c>
      <c r="F2712" s="9">
        <v>1.63</v>
      </c>
    </row>
    <row r="2713" spans="1:6">
      <c r="A2713" t="s">
        <v>85</v>
      </c>
      <c r="B2713" t="s">
        <v>1025</v>
      </c>
      <c r="C2713" s="1" t="s">
        <v>1028</v>
      </c>
      <c r="D2713" s="7">
        <v>1167</v>
      </c>
      <c r="E2713" t="s">
        <v>10</v>
      </c>
      <c r="F2713" s="1">
        <v>1.613</v>
      </c>
    </row>
    <row r="2714" spans="1:6">
      <c r="A2714" t="s">
        <v>85</v>
      </c>
      <c r="B2714" t="s">
        <v>1025</v>
      </c>
      <c r="C2714" s="1" t="s">
        <v>1029</v>
      </c>
      <c r="D2714" s="7">
        <v>1173</v>
      </c>
      <c r="E2714" t="s">
        <v>10</v>
      </c>
      <c r="F2714" s="9">
        <v>1.59</v>
      </c>
    </row>
    <row r="2715" spans="1:6">
      <c r="A2715" t="s">
        <v>85</v>
      </c>
      <c r="B2715" t="s">
        <v>1025</v>
      </c>
      <c r="C2715" s="1" t="s">
        <v>1030</v>
      </c>
      <c r="D2715" s="7">
        <v>1179</v>
      </c>
      <c r="E2715" t="s">
        <v>10</v>
      </c>
      <c r="F2715" s="1">
        <v>1.631</v>
      </c>
    </row>
    <row r="2716" spans="1:6">
      <c r="A2716" t="s">
        <v>85</v>
      </c>
      <c r="B2716" t="s">
        <v>1025</v>
      </c>
      <c r="C2716" s="1" t="s">
        <v>1031</v>
      </c>
      <c r="D2716" s="7">
        <v>1185</v>
      </c>
      <c r="E2716" t="s">
        <v>10</v>
      </c>
      <c r="F2716" s="9">
        <v>1.61</v>
      </c>
    </row>
    <row r="2717" spans="1:6">
      <c r="A2717" t="s">
        <v>85</v>
      </c>
      <c r="B2717" t="s">
        <v>1025</v>
      </c>
      <c r="C2717" s="1" t="s">
        <v>1032</v>
      </c>
      <c r="D2717" s="7">
        <v>1191</v>
      </c>
      <c r="E2717" t="s">
        <v>10</v>
      </c>
      <c r="F2717" s="1">
        <v>1.601</v>
      </c>
    </row>
    <row r="2718" spans="1:6">
      <c r="A2718" t="s">
        <v>85</v>
      </c>
      <c r="B2718" t="s">
        <v>1025</v>
      </c>
      <c r="C2718" s="1" t="s">
        <v>1033</v>
      </c>
      <c r="D2718" s="7">
        <v>1197</v>
      </c>
      <c r="E2718" t="s">
        <v>10</v>
      </c>
      <c r="F2718" s="1">
        <v>1.583</v>
      </c>
    </row>
    <row r="2719" spans="1:6">
      <c r="A2719" t="s">
        <v>85</v>
      </c>
      <c r="B2719" t="s">
        <v>1025</v>
      </c>
      <c r="C2719" s="1" t="s">
        <v>1034</v>
      </c>
      <c r="D2719" s="7">
        <v>1203</v>
      </c>
      <c r="E2719" t="s">
        <v>10</v>
      </c>
      <c r="F2719" s="1">
        <v>1.6180000000000001</v>
      </c>
    </row>
    <row r="2720" spans="1:6">
      <c r="A2720" t="s">
        <v>85</v>
      </c>
      <c r="B2720" t="s">
        <v>1025</v>
      </c>
      <c r="C2720" s="1" t="s">
        <v>1035</v>
      </c>
      <c r="D2720" s="7">
        <v>1209</v>
      </c>
      <c r="E2720" t="s">
        <v>10</v>
      </c>
      <c r="F2720" s="1">
        <v>1.6240000000000001</v>
      </c>
    </row>
    <row r="2721" spans="1:6">
      <c r="A2721" t="s">
        <v>85</v>
      </c>
      <c r="B2721" t="s">
        <v>1025</v>
      </c>
      <c r="C2721" s="1" t="s">
        <v>1036</v>
      </c>
      <c r="D2721" s="7">
        <v>2323</v>
      </c>
      <c r="E2721" t="s">
        <v>10</v>
      </c>
      <c r="F2721" s="1">
        <v>1.9650000000000001</v>
      </c>
    </row>
    <row r="2722" spans="1:6">
      <c r="A2722" t="s">
        <v>85</v>
      </c>
      <c r="B2722" t="s">
        <v>1025</v>
      </c>
      <c r="C2722" s="1" t="s">
        <v>1026</v>
      </c>
      <c r="D2722" s="7">
        <v>1153</v>
      </c>
      <c r="E2722" t="s">
        <v>11</v>
      </c>
      <c r="F2722" s="1">
        <v>5.5540000000000003</v>
      </c>
    </row>
    <row r="2723" spans="1:6">
      <c r="A2723" t="s">
        <v>85</v>
      </c>
      <c r="B2723" t="s">
        <v>1025</v>
      </c>
      <c r="C2723" s="1" t="s">
        <v>1027</v>
      </c>
      <c r="D2723" s="7">
        <v>1159</v>
      </c>
      <c r="E2723" t="s">
        <v>11</v>
      </c>
      <c r="F2723" s="1">
        <v>5.4370000000000003</v>
      </c>
    </row>
    <row r="2724" spans="1:6">
      <c r="A2724" t="s">
        <v>85</v>
      </c>
      <c r="B2724" t="s">
        <v>1025</v>
      </c>
      <c r="C2724" s="1" t="s">
        <v>1028</v>
      </c>
      <c r="D2724" s="7">
        <v>1165</v>
      </c>
      <c r="E2724" t="s">
        <v>11</v>
      </c>
      <c r="F2724" s="1">
        <v>5.3769999999999998</v>
      </c>
    </row>
    <row r="2725" spans="1:6">
      <c r="A2725" t="s">
        <v>85</v>
      </c>
      <c r="B2725" t="s">
        <v>1025</v>
      </c>
      <c r="C2725" s="1" t="s">
        <v>1029</v>
      </c>
      <c r="D2725" s="7">
        <v>1171</v>
      </c>
      <c r="E2725" t="s">
        <v>11</v>
      </c>
      <c r="F2725" s="1">
        <v>5.3289999999999997</v>
      </c>
    </row>
    <row r="2726" spans="1:6">
      <c r="A2726" t="s">
        <v>85</v>
      </c>
      <c r="B2726" t="s">
        <v>1025</v>
      </c>
      <c r="C2726" s="1" t="s">
        <v>1030</v>
      </c>
      <c r="D2726" s="7">
        <v>1177</v>
      </c>
      <c r="E2726" t="s">
        <v>11</v>
      </c>
      <c r="F2726" s="1">
        <v>5.5229999999999997</v>
      </c>
    </row>
    <row r="2727" spans="1:6">
      <c r="A2727" t="s">
        <v>85</v>
      </c>
      <c r="B2727" t="s">
        <v>1025</v>
      </c>
      <c r="C2727" s="1" t="s">
        <v>1031</v>
      </c>
      <c r="D2727" s="7">
        <v>1183</v>
      </c>
      <c r="E2727" t="s">
        <v>11</v>
      </c>
      <c r="F2727" s="1">
        <v>5.2809999999999997</v>
      </c>
    </row>
    <row r="2728" spans="1:6">
      <c r="A2728" t="s">
        <v>85</v>
      </c>
      <c r="B2728" t="s">
        <v>1025</v>
      </c>
      <c r="C2728" s="1" t="s">
        <v>1032</v>
      </c>
      <c r="D2728" s="7">
        <v>1189</v>
      </c>
      <c r="E2728" t="s">
        <v>11</v>
      </c>
      <c r="F2728" s="9">
        <v>5.52</v>
      </c>
    </row>
    <row r="2729" spans="1:6">
      <c r="A2729" t="s">
        <v>85</v>
      </c>
      <c r="B2729" t="s">
        <v>1025</v>
      </c>
      <c r="C2729" s="1" t="s">
        <v>1033</v>
      </c>
      <c r="D2729" s="7">
        <v>1195</v>
      </c>
      <c r="E2729" t="s">
        <v>11</v>
      </c>
      <c r="F2729" s="9">
        <v>5.33</v>
      </c>
    </row>
    <row r="2730" spans="1:6">
      <c r="A2730" t="s">
        <v>85</v>
      </c>
      <c r="B2730" t="s">
        <v>1025</v>
      </c>
      <c r="C2730" s="1" t="s">
        <v>1034</v>
      </c>
      <c r="D2730" s="7">
        <v>1201</v>
      </c>
      <c r="E2730" t="s">
        <v>11</v>
      </c>
      <c r="F2730" s="1">
        <v>5.4180000000000001</v>
      </c>
    </row>
    <row r="2731" spans="1:6">
      <c r="A2731" t="s">
        <v>85</v>
      </c>
      <c r="B2731" t="s">
        <v>1025</v>
      </c>
      <c r="C2731" s="1" t="s">
        <v>1035</v>
      </c>
      <c r="D2731" s="7">
        <v>1207</v>
      </c>
      <c r="E2731" t="s">
        <v>11</v>
      </c>
      <c r="F2731" s="1">
        <v>5.4249999999999998</v>
      </c>
    </row>
    <row r="2732" spans="1:6">
      <c r="A2732" t="s">
        <v>85</v>
      </c>
      <c r="B2732" t="s">
        <v>1025</v>
      </c>
      <c r="C2732" s="1" t="s">
        <v>1036</v>
      </c>
      <c r="D2732" s="7">
        <v>2321</v>
      </c>
      <c r="E2732" t="s">
        <v>11</v>
      </c>
      <c r="F2732" s="1">
        <v>4.6420000000000003</v>
      </c>
    </row>
    <row r="2733" spans="1:6">
      <c r="A2733" t="s">
        <v>85</v>
      </c>
      <c r="B2733" t="s">
        <v>1025</v>
      </c>
      <c r="C2733" s="3" t="s">
        <v>1037</v>
      </c>
      <c r="D2733" s="7">
        <v>5140</v>
      </c>
      <c r="E2733" t="s">
        <v>12</v>
      </c>
      <c r="F2733" s="10">
        <v>1.75</v>
      </c>
    </row>
    <row r="2734" spans="1:6">
      <c r="A2734" t="s">
        <v>85</v>
      </c>
      <c r="B2734" t="s">
        <v>1025</v>
      </c>
      <c r="C2734" s="3" t="s">
        <v>1038</v>
      </c>
      <c r="D2734" s="7">
        <v>5139</v>
      </c>
      <c r="E2734" t="s">
        <v>12</v>
      </c>
      <c r="F2734" s="10">
        <v>1.7</v>
      </c>
    </row>
    <row r="2735" spans="1:6">
      <c r="A2735" t="s">
        <v>85</v>
      </c>
      <c r="B2735" t="s">
        <v>1025</v>
      </c>
      <c r="C2735" s="3" t="s">
        <v>1039</v>
      </c>
      <c r="D2735" s="7">
        <v>5138</v>
      </c>
      <c r="E2735" t="s">
        <v>12</v>
      </c>
      <c r="F2735" s="10">
        <v>1.8</v>
      </c>
    </row>
    <row r="2736" spans="1:6">
      <c r="A2736" t="s">
        <v>18</v>
      </c>
      <c r="B2736" s="2" t="s">
        <v>1040</v>
      </c>
      <c r="C2736" s="3" t="s">
        <v>1041</v>
      </c>
      <c r="D2736" s="7">
        <v>4755</v>
      </c>
      <c r="E2736" t="s">
        <v>9</v>
      </c>
      <c r="F2736" s="10">
        <v>1.73</v>
      </c>
    </row>
    <row r="2737" spans="1:6">
      <c r="A2737" t="s">
        <v>18</v>
      </c>
      <c r="B2737" s="2" t="s">
        <v>1040</v>
      </c>
      <c r="C2737" s="3" t="s">
        <v>1041</v>
      </c>
      <c r="D2737" s="7">
        <v>4753</v>
      </c>
      <c r="E2737" t="s">
        <v>11</v>
      </c>
      <c r="F2737" s="10">
        <v>6.32</v>
      </c>
    </row>
    <row r="2738" spans="1:6">
      <c r="A2738" t="s">
        <v>18</v>
      </c>
      <c r="B2738" s="2" t="s">
        <v>1040</v>
      </c>
      <c r="C2738" s="3" t="s">
        <v>1041</v>
      </c>
      <c r="D2738" s="7">
        <v>4754</v>
      </c>
      <c r="E2738" t="s">
        <v>12</v>
      </c>
      <c r="F2738" s="10">
        <v>2.09</v>
      </c>
    </row>
    <row r="2739" spans="1:6">
      <c r="A2739" t="s">
        <v>18</v>
      </c>
      <c r="B2739" s="2" t="s">
        <v>1042</v>
      </c>
      <c r="C2739" s="3" t="s">
        <v>1043</v>
      </c>
      <c r="D2739" s="7">
        <v>4760</v>
      </c>
      <c r="E2739" t="s">
        <v>9</v>
      </c>
      <c r="F2739" s="10">
        <v>1.62</v>
      </c>
    </row>
    <row r="2740" spans="1:6">
      <c r="A2740" t="s">
        <v>18</v>
      </c>
      <c r="B2740" s="2" t="s">
        <v>1042</v>
      </c>
      <c r="C2740" s="3" t="s">
        <v>1043</v>
      </c>
      <c r="D2740" s="7">
        <v>4761</v>
      </c>
      <c r="E2740" t="s">
        <v>10</v>
      </c>
      <c r="F2740" s="10">
        <f>1.8+2.79</f>
        <v>4.59</v>
      </c>
    </row>
    <row r="2741" spans="1:6">
      <c r="A2741" t="s">
        <v>18</v>
      </c>
      <c r="B2741" s="2" t="s">
        <v>1042</v>
      </c>
      <c r="C2741" s="3" t="s">
        <v>1043</v>
      </c>
      <c r="D2741" s="7">
        <v>4758</v>
      </c>
      <c r="E2741" t="s">
        <v>11</v>
      </c>
      <c r="F2741" s="10">
        <v>7.71</v>
      </c>
    </row>
    <row r="2742" spans="1:6">
      <c r="A2742" t="s">
        <v>18</v>
      </c>
      <c r="B2742" s="2" t="s">
        <v>1042</v>
      </c>
      <c r="C2742" s="3" t="s">
        <v>1043</v>
      </c>
      <c r="D2742" s="7">
        <v>4759</v>
      </c>
      <c r="E2742" t="s">
        <v>12</v>
      </c>
      <c r="F2742" s="10">
        <v>2.72</v>
      </c>
    </row>
    <row r="2743" spans="1:6">
      <c r="A2743" t="s">
        <v>18</v>
      </c>
      <c r="B2743" s="2" t="s">
        <v>1044</v>
      </c>
      <c r="C2743" s="3" t="s">
        <v>1045</v>
      </c>
      <c r="D2743" s="7">
        <v>4765</v>
      </c>
      <c r="E2743" t="s">
        <v>9</v>
      </c>
      <c r="F2743" s="10">
        <v>1.43</v>
      </c>
    </row>
    <row r="2744" spans="1:6">
      <c r="A2744" t="s">
        <v>18</v>
      </c>
      <c r="B2744" s="2" t="s">
        <v>1044</v>
      </c>
      <c r="C2744" s="3" t="s">
        <v>1045</v>
      </c>
      <c r="D2744" s="7">
        <v>4766</v>
      </c>
      <c r="E2744" t="s">
        <v>10</v>
      </c>
      <c r="F2744" s="10">
        <f>1.66+1.44</f>
        <v>3.0999999999999996</v>
      </c>
    </row>
    <row r="2745" spans="1:6">
      <c r="A2745" t="s">
        <v>18</v>
      </c>
      <c r="B2745" s="2" t="s">
        <v>1044</v>
      </c>
      <c r="C2745" s="3" t="s">
        <v>1045</v>
      </c>
      <c r="D2745" s="7">
        <v>4763</v>
      </c>
      <c r="E2745" t="s">
        <v>11</v>
      </c>
      <c r="F2745" s="10">
        <v>5.52</v>
      </c>
    </row>
    <row r="2746" spans="1:6">
      <c r="A2746" t="s">
        <v>18</v>
      </c>
      <c r="B2746" s="12" t="s">
        <v>1044</v>
      </c>
      <c r="C2746" s="3" t="s">
        <v>1045</v>
      </c>
      <c r="D2746" s="7">
        <v>4764</v>
      </c>
      <c r="E2746" t="s">
        <v>12</v>
      </c>
      <c r="F2746" s="10">
        <v>1.66</v>
      </c>
    </row>
    <row r="2747" spans="1:6">
      <c r="A2747" t="s">
        <v>85</v>
      </c>
      <c r="B2747" t="s">
        <v>1046</v>
      </c>
      <c r="C2747" s="1" t="s">
        <v>1047</v>
      </c>
      <c r="D2747" s="7">
        <v>1220</v>
      </c>
      <c r="E2747" t="s">
        <v>9</v>
      </c>
      <c r="F2747" s="1">
        <v>1.137</v>
      </c>
    </row>
    <row r="2748" spans="1:6">
      <c r="A2748" t="s">
        <v>85</v>
      </c>
      <c r="B2748" t="s">
        <v>1046</v>
      </c>
      <c r="C2748" s="1" t="s">
        <v>1048</v>
      </c>
      <c r="D2748" s="7">
        <v>1226</v>
      </c>
      <c r="E2748" t="s">
        <v>9</v>
      </c>
      <c r="F2748" s="1">
        <v>1.1639999999999999</v>
      </c>
    </row>
    <row r="2749" spans="1:6">
      <c r="A2749" t="s">
        <v>85</v>
      </c>
      <c r="B2749" t="s">
        <v>1046</v>
      </c>
      <c r="C2749" s="1" t="s">
        <v>1049</v>
      </c>
      <c r="D2749" s="7">
        <v>1232</v>
      </c>
      <c r="E2749" t="s">
        <v>9</v>
      </c>
      <c r="F2749" s="1">
        <v>1.1220000000000001</v>
      </c>
    </row>
    <row r="2750" spans="1:6">
      <c r="A2750" t="s">
        <v>85</v>
      </c>
      <c r="B2750" t="s">
        <v>1046</v>
      </c>
      <c r="C2750" s="1" t="s">
        <v>1050</v>
      </c>
      <c r="D2750" s="7">
        <v>1238</v>
      </c>
      <c r="E2750" t="s">
        <v>9</v>
      </c>
      <c r="F2750" s="1">
        <v>1.137</v>
      </c>
    </row>
    <row r="2751" spans="1:6">
      <c r="A2751" t="s">
        <v>85</v>
      </c>
      <c r="B2751" t="s">
        <v>1046</v>
      </c>
      <c r="C2751" s="1" t="s">
        <v>1051</v>
      </c>
      <c r="D2751" s="7">
        <v>1244</v>
      </c>
      <c r="E2751" t="s">
        <v>9</v>
      </c>
      <c r="F2751" s="1">
        <v>1.149</v>
      </c>
    </row>
    <row r="2752" spans="1:6">
      <c r="A2752" t="s">
        <v>85</v>
      </c>
      <c r="B2752" t="s">
        <v>1046</v>
      </c>
      <c r="C2752" s="1" t="s">
        <v>1052</v>
      </c>
      <c r="D2752" s="7">
        <v>1250</v>
      </c>
      <c r="E2752" t="s">
        <v>9</v>
      </c>
      <c r="F2752" s="1">
        <v>1.155</v>
      </c>
    </row>
    <row r="2753" spans="1:6">
      <c r="A2753" t="s">
        <v>85</v>
      </c>
      <c r="B2753" t="s">
        <v>1046</v>
      </c>
      <c r="C2753" s="1" t="s">
        <v>1053</v>
      </c>
      <c r="D2753" s="7">
        <v>1256</v>
      </c>
      <c r="E2753" t="s">
        <v>9</v>
      </c>
      <c r="F2753" s="1">
        <v>1.1339999999999999</v>
      </c>
    </row>
    <row r="2754" spans="1:6">
      <c r="A2754" t="s">
        <v>85</v>
      </c>
      <c r="B2754" t="s">
        <v>1046</v>
      </c>
      <c r="C2754" s="1" t="s">
        <v>1054</v>
      </c>
      <c r="D2754" s="7">
        <v>1262</v>
      </c>
      <c r="E2754" t="s">
        <v>9</v>
      </c>
      <c r="F2754" s="1">
        <v>1.123</v>
      </c>
    </row>
    <row r="2755" spans="1:6">
      <c r="A2755" t="s">
        <v>85</v>
      </c>
      <c r="B2755" t="s">
        <v>1046</v>
      </c>
      <c r="C2755" s="1" t="s">
        <v>1055</v>
      </c>
      <c r="D2755" s="7">
        <v>1268</v>
      </c>
      <c r="E2755" t="s">
        <v>9</v>
      </c>
      <c r="F2755" s="1">
        <v>1.1180000000000001</v>
      </c>
    </row>
    <row r="2756" spans="1:6">
      <c r="A2756" t="s">
        <v>85</v>
      </c>
      <c r="B2756" t="s">
        <v>1046</v>
      </c>
      <c r="C2756" s="1" t="s">
        <v>1056</v>
      </c>
      <c r="D2756" s="7">
        <v>1274</v>
      </c>
      <c r="E2756" t="s">
        <v>9</v>
      </c>
      <c r="F2756" s="1">
        <v>1.1759999999999999</v>
      </c>
    </row>
    <row r="2757" spans="1:6">
      <c r="A2757" t="s">
        <v>85</v>
      </c>
      <c r="B2757" t="s">
        <v>1046</v>
      </c>
      <c r="C2757" s="1" t="s">
        <v>1047</v>
      </c>
      <c r="D2757" s="7">
        <v>1221</v>
      </c>
      <c r="E2757" t="s">
        <v>10</v>
      </c>
      <c r="F2757" s="1">
        <v>1.978</v>
      </c>
    </row>
    <row r="2758" spans="1:6">
      <c r="A2758" t="s">
        <v>85</v>
      </c>
      <c r="B2758" t="s">
        <v>1046</v>
      </c>
      <c r="C2758" s="1" t="s">
        <v>1048</v>
      </c>
      <c r="D2758" s="7">
        <v>1227</v>
      </c>
      <c r="E2758" t="s">
        <v>10</v>
      </c>
      <c r="F2758" s="1">
        <v>2.105</v>
      </c>
    </row>
    <row r="2759" spans="1:6">
      <c r="A2759" t="s">
        <v>85</v>
      </c>
      <c r="B2759" t="s">
        <v>1046</v>
      </c>
      <c r="C2759" s="1" t="s">
        <v>1049</v>
      </c>
      <c r="D2759" s="7">
        <v>1233</v>
      </c>
      <c r="E2759" t="s">
        <v>10</v>
      </c>
      <c r="F2759" s="1">
        <v>2.0419999999999998</v>
      </c>
    </row>
    <row r="2760" spans="1:6">
      <c r="A2760" t="s">
        <v>85</v>
      </c>
      <c r="B2760" t="s">
        <v>1046</v>
      </c>
      <c r="C2760" s="1" t="s">
        <v>1050</v>
      </c>
      <c r="D2760" s="7">
        <v>1239</v>
      </c>
      <c r="E2760" t="s">
        <v>10</v>
      </c>
      <c r="F2760" s="1">
        <v>2.0649999999999999</v>
      </c>
    </row>
    <row r="2761" spans="1:6">
      <c r="A2761" t="s">
        <v>85</v>
      </c>
      <c r="B2761" t="s">
        <v>1046</v>
      </c>
      <c r="C2761" s="1" t="s">
        <v>1051</v>
      </c>
      <c r="D2761" s="7">
        <v>1245</v>
      </c>
      <c r="E2761" t="s">
        <v>10</v>
      </c>
      <c r="F2761" s="1">
        <v>2.1989999999999998</v>
      </c>
    </row>
    <row r="2762" spans="1:6">
      <c r="A2762" t="s">
        <v>85</v>
      </c>
      <c r="B2762" t="s">
        <v>1046</v>
      </c>
      <c r="C2762" s="1" t="s">
        <v>1052</v>
      </c>
      <c r="D2762" s="7">
        <v>1251</v>
      </c>
      <c r="E2762" t="s">
        <v>10</v>
      </c>
      <c r="F2762" s="1">
        <v>2.1989999999999998</v>
      </c>
    </row>
    <row r="2763" spans="1:6">
      <c r="A2763" t="s">
        <v>85</v>
      </c>
      <c r="B2763" t="s">
        <v>1046</v>
      </c>
      <c r="C2763" s="1" t="s">
        <v>1053</v>
      </c>
      <c r="D2763" s="7">
        <v>1257</v>
      </c>
      <c r="E2763" t="s">
        <v>10</v>
      </c>
      <c r="F2763" s="1">
        <v>2.2589999999999999</v>
      </c>
    </row>
    <row r="2764" spans="1:6">
      <c r="A2764" t="s">
        <v>85</v>
      </c>
      <c r="B2764" t="s">
        <v>1046</v>
      </c>
      <c r="C2764" s="1" t="s">
        <v>1054</v>
      </c>
      <c r="D2764" s="7">
        <v>1263</v>
      </c>
      <c r="E2764" t="s">
        <v>10</v>
      </c>
      <c r="F2764" s="1">
        <v>1.982</v>
      </c>
    </row>
    <row r="2765" spans="1:6">
      <c r="A2765" t="s">
        <v>85</v>
      </c>
      <c r="B2765" t="s">
        <v>1046</v>
      </c>
      <c r="C2765" s="1" t="s">
        <v>1055</v>
      </c>
      <c r="D2765" s="7">
        <v>1269</v>
      </c>
      <c r="E2765" t="s">
        <v>10</v>
      </c>
      <c r="F2765" s="1">
        <v>2.0110000000000001</v>
      </c>
    </row>
    <row r="2766" spans="1:6">
      <c r="A2766" t="s">
        <v>85</v>
      </c>
      <c r="B2766" t="s">
        <v>1046</v>
      </c>
      <c r="C2766" s="1" t="s">
        <v>1056</v>
      </c>
      <c r="D2766" s="7">
        <v>1275</v>
      </c>
      <c r="E2766" t="s">
        <v>10</v>
      </c>
      <c r="F2766" s="1">
        <v>2.1150000000000002</v>
      </c>
    </row>
    <row r="2767" spans="1:6">
      <c r="A2767" t="s">
        <v>85</v>
      </c>
      <c r="B2767" t="s">
        <v>1046</v>
      </c>
      <c r="C2767" s="1" t="s">
        <v>1047</v>
      </c>
      <c r="D2767" s="7">
        <v>1219</v>
      </c>
      <c r="E2767" t="s">
        <v>11</v>
      </c>
      <c r="F2767" s="1">
        <v>4.625</v>
      </c>
    </row>
    <row r="2768" spans="1:6">
      <c r="A2768" t="s">
        <v>85</v>
      </c>
      <c r="B2768" t="s">
        <v>1046</v>
      </c>
      <c r="C2768" s="1" t="s">
        <v>1048</v>
      </c>
      <c r="D2768" s="7">
        <v>1225</v>
      </c>
      <c r="E2768" t="s">
        <v>11</v>
      </c>
      <c r="F2768" s="1">
        <v>4.5389999999999997</v>
      </c>
    </row>
    <row r="2769" spans="1:6">
      <c r="A2769" t="s">
        <v>85</v>
      </c>
      <c r="B2769" t="s">
        <v>1046</v>
      </c>
      <c r="C2769" s="1" t="s">
        <v>1049</v>
      </c>
      <c r="D2769" s="7">
        <v>1231</v>
      </c>
      <c r="E2769" t="s">
        <v>11</v>
      </c>
      <c r="F2769" s="1">
        <v>4.524</v>
      </c>
    </row>
    <row r="2770" spans="1:6">
      <c r="A2770" t="s">
        <v>85</v>
      </c>
      <c r="B2770" t="s">
        <v>1046</v>
      </c>
      <c r="C2770" s="1" t="s">
        <v>1050</v>
      </c>
      <c r="D2770" s="7">
        <v>1237</v>
      </c>
      <c r="E2770" t="s">
        <v>11</v>
      </c>
      <c r="F2770" s="1">
        <v>4.5439999999999996</v>
      </c>
    </row>
    <row r="2771" spans="1:6">
      <c r="A2771" t="s">
        <v>85</v>
      </c>
      <c r="B2771" t="s">
        <v>1046</v>
      </c>
      <c r="C2771" s="1" t="s">
        <v>1051</v>
      </c>
      <c r="D2771" s="7">
        <v>1243</v>
      </c>
      <c r="E2771" t="s">
        <v>11</v>
      </c>
      <c r="F2771" s="1">
        <v>4.3879999999999999</v>
      </c>
    </row>
    <row r="2772" spans="1:6">
      <c r="A2772" t="s">
        <v>85</v>
      </c>
      <c r="B2772" t="s">
        <v>1046</v>
      </c>
      <c r="C2772" s="1" t="s">
        <v>1052</v>
      </c>
      <c r="D2772" s="7">
        <v>1249</v>
      </c>
      <c r="E2772" t="s">
        <v>11</v>
      </c>
      <c r="F2772" s="1">
        <v>4.5880000000000001</v>
      </c>
    </row>
    <row r="2773" spans="1:6">
      <c r="A2773" t="s">
        <v>85</v>
      </c>
      <c r="B2773" t="s">
        <v>1046</v>
      </c>
      <c r="C2773" s="1" t="s">
        <v>1053</v>
      </c>
      <c r="D2773" s="7">
        <v>1255</v>
      </c>
      <c r="E2773" t="s">
        <v>11</v>
      </c>
      <c r="F2773" s="1">
        <v>4.6310000000000002</v>
      </c>
    </row>
    <row r="2774" spans="1:6">
      <c r="A2774" t="s">
        <v>85</v>
      </c>
      <c r="B2774" t="s">
        <v>1046</v>
      </c>
      <c r="C2774" s="1" t="s">
        <v>1054</v>
      </c>
      <c r="D2774" s="7">
        <v>1261</v>
      </c>
      <c r="E2774" t="s">
        <v>11</v>
      </c>
      <c r="F2774" s="9">
        <v>4.5599999999999996</v>
      </c>
    </row>
    <row r="2775" spans="1:6">
      <c r="A2775" t="s">
        <v>85</v>
      </c>
      <c r="B2775" t="s">
        <v>1046</v>
      </c>
      <c r="C2775" s="1" t="s">
        <v>1055</v>
      </c>
      <c r="D2775" s="7">
        <v>1267</v>
      </c>
      <c r="E2775" t="s">
        <v>11</v>
      </c>
      <c r="F2775" s="1">
        <v>4.4059999999999997</v>
      </c>
    </row>
    <row r="2776" spans="1:6">
      <c r="A2776" t="s">
        <v>85</v>
      </c>
      <c r="B2776" t="s">
        <v>1046</v>
      </c>
      <c r="C2776" s="1" t="s">
        <v>1056</v>
      </c>
      <c r="D2776" s="7">
        <v>1273</v>
      </c>
      <c r="E2776" t="s">
        <v>11</v>
      </c>
      <c r="F2776" s="1">
        <v>4.7469999999999999</v>
      </c>
    </row>
    <row r="2777" spans="1:6">
      <c r="A2777" t="s">
        <v>85</v>
      </c>
      <c r="B2777" t="s">
        <v>1046</v>
      </c>
      <c r="C2777" s="3" t="s">
        <v>1057</v>
      </c>
      <c r="D2777" s="7">
        <v>5119</v>
      </c>
      <c r="E2777" t="s">
        <v>12</v>
      </c>
      <c r="F2777" s="10">
        <v>1.68</v>
      </c>
    </row>
    <row r="2778" spans="1:6">
      <c r="A2778" t="s">
        <v>85</v>
      </c>
      <c r="B2778" t="s">
        <v>1046</v>
      </c>
      <c r="C2778" s="3" t="s">
        <v>1058</v>
      </c>
      <c r="D2778" s="7">
        <v>5118</v>
      </c>
      <c r="E2778" t="s">
        <v>12</v>
      </c>
      <c r="F2778" s="10">
        <v>1.5</v>
      </c>
    </row>
    <row r="2779" spans="1:6">
      <c r="A2779" t="s">
        <v>85</v>
      </c>
      <c r="B2779" t="s">
        <v>1046</v>
      </c>
      <c r="C2779" s="3" t="s">
        <v>1059</v>
      </c>
      <c r="D2779" s="7">
        <v>5117</v>
      </c>
      <c r="E2779" t="s">
        <v>12</v>
      </c>
      <c r="F2779" s="10">
        <v>1.56</v>
      </c>
    </row>
    <row r="2780" spans="1:6">
      <c r="A2780" t="s">
        <v>1060</v>
      </c>
      <c r="B2780" s="2" t="s">
        <v>1061</v>
      </c>
      <c r="C2780" s="8" t="s">
        <v>1062</v>
      </c>
      <c r="D2780" s="7">
        <v>4726</v>
      </c>
      <c r="E2780" t="s">
        <v>9</v>
      </c>
      <c r="F2780" s="10">
        <v>1.45</v>
      </c>
    </row>
    <row r="2781" spans="1:6">
      <c r="A2781" t="s">
        <v>1060</v>
      </c>
      <c r="B2781" s="2" t="s">
        <v>1061</v>
      </c>
      <c r="C2781" s="8" t="s">
        <v>1062</v>
      </c>
      <c r="D2781" s="7">
        <v>4727</v>
      </c>
      <c r="E2781" t="s">
        <v>10</v>
      </c>
      <c r="F2781" s="10">
        <f>1.57+2.17</f>
        <v>3.74</v>
      </c>
    </row>
    <row r="2782" spans="1:6">
      <c r="A2782" t="s">
        <v>1060</v>
      </c>
      <c r="B2782" s="2" t="s">
        <v>1061</v>
      </c>
      <c r="C2782" s="8" t="s">
        <v>1062</v>
      </c>
      <c r="D2782" s="7">
        <v>4724</v>
      </c>
      <c r="E2782" t="s">
        <v>11</v>
      </c>
      <c r="F2782" s="10">
        <v>6.14</v>
      </c>
    </row>
    <row r="2783" spans="1:6">
      <c r="A2783" t="s">
        <v>1060</v>
      </c>
      <c r="B2783" s="2" t="s">
        <v>1061</v>
      </c>
      <c r="C2783" s="8" t="s">
        <v>1062</v>
      </c>
      <c r="D2783" s="7">
        <v>4725</v>
      </c>
      <c r="E2783" t="s">
        <v>12</v>
      </c>
      <c r="F2783" s="10">
        <v>1.89</v>
      </c>
    </row>
    <row r="2784" spans="1:6">
      <c r="A2784" t="s">
        <v>85</v>
      </c>
      <c r="B2784" t="s">
        <v>1063</v>
      </c>
      <c r="C2784" s="3" t="s">
        <v>1064</v>
      </c>
      <c r="D2784" s="7">
        <v>4970</v>
      </c>
      <c r="E2784" t="s">
        <v>9</v>
      </c>
      <c r="F2784" s="10">
        <v>1.45</v>
      </c>
    </row>
    <row r="2785" spans="1:6">
      <c r="A2785" t="s">
        <v>85</v>
      </c>
      <c r="B2785" t="s">
        <v>1063</v>
      </c>
      <c r="C2785" s="3" t="s">
        <v>1065</v>
      </c>
      <c r="D2785" s="7">
        <v>4974</v>
      </c>
      <c r="E2785" t="s">
        <v>9</v>
      </c>
      <c r="F2785" s="10">
        <v>1.47</v>
      </c>
    </row>
    <row r="2786" spans="1:6">
      <c r="A2786" t="s">
        <v>85</v>
      </c>
      <c r="B2786" t="s">
        <v>1063</v>
      </c>
      <c r="C2786" s="1" t="s">
        <v>1066</v>
      </c>
      <c r="D2786" s="7">
        <v>2664</v>
      </c>
      <c r="E2786" t="s">
        <v>9</v>
      </c>
      <c r="F2786" s="1">
        <v>1.4079999999999999</v>
      </c>
    </row>
    <row r="2787" spans="1:6">
      <c r="A2787" t="s">
        <v>85</v>
      </c>
      <c r="B2787" t="s">
        <v>1063</v>
      </c>
      <c r="C2787" s="1" t="s">
        <v>1067</v>
      </c>
      <c r="D2787" s="7">
        <v>2670</v>
      </c>
      <c r="E2787" t="s">
        <v>9</v>
      </c>
      <c r="F2787" s="9">
        <v>1.41</v>
      </c>
    </row>
    <row r="2788" spans="1:6">
      <c r="A2788" t="s">
        <v>85</v>
      </c>
      <c r="B2788" t="s">
        <v>1063</v>
      </c>
      <c r="C2788" s="1" t="s">
        <v>1068</v>
      </c>
      <c r="D2788" s="7">
        <v>2676</v>
      </c>
      <c r="E2788" t="s">
        <v>9</v>
      </c>
      <c r="F2788" s="1">
        <v>1.3859999999999999</v>
      </c>
    </row>
    <row r="2789" spans="1:6">
      <c r="A2789" t="s">
        <v>85</v>
      </c>
      <c r="B2789" t="s">
        <v>1063</v>
      </c>
      <c r="C2789" s="1" t="s">
        <v>1069</v>
      </c>
      <c r="D2789" s="7">
        <v>2682</v>
      </c>
      <c r="E2789" t="s">
        <v>9</v>
      </c>
      <c r="F2789" s="1">
        <v>1.371</v>
      </c>
    </row>
    <row r="2790" spans="1:6">
      <c r="A2790" t="s">
        <v>85</v>
      </c>
      <c r="B2790" t="s">
        <v>1063</v>
      </c>
      <c r="C2790" s="1" t="s">
        <v>1070</v>
      </c>
      <c r="D2790" s="7">
        <v>2688</v>
      </c>
      <c r="E2790" t="s">
        <v>9</v>
      </c>
      <c r="F2790" s="1">
        <v>1.363</v>
      </c>
    </row>
    <row r="2791" spans="1:6">
      <c r="A2791" t="s">
        <v>85</v>
      </c>
      <c r="B2791" t="s">
        <v>1063</v>
      </c>
      <c r="C2791" s="3" t="s">
        <v>1065</v>
      </c>
      <c r="D2791" s="7">
        <v>4975</v>
      </c>
      <c r="E2791" t="s">
        <v>10</v>
      </c>
      <c r="F2791" s="10">
        <f>1.14+1.24</f>
        <v>2.38</v>
      </c>
    </row>
    <row r="2792" spans="1:6">
      <c r="A2792" t="s">
        <v>85</v>
      </c>
      <c r="B2792" t="s">
        <v>1063</v>
      </c>
      <c r="C2792" s="1" t="s">
        <v>1066</v>
      </c>
      <c r="D2792" s="7">
        <v>2665</v>
      </c>
      <c r="E2792" t="s">
        <v>10</v>
      </c>
      <c r="F2792" s="1">
        <v>1.752</v>
      </c>
    </row>
    <row r="2793" spans="1:6">
      <c r="A2793" t="s">
        <v>85</v>
      </c>
      <c r="B2793" t="s">
        <v>1063</v>
      </c>
      <c r="C2793" s="1" t="s">
        <v>1067</v>
      </c>
      <c r="D2793" s="7">
        <v>2671</v>
      </c>
      <c r="E2793" t="s">
        <v>10</v>
      </c>
      <c r="F2793" s="1">
        <v>1.722</v>
      </c>
    </row>
    <row r="2794" spans="1:6">
      <c r="A2794" t="s">
        <v>85</v>
      </c>
      <c r="B2794" t="s">
        <v>1063</v>
      </c>
      <c r="C2794" s="1" t="s">
        <v>1068</v>
      </c>
      <c r="D2794" s="7">
        <v>2677</v>
      </c>
      <c r="E2794" t="s">
        <v>10</v>
      </c>
      <c r="F2794" s="1">
        <v>1.796</v>
      </c>
    </row>
    <row r="2795" spans="1:6">
      <c r="A2795" t="s">
        <v>85</v>
      </c>
      <c r="B2795" t="s">
        <v>1063</v>
      </c>
      <c r="C2795" s="1" t="s">
        <v>1069</v>
      </c>
      <c r="D2795" s="7">
        <v>2683</v>
      </c>
      <c r="E2795" t="s">
        <v>10</v>
      </c>
      <c r="F2795" s="1">
        <v>1.8480000000000001</v>
      </c>
    </row>
    <row r="2796" spans="1:6">
      <c r="A2796" t="s">
        <v>85</v>
      </c>
      <c r="B2796" t="s">
        <v>1063</v>
      </c>
      <c r="C2796" s="1" t="s">
        <v>1070</v>
      </c>
      <c r="D2796" s="7">
        <v>2689</v>
      </c>
      <c r="E2796" t="s">
        <v>10</v>
      </c>
      <c r="F2796" s="1">
        <v>1.752</v>
      </c>
    </row>
    <row r="2797" spans="1:6">
      <c r="A2797" t="s">
        <v>85</v>
      </c>
      <c r="B2797" t="s">
        <v>1063</v>
      </c>
      <c r="C2797" s="3" t="s">
        <v>1064</v>
      </c>
      <c r="D2797" s="7">
        <v>4972</v>
      </c>
      <c r="E2797" t="s">
        <v>11</v>
      </c>
      <c r="F2797" s="10">
        <v>4.59</v>
      </c>
    </row>
    <row r="2798" spans="1:6">
      <c r="A2798" t="s">
        <v>85</v>
      </c>
      <c r="B2798" t="s">
        <v>1063</v>
      </c>
      <c r="C2798" s="3" t="s">
        <v>1065</v>
      </c>
      <c r="D2798" s="7">
        <v>4976</v>
      </c>
      <c r="E2798" t="s">
        <v>11</v>
      </c>
      <c r="F2798" s="10">
        <v>4.68</v>
      </c>
    </row>
    <row r="2799" spans="1:6">
      <c r="A2799" t="s">
        <v>85</v>
      </c>
      <c r="B2799" t="s">
        <v>1063</v>
      </c>
      <c r="C2799" s="1" t="s">
        <v>1066</v>
      </c>
      <c r="D2799" s="7">
        <v>2663</v>
      </c>
      <c r="E2799" t="s">
        <v>11</v>
      </c>
      <c r="F2799" s="9">
        <v>5.03</v>
      </c>
    </row>
    <row r="2800" spans="1:6">
      <c r="A2800" t="s">
        <v>85</v>
      </c>
      <c r="B2800" t="s">
        <v>1063</v>
      </c>
      <c r="C2800" s="1" t="s">
        <v>1067</v>
      </c>
      <c r="D2800" s="7">
        <v>2669</v>
      </c>
      <c r="E2800" t="s">
        <v>11</v>
      </c>
      <c r="F2800" s="1">
        <v>4.8979999999999997</v>
      </c>
    </row>
    <row r="2801" spans="1:6">
      <c r="A2801" t="s">
        <v>85</v>
      </c>
      <c r="B2801" t="s">
        <v>1063</v>
      </c>
      <c r="C2801" s="1" t="s">
        <v>1068</v>
      </c>
      <c r="D2801" s="7">
        <v>2675</v>
      </c>
      <c r="E2801" t="s">
        <v>11</v>
      </c>
      <c r="F2801" s="1">
        <v>4.7240000000000002</v>
      </c>
    </row>
    <row r="2802" spans="1:6">
      <c r="A2802" t="s">
        <v>85</v>
      </c>
      <c r="B2802" t="s">
        <v>1063</v>
      </c>
      <c r="C2802" s="1" t="s">
        <v>1069</v>
      </c>
      <c r="D2802" s="7">
        <v>2681</v>
      </c>
      <c r="E2802" t="s">
        <v>11</v>
      </c>
      <c r="F2802" s="1">
        <v>4.9619999999999997</v>
      </c>
    </row>
    <row r="2803" spans="1:6">
      <c r="A2803" t="s">
        <v>85</v>
      </c>
      <c r="B2803" t="s">
        <v>1063</v>
      </c>
      <c r="C2803" s="1" t="s">
        <v>1070</v>
      </c>
      <c r="D2803" s="7">
        <v>2687</v>
      </c>
      <c r="E2803" t="s">
        <v>11</v>
      </c>
      <c r="F2803" s="1">
        <v>4.7759999999999998</v>
      </c>
    </row>
    <row r="2804" spans="1:6">
      <c r="A2804" t="s">
        <v>85</v>
      </c>
      <c r="B2804" t="s">
        <v>1063</v>
      </c>
      <c r="C2804" s="3" t="s">
        <v>1064</v>
      </c>
      <c r="D2804" s="7">
        <v>4973</v>
      </c>
      <c r="E2804" t="s">
        <v>12</v>
      </c>
      <c r="F2804" s="10">
        <v>1.77</v>
      </c>
    </row>
    <row r="2805" spans="1:6">
      <c r="A2805" t="s">
        <v>85</v>
      </c>
      <c r="B2805" t="s">
        <v>1063</v>
      </c>
      <c r="C2805" s="3" t="s">
        <v>1065</v>
      </c>
      <c r="D2805" s="7">
        <v>4977</v>
      </c>
      <c r="E2805" t="s">
        <v>12</v>
      </c>
      <c r="F2805" s="10">
        <v>1.53</v>
      </c>
    </row>
    <row r="2806" spans="1:6">
      <c r="A2806" t="s">
        <v>85</v>
      </c>
      <c r="B2806" t="s">
        <v>1063</v>
      </c>
      <c r="C2806" s="3" t="s">
        <v>1071</v>
      </c>
      <c r="D2806" s="7">
        <v>5115</v>
      </c>
      <c r="E2806" t="s">
        <v>12</v>
      </c>
      <c r="F2806" s="10">
        <v>1.81</v>
      </c>
    </row>
    <row r="2807" spans="1:6">
      <c r="A2807" t="s">
        <v>85</v>
      </c>
      <c r="B2807" t="s">
        <v>1063</v>
      </c>
      <c r="C2807" s="3" t="s">
        <v>1072</v>
      </c>
      <c r="D2807" s="7">
        <v>5114</v>
      </c>
      <c r="E2807" t="s">
        <v>12</v>
      </c>
      <c r="F2807" s="10">
        <v>1.73</v>
      </c>
    </row>
    <row r="2808" spans="1:6">
      <c r="A2808" t="s">
        <v>85</v>
      </c>
      <c r="B2808" t="s">
        <v>1063</v>
      </c>
      <c r="C2808" s="3" t="s">
        <v>1073</v>
      </c>
      <c r="D2808" s="7">
        <v>5116</v>
      </c>
      <c r="E2808" t="s">
        <v>12</v>
      </c>
      <c r="F2808" s="10">
        <v>1.71</v>
      </c>
    </row>
    <row r="2809" spans="1:6">
      <c r="A2809" t="s">
        <v>85</v>
      </c>
      <c r="B2809" t="s">
        <v>1074</v>
      </c>
      <c r="C2809" s="3" t="s">
        <v>1075</v>
      </c>
      <c r="D2809" s="7">
        <v>4805</v>
      </c>
      <c r="E2809" t="s">
        <v>9</v>
      </c>
      <c r="F2809" s="10">
        <v>1.21</v>
      </c>
    </row>
    <row r="2810" spans="1:6">
      <c r="A2810" t="s">
        <v>85</v>
      </c>
      <c r="B2810" t="s">
        <v>1074</v>
      </c>
      <c r="C2810" s="3" t="s">
        <v>1075</v>
      </c>
      <c r="D2810" s="7">
        <v>4803</v>
      </c>
      <c r="E2810" t="s">
        <v>11</v>
      </c>
      <c r="F2810" s="10">
        <v>4.08</v>
      </c>
    </row>
    <row r="2811" spans="1:6">
      <c r="A2811" t="s">
        <v>85</v>
      </c>
      <c r="B2811" t="s">
        <v>1074</v>
      </c>
      <c r="C2811" s="3" t="s">
        <v>1075</v>
      </c>
      <c r="D2811" s="7">
        <v>4804</v>
      </c>
      <c r="E2811" t="s">
        <v>12</v>
      </c>
      <c r="F2811" s="10">
        <v>1.54</v>
      </c>
    </row>
    <row r="2812" spans="1:6">
      <c r="A2812" t="s">
        <v>1076</v>
      </c>
      <c r="B2812" s="2" t="s">
        <v>1077</v>
      </c>
      <c r="C2812" s="3" t="s">
        <v>1078</v>
      </c>
      <c r="D2812" s="7">
        <v>4721</v>
      </c>
      <c r="E2812" t="s">
        <v>9</v>
      </c>
      <c r="F2812" s="10">
        <v>1.8</v>
      </c>
    </row>
    <row r="2813" spans="1:6">
      <c r="A2813" t="s">
        <v>1076</v>
      </c>
      <c r="B2813" s="2" t="s">
        <v>1077</v>
      </c>
      <c r="C2813" s="3" t="s">
        <v>1079</v>
      </c>
      <c r="D2813" s="7">
        <v>4716</v>
      </c>
      <c r="E2813" t="s">
        <v>9</v>
      </c>
      <c r="F2813" s="10">
        <v>1.64</v>
      </c>
    </row>
    <row r="2814" spans="1:6">
      <c r="A2814" t="s">
        <v>1076</v>
      </c>
      <c r="B2814" s="2" t="s">
        <v>1077</v>
      </c>
      <c r="C2814" s="3" t="s">
        <v>1078</v>
      </c>
      <c r="D2814" s="7">
        <v>4722</v>
      </c>
      <c r="E2814" t="s">
        <v>10</v>
      </c>
      <c r="F2814" s="10">
        <f>1.31+2.46</f>
        <v>3.77</v>
      </c>
    </row>
    <row r="2815" spans="1:6">
      <c r="A2815" t="s">
        <v>1076</v>
      </c>
      <c r="B2815" s="2" t="s">
        <v>1077</v>
      </c>
      <c r="C2815" s="3" t="s">
        <v>1079</v>
      </c>
      <c r="D2815" s="7">
        <v>4717</v>
      </c>
      <c r="E2815" t="s">
        <v>10</v>
      </c>
      <c r="F2815" s="10">
        <f>1.01+1.71</f>
        <v>2.7199999999999998</v>
      </c>
    </row>
    <row r="2816" spans="1:6">
      <c r="A2816" t="s">
        <v>1076</v>
      </c>
      <c r="B2816" s="2" t="s">
        <v>1077</v>
      </c>
      <c r="C2816" s="3" t="s">
        <v>1078</v>
      </c>
      <c r="D2816" s="7">
        <v>4719</v>
      </c>
      <c r="E2816" t="s">
        <v>11</v>
      </c>
      <c r="F2816" s="10">
        <v>5.96</v>
      </c>
    </row>
    <row r="2817" spans="1:6">
      <c r="A2817" t="s">
        <v>1076</v>
      </c>
      <c r="B2817" s="2" t="s">
        <v>1077</v>
      </c>
      <c r="C2817" s="3" t="s">
        <v>1079</v>
      </c>
      <c r="D2817" s="7">
        <v>4714</v>
      </c>
      <c r="E2817" t="s">
        <v>11</v>
      </c>
      <c r="F2817" s="10">
        <v>6.33</v>
      </c>
    </row>
    <row r="2818" spans="1:6">
      <c r="A2818" t="s">
        <v>1076</v>
      </c>
      <c r="B2818" s="2" t="s">
        <v>1077</v>
      </c>
      <c r="C2818" s="3" t="s">
        <v>1078</v>
      </c>
      <c r="D2818" s="7">
        <v>4720</v>
      </c>
      <c r="E2818" t="s">
        <v>12</v>
      </c>
      <c r="F2818" s="10">
        <v>1.83</v>
      </c>
    </row>
    <row r="2819" spans="1:6">
      <c r="A2819" t="s">
        <v>1076</v>
      </c>
      <c r="B2819" s="2" t="s">
        <v>1077</v>
      </c>
      <c r="C2819" s="3" t="s">
        <v>1079</v>
      </c>
      <c r="D2819" s="7">
        <v>4715</v>
      </c>
      <c r="E2819" t="s">
        <v>12</v>
      </c>
      <c r="F2819" s="10">
        <v>2.14</v>
      </c>
    </row>
    <row r="2820" spans="1:6">
      <c r="A2820" t="s">
        <v>1076</v>
      </c>
      <c r="B2820" s="2" t="s">
        <v>1080</v>
      </c>
      <c r="C2820" s="3" t="s">
        <v>1081</v>
      </c>
      <c r="D2820" s="7">
        <v>4966</v>
      </c>
      <c r="E2820" t="s">
        <v>9</v>
      </c>
      <c r="F2820" s="10">
        <v>1.59</v>
      </c>
    </row>
    <row r="2821" spans="1:6">
      <c r="A2821" t="s">
        <v>1076</v>
      </c>
      <c r="B2821" s="2" t="s">
        <v>1080</v>
      </c>
      <c r="C2821" s="3" t="s">
        <v>1082</v>
      </c>
      <c r="D2821" s="7">
        <v>4735</v>
      </c>
      <c r="E2821" t="s">
        <v>9</v>
      </c>
      <c r="F2821" s="10">
        <v>1.77</v>
      </c>
    </row>
    <row r="2822" spans="1:6">
      <c r="A2822" t="s">
        <v>1076</v>
      </c>
      <c r="B2822" s="2" t="s">
        <v>1080</v>
      </c>
      <c r="C2822" s="3" t="s">
        <v>1083</v>
      </c>
      <c r="D2822" s="7">
        <v>4740</v>
      </c>
      <c r="E2822" t="s">
        <v>9</v>
      </c>
      <c r="F2822" s="10">
        <v>1.79</v>
      </c>
    </row>
    <row r="2823" spans="1:6">
      <c r="A2823" t="s">
        <v>1076</v>
      </c>
      <c r="B2823" s="2" t="s">
        <v>1080</v>
      </c>
      <c r="C2823" s="3" t="s">
        <v>1081</v>
      </c>
      <c r="D2823" s="7">
        <v>4967</v>
      </c>
      <c r="E2823" t="s">
        <v>10</v>
      </c>
      <c r="F2823" s="10">
        <f>3.34+1.62</f>
        <v>4.96</v>
      </c>
    </row>
    <row r="2824" spans="1:6">
      <c r="A2824" t="s">
        <v>1076</v>
      </c>
      <c r="B2824" s="2" t="s">
        <v>1080</v>
      </c>
      <c r="C2824" s="3" t="s">
        <v>1082</v>
      </c>
      <c r="D2824" s="7">
        <v>4736</v>
      </c>
      <c r="E2824" t="s">
        <v>10</v>
      </c>
      <c r="F2824" s="10">
        <f>1.31+2.82</f>
        <v>4.13</v>
      </c>
    </row>
    <row r="2825" spans="1:6">
      <c r="A2825" t="s">
        <v>1076</v>
      </c>
      <c r="B2825" s="2" t="s">
        <v>1080</v>
      </c>
      <c r="C2825" s="3" t="s">
        <v>1081</v>
      </c>
      <c r="D2825" s="7">
        <v>4968</v>
      </c>
      <c r="E2825" t="s">
        <v>11</v>
      </c>
      <c r="F2825" s="10">
        <v>6.57</v>
      </c>
    </row>
    <row r="2826" spans="1:6">
      <c r="A2826" t="s">
        <v>1076</v>
      </c>
      <c r="B2826" s="2" t="s">
        <v>1080</v>
      </c>
      <c r="C2826" s="3" t="s">
        <v>1082</v>
      </c>
      <c r="D2826" s="7">
        <v>4733</v>
      </c>
      <c r="E2826" t="s">
        <v>11</v>
      </c>
      <c r="F2826" s="10">
        <v>6.6</v>
      </c>
    </row>
    <row r="2827" spans="1:6">
      <c r="A2827" t="s">
        <v>1076</v>
      </c>
      <c r="B2827" s="2" t="s">
        <v>1080</v>
      </c>
      <c r="C2827" s="3" t="s">
        <v>1081</v>
      </c>
      <c r="D2827" s="7">
        <v>4969</v>
      </c>
      <c r="E2827" t="s">
        <v>12</v>
      </c>
      <c r="F2827" s="10">
        <v>2.23</v>
      </c>
    </row>
    <row r="2828" spans="1:6">
      <c r="A2828" t="s">
        <v>1076</v>
      </c>
      <c r="B2828" s="2" t="s">
        <v>1080</v>
      </c>
      <c r="C2828" s="3" t="s">
        <v>1082</v>
      </c>
      <c r="D2828" s="7">
        <v>4734</v>
      </c>
      <c r="E2828" t="s">
        <v>12</v>
      </c>
      <c r="F2828" s="10">
        <v>1.98</v>
      </c>
    </row>
    <row r="2829" spans="1:6">
      <c r="A2829" t="s">
        <v>85</v>
      </c>
      <c r="B2829" t="s">
        <v>1084</v>
      </c>
      <c r="C2829" s="1" t="s">
        <v>1085</v>
      </c>
      <c r="D2829" s="7">
        <v>1634</v>
      </c>
      <c r="E2829" t="s">
        <v>9</v>
      </c>
      <c r="F2829" s="1">
        <v>1.242</v>
      </c>
    </row>
    <row r="2830" spans="1:6">
      <c r="A2830" t="s">
        <v>85</v>
      </c>
      <c r="B2830" t="s">
        <v>1084</v>
      </c>
      <c r="C2830" s="1" t="s">
        <v>1086</v>
      </c>
      <c r="D2830" s="7">
        <v>1820</v>
      </c>
      <c r="E2830" t="s">
        <v>9</v>
      </c>
      <c r="F2830" s="1">
        <v>1.3280000000000001</v>
      </c>
    </row>
    <row r="2831" spans="1:6">
      <c r="A2831" t="s">
        <v>85</v>
      </c>
      <c r="B2831" t="s">
        <v>1084</v>
      </c>
      <c r="C2831" s="1" t="s">
        <v>1087</v>
      </c>
      <c r="D2831" s="7">
        <v>1826</v>
      </c>
      <c r="E2831" t="s">
        <v>9</v>
      </c>
      <c r="F2831" s="1">
        <v>1.2649999999999999</v>
      </c>
    </row>
    <row r="2832" spans="1:6">
      <c r="A2832" t="s">
        <v>85</v>
      </c>
      <c r="B2832" t="s">
        <v>1084</v>
      </c>
      <c r="C2832" s="1" t="s">
        <v>1088</v>
      </c>
      <c r="D2832" s="7">
        <v>2136</v>
      </c>
      <c r="E2832" t="s">
        <v>9</v>
      </c>
      <c r="F2832" s="1">
        <v>1.274</v>
      </c>
    </row>
    <row r="2833" spans="1:6">
      <c r="A2833" t="s">
        <v>85</v>
      </c>
      <c r="B2833" t="s">
        <v>1084</v>
      </c>
      <c r="C2833" s="1" t="s">
        <v>1085</v>
      </c>
      <c r="D2833" s="7">
        <v>1635</v>
      </c>
      <c r="E2833" t="s">
        <v>10</v>
      </c>
      <c r="F2833" s="1">
        <v>2.431</v>
      </c>
    </row>
    <row r="2834" spans="1:6">
      <c r="A2834" t="s">
        <v>85</v>
      </c>
      <c r="B2834" t="s">
        <v>1084</v>
      </c>
      <c r="C2834" s="1" t="s">
        <v>1086</v>
      </c>
      <c r="D2834" s="7">
        <v>1821</v>
      </c>
      <c r="E2834" t="s">
        <v>10</v>
      </c>
      <c r="F2834" s="1">
        <v>2.5150000000000001</v>
      </c>
    </row>
    <row r="2835" spans="1:6">
      <c r="A2835" t="s">
        <v>85</v>
      </c>
      <c r="B2835" t="s">
        <v>1084</v>
      </c>
      <c r="C2835" s="1" t="s">
        <v>1087</v>
      </c>
      <c r="D2835" s="7">
        <v>1827</v>
      </c>
      <c r="E2835" t="s">
        <v>10</v>
      </c>
      <c r="F2835" s="1">
        <v>2.5150000000000001</v>
      </c>
    </row>
    <row r="2836" spans="1:6">
      <c r="A2836" t="s">
        <v>85</v>
      </c>
      <c r="B2836" t="s">
        <v>1084</v>
      </c>
      <c r="C2836" s="1" t="s">
        <v>1088</v>
      </c>
      <c r="D2836" s="7">
        <v>2137</v>
      </c>
      <c r="E2836" t="s">
        <v>10</v>
      </c>
      <c r="F2836" s="1">
        <v>1.052</v>
      </c>
    </row>
    <row r="2837" spans="1:6">
      <c r="A2837" t="s">
        <v>85</v>
      </c>
      <c r="B2837" t="s">
        <v>1084</v>
      </c>
      <c r="C2837" s="1" t="s">
        <v>1085</v>
      </c>
      <c r="D2837" s="7">
        <v>1633</v>
      </c>
      <c r="E2837" t="s">
        <v>11</v>
      </c>
      <c r="F2837" s="1">
        <v>3.7450000000000001</v>
      </c>
    </row>
    <row r="2838" spans="1:6">
      <c r="A2838" t="s">
        <v>85</v>
      </c>
      <c r="B2838" t="s">
        <v>1084</v>
      </c>
      <c r="C2838" s="1" t="s">
        <v>1086</v>
      </c>
      <c r="D2838" s="7">
        <v>1819</v>
      </c>
      <c r="E2838" t="s">
        <v>11</v>
      </c>
      <c r="F2838" s="1">
        <v>3.7370000000000001</v>
      </c>
    </row>
    <row r="2839" spans="1:6">
      <c r="A2839" t="s">
        <v>85</v>
      </c>
      <c r="B2839" t="s">
        <v>1084</v>
      </c>
      <c r="C2839" s="1" t="s">
        <v>1087</v>
      </c>
      <c r="D2839" s="7">
        <v>1825</v>
      </c>
      <c r="E2839" t="s">
        <v>11</v>
      </c>
      <c r="F2839" s="1">
        <v>3.9809999999999999</v>
      </c>
    </row>
    <row r="2840" spans="1:6">
      <c r="A2840" t="s">
        <v>85</v>
      </c>
      <c r="B2840" t="s">
        <v>1084</v>
      </c>
      <c r="C2840" s="1" t="s">
        <v>1088</v>
      </c>
      <c r="D2840" s="7">
        <v>2135</v>
      </c>
      <c r="E2840" t="s">
        <v>11</v>
      </c>
      <c r="F2840" s="1">
        <v>4.1120000000000001</v>
      </c>
    </row>
    <row r="2841" spans="1:6">
      <c r="A2841" t="s">
        <v>85</v>
      </c>
      <c r="B2841" s="2" t="s">
        <v>1084</v>
      </c>
      <c r="C2841" s="3" t="s">
        <v>1089</v>
      </c>
      <c r="D2841" s="7">
        <v>4935</v>
      </c>
      <c r="E2841" t="s">
        <v>12</v>
      </c>
      <c r="F2841" s="10">
        <v>1.41</v>
      </c>
    </row>
    <row r="2842" spans="1:6">
      <c r="A2842" t="s">
        <v>85</v>
      </c>
      <c r="B2842" s="2" t="s">
        <v>1084</v>
      </c>
      <c r="C2842" s="3" t="s">
        <v>1090</v>
      </c>
      <c r="D2842" s="7">
        <v>4936</v>
      </c>
      <c r="E2842" t="s">
        <v>12</v>
      </c>
      <c r="F2842" s="10">
        <v>1.46</v>
      </c>
    </row>
    <row r="2843" spans="1:6">
      <c r="A2843" t="s">
        <v>85</v>
      </c>
      <c r="B2843" s="2" t="s">
        <v>1084</v>
      </c>
      <c r="C2843" s="3" t="s">
        <v>1091</v>
      </c>
      <c r="D2843" s="7">
        <v>4934</v>
      </c>
      <c r="E2843" t="s">
        <v>12</v>
      </c>
      <c r="F2843" s="10">
        <v>1.55</v>
      </c>
    </row>
    <row r="2844" spans="1:6">
      <c r="A2844" t="s">
        <v>85</v>
      </c>
      <c r="B2844" t="s">
        <v>1092</v>
      </c>
      <c r="C2844" s="1" t="s">
        <v>1093</v>
      </c>
      <c r="D2844" s="7">
        <v>1388</v>
      </c>
      <c r="E2844" t="s">
        <v>9</v>
      </c>
      <c r="F2844" s="1">
        <v>1.3380000000000001</v>
      </c>
    </row>
    <row r="2845" spans="1:6">
      <c r="A2845" t="s">
        <v>85</v>
      </c>
      <c r="B2845" t="s">
        <v>1092</v>
      </c>
      <c r="C2845" s="1" t="s">
        <v>1094</v>
      </c>
      <c r="D2845" s="7">
        <v>2142</v>
      </c>
      <c r="E2845" t="s">
        <v>9</v>
      </c>
      <c r="F2845" s="1">
        <v>1.2649999999999999</v>
      </c>
    </row>
    <row r="2846" spans="1:6">
      <c r="A2846" t="s">
        <v>85</v>
      </c>
      <c r="B2846" t="s">
        <v>1092</v>
      </c>
      <c r="C2846" s="1" t="s">
        <v>1095</v>
      </c>
      <c r="D2846" s="7">
        <v>2148</v>
      </c>
      <c r="E2846" t="s">
        <v>9</v>
      </c>
      <c r="F2846" s="1">
        <v>1.2390000000000001</v>
      </c>
    </row>
    <row r="2847" spans="1:6">
      <c r="A2847" t="s">
        <v>85</v>
      </c>
      <c r="B2847" t="s">
        <v>1092</v>
      </c>
      <c r="C2847" s="1" t="s">
        <v>1096</v>
      </c>
      <c r="D2847" s="7">
        <v>2154</v>
      </c>
      <c r="E2847" t="s">
        <v>9</v>
      </c>
      <c r="F2847" s="9">
        <v>1.21</v>
      </c>
    </row>
    <row r="2848" spans="1:6">
      <c r="A2848" t="s">
        <v>85</v>
      </c>
      <c r="B2848" t="s">
        <v>1092</v>
      </c>
      <c r="C2848" s="1" t="s">
        <v>1093</v>
      </c>
      <c r="D2848" s="7">
        <v>1389</v>
      </c>
      <c r="E2848" t="s">
        <v>10</v>
      </c>
      <c r="F2848" s="1">
        <v>2.625</v>
      </c>
    </row>
    <row r="2849" spans="1:6">
      <c r="A2849" t="s">
        <v>85</v>
      </c>
      <c r="B2849" t="s">
        <v>1092</v>
      </c>
      <c r="C2849" s="1" t="s">
        <v>1094</v>
      </c>
      <c r="D2849" s="7">
        <v>2143</v>
      </c>
      <c r="E2849" t="s">
        <v>10</v>
      </c>
      <c r="F2849" s="1">
        <v>1.0720000000000001</v>
      </c>
    </row>
    <row r="2850" spans="1:6">
      <c r="A2850" t="s">
        <v>85</v>
      </c>
      <c r="B2850" t="s">
        <v>1092</v>
      </c>
      <c r="C2850" s="1" t="s">
        <v>1095</v>
      </c>
      <c r="D2850" s="7">
        <v>2149</v>
      </c>
      <c r="E2850" t="s">
        <v>10</v>
      </c>
      <c r="F2850" s="1">
        <v>1.1080000000000001</v>
      </c>
    </row>
    <row r="2851" spans="1:6">
      <c r="A2851" t="s">
        <v>85</v>
      </c>
      <c r="B2851" t="s">
        <v>1092</v>
      </c>
      <c r="C2851" s="1" t="s">
        <v>1096</v>
      </c>
      <c r="D2851" s="7">
        <v>2155</v>
      </c>
      <c r="E2851" t="s">
        <v>10</v>
      </c>
      <c r="F2851" s="9">
        <v>0.999</v>
      </c>
    </row>
    <row r="2852" spans="1:6">
      <c r="A2852" t="s">
        <v>85</v>
      </c>
      <c r="B2852" t="s">
        <v>1092</v>
      </c>
      <c r="C2852" s="1" t="s">
        <v>1093</v>
      </c>
      <c r="D2852" s="7">
        <v>1387</v>
      </c>
      <c r="E2852" t="s">
        <v>11</v>
      </c>
      <c r="F2852" s="1">
        <v>3.9079999999999999</v>
      </c>
    </row>
    <row r="2853" spans="1:6">
      <c r="A2853" t="s">
        <v>85</v>
      </c>
      <c r="B2853" t="s">
        <v>1092</v>
      </c>
      <c r="C2853" s="1" t="s">
        <v>1094</v>
      </c>
      <c r="D2853" s="7">
        <v>2141</v>
      </c>
      <c r="E2853" t="s">
        <v>11</v>
      </c>
      <c r="F2853" s="1">
        <v>3.7759999999999998</v>
      </c>
    </row>
    <row r="2854" spans="1:6">
      <c r="A2854" t="s">
        <v>85</v>
      </c>
      <c r="B2854" t="s">
        <v>1092</v>
      </c>
      <c r="C2854" s="1" t="s">
        <v>1095</v>
      </c>
      <c r="D2854" s="7">
        <v>2147</v>
      </c>
      <c r="E2854" t="s">
        <v>11</v>
      </c>
      <c r="F2854" s="1">
        <v>3.9089999999999998</v>
      </c>
    </row>
    <row r="2855" spans="1:6">
      <c r="A2855" t="s">
        <v>85</v>
      </c>
      <c r="B2855" t="s">
        <v>1092</v>
      </c>
      <c r="C2855" s="1" t="s">
        <v>1096</v>
      </c>
      <c r="D2855" s="7">
        <v>2153</v>
      </c>
      <c r="E2855" t="s">
        <v>11</v>
      </c>
      <c r="F2855" s="1">
        <v>3.5950000000000002</v>
      </c>
    </row>
    <row r="2856" spans="1:6">
      <c r="A2856" t="s">
        <v>85</v>
      </c>
      <c r="B2856" s="2" t="s">
        <v>1092</v>
      </c>
      <c r="C2856" s="3" t="s">
        <v>1097</v>
      </c>
      <c r="D2856" s="7">
        <v>4931</v>
      </c>
      <c r="E2856" t="s">
        <v>12</v>
      </c>
      <c r="F2856" s="10">
        <v>1.29</v>
      </c>
    </row>
    <row r="2857" spans="1:6">
      <c r="A2857" t="s">
        <v>85</v>
      </c>
      <c r="B2857" s="2" t="s">
        <v>1092</v>
      </c>
      <c r="C2857" s="3" t="s">
        <v>1098</v>
      </c>
      <c r="D2857" s="7">
        <v>4932</v>
      </c>
      <c r="E2857" t="s">
        <v>12</v>
      </c>
      <c r="F2857" s="10">
        <v>1.27</v>
      </c>
    </row>
    <row r="2858" spans="1:6">
      <c r="A2858" t="s">
        <v>85</v>
      </c>
      <c r="B2858" s="2" t="s">
        <v>1092</v>
      </c>
      <c r="C2858" s="3" t="s">
        <v>1099</v>
      </c>
      <c r="D2858" s="7">
        <v>4933</v>
      </c>
      <c r="E2858" t="s">
        <v>12</v>
      </c>
      <c r="F2858" s="10">
        <v>1.25</v>
      </c>
    </row>
    <row r="2859" spans="1:6">
      <c r="A2859" t="s">
        <v>85</v>
      </c>
      <c r="B2859" t="s">
        <v>1100</v>
      </c>
      <c r="C2859" s="1" t="s">
        <v>1101</v>
      </c>
      <c r="D2859" s="7">
        <v>535</v>
      </c>
      <c r="E2859" t="s">
        <v>9</v>
      </c>
      <c r="F2859" s="1">
        <v>1.6120000000000001</v>
      </c>
    </row>
    <row r="2860" spans="1:6">
      <c r="A2860" t="s">
        <v>85</v>
      </c>
      <c r="B2860" t="s">
        <v>1100</v>
      </c>
      <c r="C2860" s="1" t="s">
        <v>1102</v>
      </c>
      <c r="D2860" s="7">
        <v>1412</v>
      </c>
      <c r="E2860" t="s">
        <v>9</v>
      </c>
      <c r="F2860" s="1">
        <v>1.569</v>
      </c>
    </row>
    <row r="2861" spans="1:6">
      <c r="A2861" t="s">
        <v>85</v>
      </c>
      <c r="B2861" t="s">
        <v>1100</v>
      </c>
      <c r="C2861" s="1" t="s">
        <v>1103</v>
      </c>
      <c r="D2861" s="7">
        <v>1418</v>
      </c>
      <c r="E2861" t="s">
        <v>9</v>
      </c>
      <c r="F2861" s="1">
        <v>1.5529999999999999</v>
      </c>
    </row>
    <row r="2862" spans="1:6">
      <c r="A2862" t="s">
        <v>85</v>
      </c>
      <c r="B2862" t="s">
        <v>1100</v>
      </c>
      <c r="C2862" s="1" t="s">
        <v>1104</v>
      </c>
      <c r="D2862" s="7">
        <v>1424</v>
      </c>
      <c r="E2862" t="s">
        <v>9</v>
      </c>
      <c r="F2862" s="1">
        <v>1.583</v>
      </c>
    </row>
    <row r="2863" spans="1:6">
      <c r="A2863" t="s">
        <v>85</v>
      </c>
      <c r="B2863" t="s">
        <v>1100</v>
      </c>
      <c r="C2863" s="1" t="s">
        <v>1105</v>
      </c>
      <c r="D2863" s="7">
        <v>1430</v>
      </c>
      <c r="E2863" t="s">
        <v>9</v>
      </c>
      <c r="F2863" s="1">
        <v>1.5720000000000001</v>
      </c>
    </row>
    <row r="2864" spans="1:6">
      <c r="A2864" t="s">
        <v>85</v>
      </c>
      <c r="B2864" t="s">
        <v>1100</v>
      </c>
      <c r="C2864" s="1" t="s">
        <v>1106</v>
      </c>
      <c r="D2864" s="7">
        <v>1436</v>
      </c>
      <c r="E2864" t="s">
        <v>9</v>
      </c>
      <c r="F2864" s="1">
        <v>1.661</v>
      </c>
    </row>
    <row r="2865" spans="1:6">
      <c r="A2865" t="s">
        <v>85</v>
      </c>
      <c r="B2865" t="s">
        <v>1100</v>
      </c>
      <c r="C2865" s="1" t="s">
        <v>1107</v>
      </c>
      <c r="D2865" s="7">
        <v>1442</v>
      </c>
      <c r="E2865" t="s">
        <v>9</v>
      </c>
      <c r="F2865" s="1">
        <v>1.583</v>
      </c>
    </row>
    <row r="2866" spans="1:6">
      <c r="A2866" t="s">
        <v>85</v>
      </c>
      <c r="B2866" t="s">
        <v>1100</v>
      </c>
      <c r="C2866" s="1" t="s">
        <v>1108</v>
      </c>
      <c r="D2866" s="7">
        <v>1448</v>
      </c>
      <c r="E2866" t="s">
        <v>9</v>
      </c>
      <c r="F2866" s="9">
        <v>1.59</v>
      </c>
    </row>
    <row r="2867" spans="1:6">
      <c r="A2867" t="s">
        <v>85</v>
      </c>
      <c r="B2867" t="s">
        <v>1100</v>
      </c>
      <c r="C2867" s="1" t="s">
        <v>1109</v>
      </c>
      <c r="D2867" s="7">
        <v>1454</v>
      </c>
      <c r="E2867" t="s">
        <v>9</v>
      </c>
      <c r="F2867" s="1">
        <v>1.6539999999999999</v>
      </c>
    </row>
    <row r="2868" spans="1:6">
      <c r="A2868" t="s">
        <v>85</v>
      </c>
      <c r="B2868" t="s">
        <v>1100</v>
      </c>
      <c r="C2868" s="1" t="s">
        <v>1110</v>
      </c>
      <c r="D2868" s="7">
        <v>1460</v>
      </c>
      <c r="E2868" t="s">
        <v>9</v>
      </c>
      <c r="F2868" s="1">
        <v>1.5629999999999999</v>
      </c>
    </row>
    <row r="2869" spans="1:6">
      <c r="A2869" t="s">
        <v>85</v>
      </c>
      <c r="B2869" t="s">
        <v>1100</v>
      </c>
      <c r="C2869" s="1" t="s">
        <v>1101</v>
      </c>
      <c r="D2869" s="7">
        <v>536</v>
      </c>
      <c r="E2869" t="s">
        <v>10</v>
      </c>
      <c r="F2869" s="1">
        <v>3.5739999999999998</v>
      </c>
    </row>
    <row r="2870" spans="1:6">
      <c r="A2870" t="s">
        <v>85</v>
      </c>
      <c r="B2870" t="s">
        <v>1100</v>
      </c>
      <c r="C2870" s="1" t="s">
        <v>1102</v>
      </c>
      <c r="D2870" s="7">
        <v>1413</v>
      </c>
      <c r="E2870" t="s">
        <v>10</v>
      </c>
      <c r="F2870" s="1">
        <v>3.1190000000000002</v>
      </c>
    </row>
    <row r="2871" spans="1:6">
      <c r="A2871" t="s">
        <v>85</v>
      </c>
      <c r="B2871" t="s">
        <v>1100</v>
      </c>
      <c r="C2871" s="1" t="s">
        <v>1103</v>
      </c>
      <c r="D2871" s="7">
        <v>1419</v>
      </c>
      <c r="E2871" t="s">
        <v>10</v>
      </c>
      <c r="F2871" s="1">
        <v>3.2069999999999999</v>
      </c>
    </row>
    <row r="2872" spans="1:6">
      <c r="A2872" t="s">
        <v>85</v>
      </c>
      <c r="B2872" t="s">
        <v>1100</v>
      </c>
      <c r="C2872" s="1" t="s">
        <v>1104</v>
      </c>
      <c r="D2872" s="7">
        <v>1425</v>
      </c>
      <c r="E2872" t="s">
        <v>10</v>
      </c>
      <c r="F2872" s="1">
        <v>3.1139999999999999</v>
      </c>
    </row>
    <row r="2873" spans="1:6">
      <c r="A2873" t="s">
        <v>85</v>
      </c>
      <c r="B2873" t="s">
        <v>1100</v>
      </c>
      <c r="C2873" s="1" t="s">
        <v>1105</v>
      </c>
      <c r="D2873" s="7">
        <v>1431</v>
      </c>
      <c r="E2873" t="s">
        <v>10</v>
      </c>
      <c r="F2873" s="1">
        <v>3.0819999999999999</v>
      </c>
    </row>
    <row r="2874" spans="1:6">
      <c r="A2874" t="s">
        <v>85</v>
      </c>
      <c r="B2874" t="s">
        <v>1100</v>
      </c>
      <c r="C2874" s="1" t="s">
        <v>1106</v>
      </c>
      <c r="D2874" s="7">
        <v>1437</v>
      </c>
      <c r="E2874" t="s">
        <v>10</v>
      </c>
      <c r="F2874" s="1">
        <v>3.129</v>
      </c>
    </row>
    <row r="2875" spans="1:6">
      <c r="A2875" t="s">
        <v>85</v>
      </c>
      <c r="B2875" t="s">
        <v>1100</v>
      </c>
      <c r="C2875" s="1" t="s">
        <v>1107</v>
      </c>
      <c r="D2875" s="7">
        <v>1443</v>
      </c>
      <c r="E2875" t="s">
        <v>10</v>
      </c>
      <c r="F2875" s="1">
        <v>3.0209999999999999</v>
      </c>
    </row>
    <row r="2876" spans="1:6">
      <c r="A2876" t="s">
        <v>85</v>
      </c>
      <c r="B2876" t="s">
        <v>1100</v>
      </c>
      <c r="C2876" s="1" t="s">
        <v>1108</v>
      </c>
      <c r="D2876" s="7">
        <v>1449</v>
      </c>
      <c r="E2876" t="s">
        <v>10</v>
      </c>
      <c r="F2876" s="1">
        <v>3.1150000000000002</v>
      </c>
    </row>
    <row r="2877" spans="1:6">
      <c r="A2877" t="s">
        <v>85</v>
      </c>
      <c r="B2877" t="s">
        <v>1100</v>
      </c>
      <c r="C2877" s="1" t="s">
        <v>1109</v>
      </c>
      <c r="D2877" s="7">
        <v>1455</v>
      </c>
      <c r="E2877" t="s">
        <v>10</v>
      </c>
      <c r="F2877" s="1">
        <v>3.0920000000000001</v>
      </c>
    </row>
    <row r="2878" spans="1:6">
      <c r="A2878" t="s">
        <v>85</v>
      </c>
      <c r="B2878" t="s">
        <v>1100</v>
      </c>
      <c r="C2878" s="1" t="s">
        <v>1110</v>
      </c>
      <c r="D2878" s="7">
        <v>1461</v>
      </c>
      <c r="E2878" t="s">
        <v>10</v>
      </c>
      <c r="F2878" s="1">
        <v>3.129</v>
      </c>
    </row>
    <row r="2879" spans="1:6">
      <c r="A2879" t="s">
        <v>85</v>
      </c>
      <c r="B2879" t="s">
        <v>1100</v>
      </c>
      <c r="C2879" s="1" t="s">
        <v>1101</v>
      </c>
      <c r="D2879" s="7">
        <v>534</v>
      </c>
      <c r="E2879" t="s">
        <v>11</v>
      </c>
      <c r="F2879" s="1">
        <v>5.8819999999999997</v>
      </c>
    </row>
    <row r="2880" spans="1:6">
      <c r="A2880" t="s">
        <v>85</v>
      </c>
      <c r="B2880" t="s">
        <v>1100</v>
      </c>
      <c r="C2880" s="1" t="s">
        <v>1102</v>
      </c>
      <c r="D2880" s="7">
        <v>1411</v>
      </c>
      <c r="E2880" t="s">
        <v>11</v>
      </c>
      <c r="F2880" s="1">
        <v>5.3220000000000001</v>
      </c>
    </row>
    <row r="2881" spans="1:6">
      <c r="A2881" t="s">
        <v>85</v>
      </c>
      <c r="B2881" t="s">
        <v>1100</v>
      </c>
      <c r="C2881" s="1" t="s">
        <v>1103</v>
      </c>
      <c r="D2881" s="7">
        <v>1417</v>
      </c>
      <c r="E2881" t="s">
        <v>11</v>
      </c>
      <c r="F2881" s="1">
        <v>5.9059999999999997</v>
      </c>
    </row>
    <row r="2882" spans="1:6">
      <c r="A2882" t="s">
        <v>85</v>
      </c>
      <c r="B2882" t="s">
        <v>1100</v>
      </c>
      <c r="C2882" s="1" t="s">
        <v>1104</v>
      </c>
      <c r="D2882" s="7">
        <v>1423</v>
      </c>
      <c r="E2882" t="s">
        <v>11</v>
      </c>
      <c r="F2882" s="1">
        <v>5.7610000000000001</v>
      </c>
    </row>
    <row r="2883" spans="1:6">
      <c r="A2883" t="s">
        <v>85</v>
      </c>
      <c r="B2883" t="s">
        <v>1100</v>
      </c>
      <c r="C2883" s="1" t="s">
        <v>1105</v>
      </c>
      <c r="D2883" s="7">
        <v>1429</v>
      </c>
      <c r="E2883" t="s">
        <v>11</v>
      </c>
      <c r="F2883" s="1">
        <v>5.3769999999999998</v>
      </c>
    </row>
    <row r="2884" spans="1:6">
      <c r="A2884" t="s">
        <v>85</v>
      </c>
      <c r="B2884" t="s">
        <v>1100</v>
      </c>
      <c r="C2884" s="1" t="s">
        <v>1106</v>
      </c>
      <c r="D2884" s="7">
        <v>1435</v>
      </c>
      <c r="E2884" t="s">
        <v>11</v>
      </c>
      <c r="F2884" s="1">
        <v>6.0670000000000002</v>
      </c>
    </row>
    <row r="2885" spans="1:6">
      <c r="A2885" t="s">
        <v>85</v>
      </c>
      <c r="B2885" t="s">
        <v>1100</v>
      </c>
      <c r="C2885" s="1" t="s">
        <v>1107</v>
      </c>
      <c r="D2885" s="7">
        <v>1441</v>
      </c>
      <c r="E2885" t="s">
        <v>11</v>
      </c>
      <c r="F2885" s="1">
        <v>5.5670000000000002</v>
      </c>
    </row>
    <row r="2886" spans="1:6">
      <c r="A2886" t="s">
        <v>85</v>
      </c>
      <c r="B2886" t="s">
        <v>1100</v>
      </c>
      <c r="C2886" s="1" t="s">
        <v>1108</v>
      </c>
      <c r="D2886" s="7">
        <v>1447</v>
      </c>
      <c r="E2886" t="s">
        <v>11</v>
      </c>
      <c r="F2886" s="1">
        <v>5.6929999999999996</v>
      </c>
    </row>
    <row r="2887" spans="1:6">
      <c r="A2887" t="s">
        <v>85</v>
      </c>
      <c r="B2887" t="s">
        <v>1100</v>
      </c>
      <c r="C2887" s="1" t="s">
        <v>1109</v>
      </c>
      <c r="D2887" s="7">
        <v>1453</v>
      </c>
      <c r="E2887" t="s">
        <v>11</v>
      </c>
      <c r="F2887" s="1">
        <v>5.9059999999999997</v>
      </c>
    </row>
    <row r="2888" spans="1:6">
      <c r="A2888" t="s">
        <v>85</v>
      </c>
      <c r="B2888" t="s">
        <v>1100</v>
      </c>
      <c r="C2888" s="1" t="s">
        <v>1110</v>
      </c>
      <c r="D2888" s="7">
        <v>1459</v>
      </c>
      <c r="E2888" t="s">
        <v>11</v>
      </c>
      <c r="F2888" s="1">
        <v>5.5979999999999999</v>
      </c>
    </row>
    <row r="2889" spans="1:6">
      <c r="A2889" t="s">
        <v>85</v>
      </c>
      <c r="B2889" s="2" t="s">
        <v>1100</v>
      </c>
      <c r="C2889" s="3" t="s">
        <v>1111</v>
      </c>
      <c r="D2889" s="7">
        <v>4899</v>
      </c>
      <c r="E2889" t="s">
        <v>12</v>
      </c>
      <c r="F2889" s="10">
        <v>2.2599999999999998</v>
      </c>
    </row>
    <row r="2890" spans="1:6">
      <c r="A2890" t="s">
        <v>85</v>
      </c>
      <c r="B2890" s="2" t="s">
        <v>1100</v>
      </c>
      <c r="C2890" s="3" t="s">
        <v>1112</v>
      </c>
      <c r="D2890" s="7">
        <v>4905</v>
      </c>
      <c r="E2890" t="s">
        <v>12</v>
      </c>
      <c r="F2890" s="10">
        <v>1.99</v>
      </c>
    </row>
    <row r="2891" spans="1:6">
      <c r="A2891" t="s">
        <v>85</v>
      </c>
      <c r="B2891" s="2" t="s">
        <v>1100</v>
      </c>
      <c r="C2891" s="3" t="s">
        <v>1113</v>
      </c>
      <c r="D2891" s="7">
        <v>4898</v>
      </c>
      <c r="E2891" t="s">
        <v>12</v>
      </c>
      <c r="F2891" s="10">
        <v>1.76</v>
      </c>
    </row>
    <row r="2892" spans="1:6">
      <c r="A2892" t="s">
        <v>85</v>
      </c>
      <c r="B2892" s="2" t="s">
        <v>1100</v>
      </c>
      <c r="C2892" s="3" t="s">
        <v>1114</v>
      </c>
      <c r="D2892" s="7">
        <v>4900</v>
      </c>
      <c r="E2892" t="s">
        <v>12</v>
      </c>
      <c r="F2892" s="10">
        <v>2.14</v>
      </c>
    </row>
    <row r="2893" spans="1:6">
      <c r="A2893" t="s">
        <v>85</v>
      </c>
      <c r="B2893" s="2" t="s">
        <v>1100</v>
      </c>
      <c r="C2893" s="3" t="s">
        <v>1115</v>
      </c>
      <c r="D2893" s="7">
        <v>4906</v>
      </c>
      <c r="E2893" t="s">
        <v>12</v>
      </c>
      <c r="F2893" s="10">
        <v>2.2999999999999998</v>
      </c>
    </row>
    <row r="2894" spans="1:6">
      <c r="A2894" t="s">
        <v>85</v>
      </c>
      <c r="B2894" s="2" t="s">
        <v>1100</v>
      </c>
      <c r="C2894" s="3" t="s">
        <v>1116</v>
      </c>
      <c r="D2894" s="7">
        <v>4902</v>
      </c>
      <c r="E2894" t="s">
        <v>12</v>
      </c>
      <c r="F2894" s="10">
        <v>2.2000000000000002</v>
      </c>
    </row>
    <row r="2895" spans="1:6">
      <c r="A2895" t="s">
        <v>85</v>
      </c>
      <c r="B2895" s="2" t="s">
        <v>1100</v>
      </c>
      <c r="C2895" s="3" t="s">
        <v>1117</v>
      </c>
      <c r="D2895" s="7">
        <v>4897</v>
      </c>
      <c r="E2895" t="s">
        <v>12</v>
      </c>
      <c r="F2895" s="10">
        <v>1.82</v>
      </c>
    </row>
    <row r="2896" spans="1:6">
      <c r="A2896" t="s">
        <v>85</v>
      </c>
      <c r="B2896" s="2" t="s">
        <v>1100</v>
      </c>
      <c r="C2896" s="3" t="s">
        <v>1118</v>
      </c>
      <c r="D2896" s="7">
        <v>4901</v>
      </c>
      <c r="E2896" t="s">
        <v>12</v>
      </c>
      <c r="F2896" s="10">
        <v>2.23</v>
      </c>
    </row>
    <row r="2897" spans="1:6">
      <c r="A2897" t="s">
        <v>85</v>
      </c>
      <c r="B2897" s="2" t="s">
        <v>1100</v>
      </c>
      <c r="C2897" s="3" t="s">
        <v>1119</v>
      </c>
      <c r="D2897" s="7">
        <v>4903</v>
      </c>
      <c r="E2897" t="s">
        <v>12</v>
      </c>
      <c r="F2897" s="10">
        <v>1.99</v>
      </c>
    </row>
    <row r="2898" spans="1:6">
      <c r="A2898" t="s">
        <v>85</v>
      </c>
      <c r="B2898" s="2" t="s">
        <v>1100</v>
      </c>
      <c r="C2898" s="3" t="s">
        <v>1120</v>
      </c>
      <c r="D2898" s="7">
        <v>4904</v>
      </c>
      <c r="E2898" t="s">
        <v>12</v>
      </c>
      <c r="F2898" s="10">
        <v>2</v>
      </c>
    </row>
    <row r="2899" spans="1:6">
      <c r="A2899" t="s">
        <v>85</v>
      </c>
      <c r="B2899" s="2" t="s">
        <v>1121</v>
      </c>
      <c r="C2899" s="1" t="s">
        <v>1122</v>
      </c>
      <c r="D2899" s="7">
        <v>475</v>
      </c>
      <c r="E2899" t="s">
        <v>9</v>
      </c>
      <c r="F2899" s="1">
        <v>1.581</v>
      </c>
    </row>
    <row r="2900" spans="1:6">
      <c r="A2900" t="s">
        <v>85</v>
      </c>
      <c r="B2900" s="2" t="s">
        <v>1121</v>
      </c>
      <c r="C2900" s="1" t="s">
        <v>1123</v>
      </c>
      <c r="D2900" s="7">
        <v>481</v>
      </c>
      <c r="E2900" t="s">
        <v>9</v>
      </c>
      <c r="F2900" s="1">
        <v>1.5620000000000001</v>
      </c>
    </row>
    <row r="2901" spans="1:6">
      <c r="A2901" t="s">
        <v>85</v>
      </c>
      <c r="B2901" s="2" t="s">
        <v>1121</v>
      </c>
      <c r="C2901" s="1" t="s">
        <v>1124</v>
      </c>
      <c r="D2901" s="7">
        <v>487</v>
      </c>
      <c r="E2901" t="s">
        <v>9</v>
      </c>
      <c r="F2901" s="1">
        <v>1.5609999999999999</v>
      </c>
    </row>
    <row r="2902" spans="1:6">
      <c r="A2902" t="s">
        <v>85</v>
      </c>
      <c r="B2902" s="2" t="s">
        <v>1121</v>
      </c>
      <c r="C2902" s="1" t="s">
        <v>1125</v>
      </c>
      <c r="D2902" s="7">
        <v>493</v>
      </c>
      <c r="E2902" t="s">
        <v>9</v>
      </c>
      <c r="F2902" s="1">
        <v>1.542</v>
      </c>
    </row>
    <row r="2903" spans="1:6">
      <c r="A2903" t="s">
        <v>85</v>
      </c>
      <c r="B2903" t="s">
        <v>1121</v>
      </c>
      <c r="C2903" s="1" t="s">
        <v>1126</v>
      </c>
      <c r="D2903" s="7">
        <v>583</v>
      </c>
      <c r="E2903" t="s">
        <v>9</v>
      </c>
      <c r="F2903" s="1">
        <v>1.444</v>
      </c>
    </row>
    <row r="2904" spans="1:6">
      <c r="A2904" t="s">
        <v>85</v>
      </c>
      <c r="B2904" t="s">
        <v>1121</v>
      </c>
      <c r="C2904" s="1" t="s">
        <v>1127</v>
      </c>
      <c r="D2904" s="7">
        <v>589</v>
      </c>
      <c r="E2904" t="s">
        <v>9</v>
      </c>
      <c r="F2904" s="1">
        <v>1.5760000000000001</v>
      </c>
    </row>
    <row r="2905" spans="1:6">
      <c r="A2905" t="s">
        <v>85</v>
      </c>
      <c r="B2905" t="s">
        <v>1121</v>
      </c>
      <c r="C2905" s="1" t="s">
        <v>1128</v>
      </c>
      <c r="D2905" s="7">
        <v>595</v>
      </c>
      <c r="E2905" t="s">
        <v>9</v>
      </c>
      <c r="F2905" s="1">
        <v>1.5609999999999999</v>
      </c>
    </row>
    <row r="2906" spans="1:6">
      <c r="A2906" t="s">
        <v>85</v>
      </c>
      <c r="B2906" t="s">
        <v>1121</v>
      </c>
      <c r="C2906" s="1" t="s">
        <v>1129</v>
      </c>
      <c r="D2906" s="7">
        <v>601</v>
      </c>
      <c r="E2906" t="s">
        <v>9</v>
      </c>
      <c r="F2906" s="1">
        <v>1.542</v>
      </c>
    </row>
    <row r="2907" spans="1:6">
      <c r="A2907" t="s">
        <v>85</v>
      </c>
      <c r="B2907" t="s">
        <v>1121</v>
      </c>
      <c r="C2907" s="1" t="s">
        <v>1130</v>
      </c>
      <c r="D2907" s="7">
        <v>607</v>
      </c>
      <c r="E2907" t="s">
        <v>9</v>
      </c>
      <c r="F2907" s="1">
        <v>1.528</v>
      </c>
    </row>
    <row r="2908" spans="1:6">
      <c r="A2908" t="s">
        <v>85</v>
      </c>
      <c r="B2908" t="s">
        <v>1121</v>
      </c>
      <c r="C2908" s="1" t="s">
        <v>1131</v>
      </c>
      <c r="D2908" s="7">
        <v>673</v>
      </c>
      <c r="E2908" t="s">
        <v>9</v>
      </c>
      <c r="F2908" s="1">
        <v>1.5980000000000001</v>
      </c>
    </row>
    <row r="2909" spans="1:6">
      <c r="A2909" t="s">
        <v>85</v>
      </c>
      <c r="B2909" s="2" t="s">
        <v>1121</v>
      </c>
      <c r="C2909" s="1" t="s">
        <v>1122</v>
      </c>
      <c r="D2909" s="7">
        <v>476</v>
      </c>
      <c r="E2909" t="s">
        <v>10</v>
      </c>
      <c r="F2909" s="1">
        <v>3.835</v>
      </c>
    </row>
    <row r="2910" spans="1:6">
      <c r="A2910" t="s">
        <v>85</v>
      </c>
      <c r="B2910" s="2" t="s">
        <v>1121</v>
      </c>
      <c r="C2910" s="1" t="s">
        <v>1123</v>
      </c>
      <c r="D2910" s="7">
        <v>482</v>
      </c>
      <c r="E2910" t="s">
        <v>10</v>
      </c>
      <c r="F2910" s="9">
        <v>3.15</v>
      </c>
    </row>
    <row r="2911" spans="1:6">
      <c r="A2911" t="s">
        <v>85</v>
      </c>
      <c r="B2911" s="2" t="s">
        <v>1121</v>
      </c>
      <c r="C2911" s="1" t="s">
        <v>1124</v>
      </c>
      <c r="D2911" s="7">
        <v>488</v>
      </c>
      <c r="E2911" t="s">
        <v>10</v>
      </c>
      <c r="F2911" s="1">
        <v>3.1709999999999998</v>
      </c>
    </row>
    <row r="2912" spans="1:6">
      <c r="A2912" t="s">
        <v>85</v>
      </c>
      <c r="B2912" s="2" t="s">
        <v>1121</v>
      </c>
      <c r="C2912" s="1" t="s">
        <v>1125</v>
      </c>
      <c r="D2912" s="7">
        <v>494</v>
      </c>
      <c r="E2912" t="s">
        <v>10</v>
      </c>
      <c r="F2912" s="1">
        <v>3.7090000000000001</v>
      </c>
    </row>
    <row r="2913" spans="1:6">
      <c r="A2913" t="s">
        <v>85</v>
      </c>
      <c r="B2913" t="s">
        <v>1121</v>
      </c>
      <c r="C2913" s="1" t="s">
        <v>1126</v>
      </c>
      <c r="D2913" s="7">
        <v>584</v>
      </c>
      <c r="E2913" t="s">
        <v>10</v>
      </c>
      <c r="F2913" s="1">
        <v>3.7349999999999999</v>
      </c>
    </row>
    <row r="2914" spans="1:6">
      <c r="A2914" t="s">
        <v>85</v>
      </c>
      <c r="B2914" t="s">
        <v>1121</v>
      </c>
      <c r="C2914" s="1" t="s">
        <v>1127</v>
      </c>
      <c r="D2914" s="7">
        <v>590</v>
      </c>
      <c r="E2914" t="s">
        <v>10</v>
      </c>
      <c r="F2914" s="1">
        <v>3.8159999999999998</v>
      </c>
    </row>
    <row r="2915" spans="1:6">
      <c r="A2915" t="s">
        <v>85</v>
      </c>
      <c r="B2915" t="s">
        <v>1121</v>
      </c>
      <c r="C2915" s="1" t="s">
        <v>1128</v>
      </c>
      <c r="D2915" s="7">
        <v>596</v>
      </c>
      <c r="E2915" t="s">
        <v>10</v>
      </c>
      <c r="F2915" s="1">
        <v>3.722</v>
      </c>
    </row>
    <row r="2916" spans="1:6">
      <c r="A2916" t="s">
        <v>85</v>
      </c>
      <c r="B2916" t="s">
        <v>1121</v>
      </c>
      <c r="C2916" s="1" t="s">
        <v>1129</v>
      </c>
      <c r="D2916" s="7">
        <v>602</v>
      </c>
      <c r="E2916" t="s">
        <v>10</v>
      </c>
      <c r="F2916" s="9">
        <v>3.73</v>
      </c>
    </row>
    <row r="2917" spans="1:6">
      <c r="A2917" t="s">
        <v>85</v>
      </c>
      <c r="B2917" t="s">
        <v>1121</v>
      </c>
      <c r="C2917" s="1" t="s">
        <v>1130</v>
      </c>
      <c r="D2917" s="7">
        <v>608</v>
      </c>
      <c r="E2917" t="s">
        <v>10</v>
      </c>
      <c r="F2917" s="1">
        <v>3.1459999999999999</v>
      </c>
    </row>
    <row r="2918" spans="1:6">
      <c r="A2918" t="s">
        <v>85</v>
      </c>
      <c r="B2918" t="s">
        <v>1121</v>
      </c>
      <c r="C2918" s="1" t="s">
        <v>1131</v>
      </c>
      <c r="D2918" s="7">
        <v>674</v>
      </c>
      <c r="E2918" t="s">
        <v>10</v>
      </c>
      <c r="F2918" s="1">
        <v>3.7549999999999999</v>
      </c>
    </row>
    <row r="2919" spans="1:6">
      <c r="A2919" t="s">
        <v>85</v>
      </c>
      <c r="B2919" s="2" t="s">
        <v>1121</v>
      </c>
      <c r="C2919" s="1" t="s">
        <v>1122</v>
      </c>
      <c r="D2919" s="7">
        <v>474</v>
      </c>
      <c r="E2919" t="s">
        <v>11</v>
      </c>
      <c r="F2919" s="9">
        <v>5.55</v>
      </c>
    </row>
    <row r="2920" spans="1:6">
      <c r="A2920" t="s">
        <v>85</v>
      </c>
      <c r="B2920" s="2" t="s">
        <v>1121</v>
      </c>
      <c r="C2920" s="1" t="s">
        <v>1123</v>
      </c>
      <c r="D2920" s="7">
        <v>480</v>
      </c>
      <c r="E2920" t="s">
        <v>11</v>
      </c>
      <c r="F2920" s="1">
        <v>5.6740000000000004</v>
      </c>
    </row>
    <row r="2921" spans="1:6">
      <c r="A2921" t="s">
        <v>85</v>
      </c>
      <c r="B2921" s="2" t="s">
        <v>1121</v>
      </c>
      <c r="C2921" s="1" t="s">
        <v>1124</v>
      </c>
      <c r="D2921" s="7">
        <v>486</v>
      </c>
      <c r="E2921" t="s">
        <v>11</v>
      </c>
      <c r="F2921" s="1">
        <v>5.782</v>
      </c>
    </row>
    <row r="2922" spans="1:6">
      <c r="A2922" t="s">
        <v>85</v>
      </c>
      <c r="B2922" s="2" t="s">
        <v>1121</v>
      </c>
      <c r="C2922" s="1" t="s">
        <v>1125</v>
      </c>
      <c r="D2922" s="7">
        <v>492</v>
      </c>
      <c r="E2922" t="s">
        <v>11</v>
      </c>
      <c r="F2922" s="1">
        <v>5.508</v>
      </c>
    </row>
    <row r="2923" spans="1:6">
      <c r="A2923" t="s">
        <v>85</v>
      </c>
      <c r="B2923" t="s">
        <v>1121</v>
      </c>
      <c r="C2923" s="1" t="s">
        <v>1126</v>
      </c>
      <c r="D2923" s="7">
        <v>582</v>
      </c>
      <c r="E2923" t="s">
        <v>11</v>
      </c>
      <c r="F2923" s="1">
        <v>5.4989999999999997</v>
      </c>
    </row>
    <row r="2924" spans="1:6">
      <c r="A2924" t="s">
        <v>85</v>
      </c>
      <c r="B2924" t="s">
        <v>1121</v>
      </c>
      <c r="C2924" s="1" t="s">
        <v>1127</v>
      </c>
      <c r="D2924" s="7">
        <v>588</v>
      </c>
      <c r="E2924" t="s">
        <v>11</v>
      </c>
      <c r="F2924" s="1">
        <v>5.6479999999999997</v>
      </c>
    </row>
    <row r="2925" spans="1:6">
      <c r="A2925" t="s">
        <v>85</v>
      </c>
      <c r="B2925" t="s">
        <v>1121</v>
      </c>
      <c r="C2925" s="1" t="s">
        <v>1128</v>
      </c>
      <c r="D2925" s="7">
        <v>594</v>
      </c>
      <c r="E2925" t="s">
        <v>11</v>
      </c>
      <c r="F2925" s="1">
        <v>5.2389999999999999</v>
      </c>
    </row>
    <row r="2926" spans="1:6">
      <c r="A2926" t="s">
        <v>85</v>
      </c>
      <c r="B2926" t="s">
        <v>1121</v>
      </c>
      <c r="C2926" s="1" t="s">
        <v>1129</v>
      </c>
      <c r="D2926" s="7">
        <v>600</v>
      </c>
      <c r="E2926" t="s">
        <v>11</v>
      </c>
      <c r="F2926" s="1">
        <v>5.6980000000000004</v>
      </c>
    </row>
    <row r="2927" spans="1:6">
      <c r="A2927" t="s">
        <v>85</v>
      </c>
      <c r="B2927" t="s">
        <v>1121</v>
      </c>
      <c r="C2927" s="1" t="s">
        <v>1130</v>
      </c>
      <c r="D2927" s="7">
        <v>606</v>
      </c>
      <c r="E2927" t="s">
        <v>11</v>
      </c>
      <c r="F2927" s="1">
        <v>5.5529999999999999</v>
      </c>
    </row>
    <row r="2928" spans="1:6">
      <c r="A2928" t="s">
        <v>85</v>
      </c>
      <c r="B2928" t="s">
        <v>1121</v>
      </c>
      <c r="C2928" s="1" t="s">
        <v>1131</v>
      </c>
      <c r="D2928" s="7">
        <v>672</v>
      </c>
      <c r="E2928" t="s">
        <v>11</v>
      </c>
      <c r="F2928" s="1">
        <v>5.4180000000000001</v>
      </c>
    </row>
    <row r="2929" spans="1:6">
      <c r="A2929" t="s">
        <v>85</v>
      </c>
      <c r="B2929" s="2" t="s">
        <v>1121</v>
      </c>
      <c r="C2929" s="3" t="s">
        <v>1132</v>
      </c>
      <c r="D2929" s="7">
        <v>4908</v>
      </c>
      <c r="E2929" t="s">
        <v>12</v>
      </c>
      <c r="F2929" s="10">
        <v>1.86</v>
      </c>
    </row>
    <row r="2930" spans="1:6">
      <c r="A2930" t="s">
        <v>85</v>
      </c>
      <c r="B2930" s="2" t="s">
        <v>1121</v>
      </c>
      <c r="C2930" s="3" t="s">
        <v>1133</v>
      </c>
      <c r="D2930" s="7">
        <v>4910</v>
      </c>
      <c r="E2930" t="s">
        <v>12</v>
      </c>
      <c r="F2930" s="10">
        <v>1.78</v>
      </c>
    </row>
    <row r="2931" spans="1:6">
      <c r="A2931" t="s">
        <v>85</v>
      </c>
      <c r="B2931" s="2" t="s">
        <v>1121</v>
      </c>
      <c r="C2931" s="3" t="s">
        <v>1134</v>
      </c>
      <c r="D2931" s="7">
        <v>4907</v>
      </c>
      <c r="E2931" t="s">
        <v>12</v>
      </c>
      <c r="F2931" s="10">
        <v>1.74</v>
      </c>
    </row>
    <row r="2932" spans="1:6">
      <c r="A2932" t="s">
        <v>85</v>
      </c>
      <c r="B2932" s="2" t="s">
        <v>1121</v>
      </c>
      <c r="C2932" s="3" t="s">
        <v>1135</v>
      </c>
      <c r="D2932" s="7">
        <v>4915</v>
      </c>
      <c r="E2932" t="s">
        <v>12</v>
      </c>
      <c r="F2932" s="10">
        <v>1.9</v>
      </c>
    </row>
    <row r="2933" spans="1:6">
      <c r="A2933" t="s">
        <v>85</v>
      </c>
      <c r="B2933" t="s">
        <v>1121</v>
      </c>
      <c r="C2933" s="3" t="s">
        <v>1136</v>
      </c>
      <c r="D2933" s="7">
        <v>4916</v>
      </c>
      <c r="E2933" t="s">
        <v>12</v>
      </c>
      <c r="F2933" s="10">
        <v>2.1</v>
      </c>
    </row>
    <row r="2934" spans="1:6">
      <c r="A2934" t="s">
        <v>85</v>
      </c>
      <c r="B2934" s="2" t="s">
        <v>1121</v>
      </c>
      <c r="C2934" s="3" t="s">
        <v>1137</v>
      </c>
      <c r="D2934" s="7">
        <v>4909</v>
      </c>
      <c r="E2934" t="s">
        <v>12</v>
      </c>
      <c r="F2934" s="10">
        <v>1.81</v>
      </c>
    </row>
    <row r="2935" spans="1:6">
      <c r="A2935" t="s">
        <v>85</v>
      </c>
      <c r="B2935" s="2" t="s">
        <v>1121</v>
      </c>
      <c r="C2935" s="3" t="s">
        <v>1138</v>
      </c>
      <c r="D2935" s="7">
        <v>4911</v>
      </c>
      <c r="E2935" t="s">
        <v>12</v>
      </c>
      <c r="F2935" s="10">
        <v>1.91</v>
      </c>
    </row>
    <row r="2936" spans="1:6">
      <c r="A2936" t="s">
        <v>85</v>
      </c>
      <c r="B2936" s="2" t="s">
        <v>1121</v>
      </c>
      <c r="C2936" s="3" t="s">
        <v>1139</v>
      </c>
      <c r="D2936" s="7">
        <v>4914</v>
      </c>
      <c r="E2936" t="s">
        <v>12</v>
      </c>
      <c r="F2936" s="10">
        <v>2.08</v>
      </c>
    </row>
    <row r="2937" spans="1:6">
      <c r="A2937" t="s">
        <v>85</v>
      </c>
      <c r="B2937" s="2" t="s">
        <v>1121</v>
      </c>
      <c r="C2937" s="3" t="s">
        <v>1140</v>
      </c>
      <c r="D2937" s="7">
        <v>4912</v>
      </c>
      <c r="E2937" t="s">
        <v>12</v>
      </c>
      <c r="F2937" s="10">
        <v>1.95</v>
      </c>
    </row>
    <row r="2938" spans="1:6">
      <c r="A2938" t="s">
        <v>85</v>
      </c>
      <c r="B2938" s="2" t="s">
        <v>1121</v>
      </c>
      <c r="C2938" s="3" t="s">
        <v>1141</v>
      </c>
      <c r="D2938" s="7">
        <v>4913</v>
      </c>
      <c r="E2938" t="s">
        <v>12</v>
      </c>
      <c r="F2938" s="10">
        <v>1.81</v>
      </c>
    </row>
    <row r="2939" spans="1:6">
      <c r="A2939" t="s">
        <v>85</v>
      </c>
      <c r="B2939" s="2" t="s">
        <v>1142</v>
      </c>
      <c r="C2939" s="1" t="s">
        <v>1143</v>
      </c>
      <c r="D2939" s="7">
        <v>1094</v>
      </c>
      <c r="E2939" t="s">
        <v>9</v>
      </c>
      <c r="F2939" s="1">
        <v>1.7250000000000001</v>
      </c>
    </row>
    <row r="2940" spans="1:6">
      <c r="A2940" t="s">
        <v>85</v>
      </c>
      <c r="B2940" s="2" t="s">
        <v>1142</v>
      </c>
      <c r="C2940" s="1" t="s">
        <v>1144</v>
      </c>
      <c r="D2940" s="7">
        <v>1100</v>
      </c>
      <c r="E2940" t="s">
        <v>9</v>
      </c>
      <c r="F2940" s="1">
        <v>1.702</v>
      </c>
    </row>
    <row r="2941" spans="1:6">
      <c r="A2941" t="s">
        <v>85</v>
      </c>
      <c r="B2941" s="2" t="s">
        <v>1142</v>
      </c>
      <c r="C2941" s="1" t="s">
        <v>1145</v>
      </c>
      <c r="D2941" s="7">
        <v>1106</v>
      </c>
      <c r="E2941" t="s">
        <v>9</v>
      </c>
      <c r="F2941" s="1">
        <v>1.8740000000000001</v>
      </c>
    </row>
    <row r="2942" spans="1:6">
      <c r="A2942" t="s">
        <v>85</v>
      </c>
      <c r="B2942" s="2" t="s">
        <v>1142</v>
      </c>
      <c r="C2942" s="1" t="s">
        <v>1146</v>
      </c>
      <c r="D2942" s="7">
        <v>1112</v>
      </c>
      <c r="E2942" t="s">
        <v>9</v>
      </c>
      <c r="F2942" s="1">
        <v>1.7410000000000001</v>
      </c>
    </row>
    <row r="2943" spans="1:6">
      <c r="A2943" t="s">
        <v>85</v>
      </c>
      <c r="B2943" s="2" t="s">
        <v>1142</v>
      </c>
      <c r="C2943" s="1" t="s">
        <v>1147</v>
      </c>
      <c r="D2943" s="7">
        <v>1118</v>
      </c>
      <c r="E2943" t="s">
        <v>9</v>
      </c>
      <c r="F2943" s="1">
        <v>1.835</v>
      </c>
    </row>
    <row r="2944" spans="1:6">
      <c r="A2944" t="s">
        <v>85</v>
      </c>
      <c r="B2944" s="2" t="s">
        <v>1142</v>
      </c>
      <c r="C2944" s="1" t="s">
        <v>1148</v>
      </c>
      <c r="D2944" s="7">
        <v>1124</v>
      </c>
      <c r="E2944" t="s">
        <v>9</v>
      </c>
      <c r="F2944" s="1">
        <v>1.714</v>
      </c>
    </row>
    <row r="2945" spans="1:6">
      <c r="A2945" t="s">
        <v>85</v>
      </c>
      <c r="B2945" s="2" t="s">
        <v>1142</v>
      </c>
      <c r="C2945" s="1" t="s">
        <v>1149</v>
      </c>
      <c r="D2945" s="7">
        <v>1130</v>
      </c>
      <c r="E2945" t="s">
        <v>9</v>
      </c>
      <c r="F2945" s="1">
        <v>1.738</v>
      </c>
    </row>
    <row r="2946" spans="1:6">
      <c r="A2946" t="s">
        <v>85</v>
      </c>
      <c r="B2946" t="s">
        <v>1142</v>
      </c>
      <c r="C2946" s="1" t="s">
        <v>1150</v>
      </c>
      <c r="D2946" s="7">
        <v>1328</v>
      </c>
      <c r="E2946" t="s">
        <v>9</v>
      </c>
      <c r="F2946" s="1">
        <v>1.792</v>
      </c>
    </row>
    <row r="2947" spans="1:6">
      <c r="A2947" t="s">
        <v>85</v>
      </c>
      <c r="B2947" t="s">
        <v>1142</v>
      </c>
      <c r="C2947" s="1" t="s">
        <v>1151</v>
      </c>
      <c r="D2947" s="7">
        <v>1376</v>
      </c>
      <c r="E2947" t="s">
        <v>9</v>
      </c>
      <c r="F2947" s="1">
        <v>1.7030000000000001</v>
      </c>
    </row>
    <row r="2948" spans="1:6">
      <c r="A2948" t="s">
        <v>85</v>
      </c>
      <c r="B2948" t="s">
        <v>1142</v>
      </c>
      <c r="C2948" s="1" t="s">
        <v>1152</v>
      </c>
      <c r="D2948" s="7">
        <v>1382</v>
      </c>
      <c r="E2948" t="s">
        <v>9</v>
      </c>
      <c r="F2948" s="1">
        <v>1.8220000000000001</v>
      </c>
    </row>
    <row r="2949" spans="1:6">
      <c r="A2949" t="s">
        <v>85</v>
      </c>
      <c r="B2949" s="2" t="s">
        <v>1142</v>
      </c>
      <c r="C2949" s="1" t="s">
        <v>1143</v>
      </c>
      <c r="D2949" s="7">
        <v>1095</v>
      </c>
      <c r="E2949" t="s">
        <v>10</v>
      </c>
      <c r="F2949" s="1">
        <v>3.8279999999999998</v>
      </c>
    </row>
    <row r="2950" spans="1:6">
      <c r="A2950" t="s">
        <v>85</v>
      </c>
      <c r="B2950" s="2" t="s">
        <v>1142</v>
      </c>
      <c r="C2950" s="1" t="s">
        <v>1144</v>
      </c>
      <c r="D2950" s="7">
        <v>1101</v>
      </c>
      <c r="E2950" t="s">
        <v>10</v>
      </c>
      <c r="F2950" s="9">
        <v>3.11</v>
      </c>
    </row>
    <row r="2951" spans="1:6">
      <c r="A2951" t="s">
        <v>85</v>
      </c>
      <c r="B2951" s="2" t="s">
        <v>1142</v>
      </c>
      <c r="C2951" s="1" t="s">
        <v>1145</v>
      </c>
      <c r="D2951" s="7">
        <v>1107</v>
      </c>
      <c r="E2951" t="s">
        <v>10</v>
      </c>
      <c r="F2951" s="1">
        <v>3.2090000000000001</v>
      </c>
    </row>
    <row r="2952" spans="1:6">
      <c r="A2952" t="s">
        <v>85</v>
      </c>
      <c r="B2952" s="2" t="s">
        <v>1142</v>
      </c>
      <c r="C2952" s="1" t="s">
        <v>1146</v>
      </c>
      <c r="D2952" s="7">
        <v>1113</v>
      </c>
      <c r="E2952" t="s">
        <v>10</v>
      </c>
      <c r="F2952" s="1">
        <v>3.2770000000000001</v>
      </c>
    </row>
    <row r="2953" spans="1:6">
      <c r="A2953" t="s">
        <v>85</v>
      </c>
      <c r="B2953" s="2" t="s">
        <v>1142</v>
      </c>
      <c r="C2953" s="1" t="s">
        <v>1147</v>
      </c>
      <c r="D2953" s="7">
        <v>1119</v>
      </c>
      <c r="E2953" t="s">
        <v>10</v>
      </c>
      <c r="F2953" s="1">
        <v>3.3050000000000002</v>
      </c>
    </row>
    <row r="2954" spans="1:6">
      <c r="A2954" t="s">
        <v>85</v>
      </c>
      <c r="B2954" s="2" t="s">
        <v>1142</v>
      </c>
      <c r="C2954" s="1" t="s">
        <v>1148</v>
      </c>
      <c r="D2954" s="7">
        <v>1125</v>
      </c>
      <c r="E2954" t="s">
        <v>10</v>
      </c>
      <c r="F2954" s="1">
        <v>3.359</v>
      </c>
    </row>
    <row r="2955" spans="1:6">
      <c r="A2955" t="s">
        <v>85</v>
      </c>
      <c r="B2955" s="2" t="s">
        <v>1142</v>
      </c>
      <c r="C2955" s="1" t="s">
        <v>1149</v>
      </c>
      <c r="D2955" s="7">
        <v>1131</v>
      </c>
      <c r="E2955" t="s">
        <v>10</v>
      </c>
      <c r="F2955" s="1">
        <v>3.298</v>
      </c>
    </row>
    <row r="2956" spans="1:6">
      <c r="A2956" t="s">
        <v>85</v>
      </c>
      <c r="B2956" t="s">
        <v>1142</v>
      </c>
      <c r="C2956" s="1" t="s">
        <v>1150</v>
      </c>
      <c r="D2956" s="7">
        <v>1329</v>
      </c>
      <c r="E2956" t="s">
        <v>10</v>
      </c>
      <c r="F2956" s="1">
        <v>3.3140000000000001</v>
      </c>
    </row>
    <row r="2957" spans="1:6">
      <c r="A2957" t="s">
        <v>85</v>
      </c>
      <c r="B2957" t="s">
        <v>1142</v>
      </c>
      <c r="C2957" s="1" t="s">
        <v>1151</v>
      </c>
      <c r="D2957" s="7">
        <v>1377</v>
      </c>
      <c r="E2957" t="s">
        <v>10</v>
      </c>
      <c r="F2957" s="1">
        <v>3.4569999999999999</v>
      </c>
    </row>
    <row r="2958" spans="1:6">
      <c r="A2958" t="s">
        <v>85</v>
      </c>
      <c r="B2958" t="s">
        <v>1142</v>
      </c>
      <c r="C2958" s="1" t="s">
        <v>1152</v>
      </c>
      <c r="D2958" s="7">
        <v>1383</v>
      </c>
      <c r="E2958" t="s">
        <v>10</v>
      </c>
      <c r="F2958" s="1">
        <v>3.3530000000000002</v>
      </c>
    </row>
    <row r="2959" spans="1:6">
      <c r="A2959" t="s">
        <v>85</v>
      </c>
      <c r="B2959" s="2" t="s">
        <v>1142</v>
      </c>
      <c r="C2959" s="1" t="s">
        <v>1143</v>
      </c>
      <c r="D2959" s="7">
        <v>1093</v>
      </c>
      <c r="E2959" t="s">
        <v>11</v>
      </c>
      <c r="F2959" s="1">
        <v>7.2519999999999998</v>
      </c>
    </row>
    <row r="2960" spans="1:6">
      <c r="A2960" t="s">
        <v>85</v>
      </c>
      <c r="B2960" s="2" t="s">
        <v>1142</v>
      </c>
      <c r="C2960" s="1" t="s">
        <v>1144</v>
      </c>
      <c r="D2960" s="7">
        <v>1099</v>
      </c>
      <c r="E2960" t="s">
        <v>11</v>
      </c>
      <c r="F2960" s="1">
        <v>6.9749999999999996</v>
      </c>
    </row>
    <row r="2961" spans="1:6">
      <c r="A2961" t="s">
        <v>85</v>
      </c>
      <c r="B2961" s="2" t="s">
        <v>1142</v>
      </c>
      <c r="C2961" s="1" t="s">
        <v>1145</v>
      </c>
      <c r="D2961" s="7">
        <v>1105</v>
      </c>
      <c r="E2961" t="s">
        <v>11</v>
      </c>
      <c r="F2961" s="1">
        <v>6.2629999999999999</v>
      </c>
    </row>
    <row r="2962" spans="1:6">
      <c r="A2962" t="s">
        <v>85</v>
      </c>
      <c r="B2962" s="2" t="s">
        <v>1142</v>
      </c>
      <c r="C2962" s="1" t="s">
        <v>1146</v>
      </c>
      <c r="D2962" s="7">
        <v>1111</v>
      </c>
      <c r="E2962" t="s">
        <v>11</v>
      </c>
      <c r="F2962" s="1">
        <v>6.7539999999999996</v>
      </c>
    </row>
    <row r="2963" spans="1:6">
      <c r="A2963" t="s">
        <v>85</v>
      </c>
      <c r="B2963" s="2" t="s">
        <v>1142</v>
      </c>
      <c r="C2963" s="1" t="s">
        <v>1147</v>
      </c>
      <c r="D2963" s="7">
        <v>1117</v>
      </c>
      <c r="E2963" t="s">
        <v>11</v>
      </c>
      <c r="F2963" s="1">
        <v>7.2030000000000003</v>
      </c>
    </row>
    <row r="2964" spans="1:6">
      <c r="A2964" t="s">
        <v>85</v>
      </c>
      <c r="B2964" s="2" t="s">
        <v>1142</v>
      </c>
      <c r="C2964" s="1" t="s">
        <v>1148</v>
      </c>
      <c r="D2964" s="7">
        <v>1123</v>
      </c>
      <c r="E2964" t="s">
        <v>11</v>
      </c>
      <c r="F2964" s="1">
        <v>7.1349999999999998</v>
      </c>
    </row>
    <row r="2965" spans="1:6">
      <c r="A2965" t="s">
        <v>85</v>
      </c>
      <c r="B2965" s="2" t="s">
        <v>1142</v>
      </c>
      <c r="C2965" s="1" t="s">
        <v>1149</v>
      </c>
      <c r="D2965" s="7">
        <v>1129</v>
      </c>
      <c r="E2965" t="s">
        <v>11</v>
      </c>
      <c r="F2965" s="1">
        <v>7.1239999999999997</v>
      </c>
    </row>
    <row r="2966" spans="1:6">
      <c r="A2966" t="s">
        <v>85</v>
      </c>
      <c r="B2966" t="s">
        <v>1142</v>
      </c>
      <c r="C2966" s="1" t="s">
        <v>1150</v>
      </c>
      <c r="D2966" s="7">
        <v>1327</v>
      </c>
      <c r="E2966" t="s">
        <v>11</v>
      </c>
      <c r="F2966" s="1">
        <v>7.2439999999999998</v>
      </c>
    </row>
    <row r="2967" spans="1:6">
      <c r="A2967" t="s">
        <v>85</v>
      </c>
      <c r="B2967" t="s">
        <v>1142</v>
      </c>
      <c r="C2967" s="1" t="s">
        <v>1151</v>
      </c>
      <c r="D2967" s="7">
        <v>1375</v>
      </c>
      <c r="E2967" t="s">
        <v>11</v>
      </c>
      <c r="F2967" s="1">
        <v>6.9009999999999998</v>
      </c>
    </row>
    <row r="2968" spans="1:6">
      <c r="A2968" t="s">
        <v>85</v>
      </c>
      <c r="B2968" t="s">
        <v>1142</v>
      </c>
      <c r="C2968" s="1" t="s">
        <v>1152</v>
      </c>
      <c r="D2968" s="7">
        <v>1381</v>
      </c>
      <c r="E2968" t="s">
        <v>11</v>
      </c>
      <c r="F2968" s="1">
        <v>7.2169999999999996</v>
      </c>
    </row>
    <row r="2969" spans="1:6">
      <c r="A2969" t="s">
        <v>85</v>
      </c>
      <c r="B2969" s="2" t="s">
        <v>1142</v>
      </c>
      <c r="C2969" s="3" t="s">
        <v>1153</v>
      </c>
      <c r="D2969" s="7">
        <v>4920</v>
      </c>
      <c r="E2969" t="s">
        <v>12</v>
      </c>
      <c r="F2969" s="10">
        <v>2.65</v>
      </c>
    </row>
    <row r="2970" spans="1:6">
      <c r="A2970" t="s">
        <v>85</v>
      </c>
      <c r="B2970" s="2" t="s">
        <v>1142</v>
      </c>
      <c r="C2970" s="3" t="s">
        <v>1154</v>
      </c>
      <c r="D2970" s="7">
        <v>4917</v>
      </c>
      <c r="E2970" t="s">
        <v>12</v>
      </c>
      <c r="F2970" s="10">
        <v>2.46</v>
      </c>
    </row>
    <row r="2971" spans="1:6">
      <c r="A2971" t="s">
        <v>85</v>
      </c>
      <c r="B2971" s="2" t="s">
        <v>1142</v>
      </c>
      <c r="C2971" s="3" t="s">
        <v>1155</v>
      </c>
      <c r="D2971" s="7">
        <v>4919</v>
      </c>
      <c r="E2971" t="s">
        <v>12</v>
      </c>
      <c r="F2971" s="10">
        <v>2.4700000000000002</v>
      </c>
    </row>
    <row r="2972" spans="1:6">
      <c r="A2972" t="s">
        <v>85</v>
      </c>
      <c r="B2972" t="s">
        <v>1142</v>
      </c>
      <c r="C2972" s="3" t="s">
        <v>1151</v>
      </c>
      <c r="D2972" s="7">
        <v>5142</v>
      </c>
      <c r="E2972" t="s">
        <v>12</v>
      </c>
      <c r="F2972" s="10">
        <v>1.1399999999999999</v>
      </c>
    </row>
    <row r="2973" spans="1:6">
      <c r="A2973" t="s">
        <v>85</v>
      </c>
      <c r="B2973" s="2" t="s">
        <v>1142</v>
      </c>
      <c r="C2973" s="3" t="s">
        <v>1156</v>
      </c>
      <c r="D2973" s="7">
        <v>4918</v>
      </c>
      <c r="E2973" t="s">
        <v>12</v>
      </c>
      <c r="F2973" s="10">
        <v>2.44</v>
      </c>
    </row>
    <row r="2974" spans="1:6">
      <c r="A2974" t="s">
        <v>85</v>
      </c>
      <c r="B2974" s="13" t="s">
        <v>1157</v>
      </c>
      <c r="C2974" s="3" t="s">
        <v>1158</v>
      </c>
      <c r="D2974" s="7">
        <v>4875</v>
      </c>
      <c r="E2974" t="s">
        <v>9</v>
      </c>
      <c r="F2974" s="10">
        <v>0.93</v>
      </c>
    </row>
    <row r="2975" spans="1:6">
      <c r="A2975" t="s">
        <v>85</v>
      </c>
      <c r="B2975" s="13" t="s">
        <v>1157</v>
      </c>
      <c r="C2975" s="3" t="s">
        <v>1159</v>
      </c>
      <c r="D2975" s="7">
        <v>4880</v>
      </c>
      <c r="E2975" t="s">
        <v>9</v>
      </c>
      <c r="F2975" s="10">
        <v>1.05</v>
      </c>
    </row>
    <row r="2976" spans="1:6">
      <c r="A2976" t="s">
        <v>85</v>
      </c>
      <c r="B2976" s="13" t="s">
        <v>1157</v>
      </c>
      <c r="C2976" s="3" t="s">
        <v>1160</v>
      </c>
      <c r="D2976" s="7">
        <v>4885</v>
      </c>
      <c r="E2976" t="s">
        <v>9</v>
      </c>
      <c r="F2976" s="10">
        <v>0.94</v>
      </c>
    </row>
    <row r="2977" spans="1:6">
      <c r="A2977" t="s">
        <v>85</v>
      </c>
      <c r="B2977" s="13" t="s">
        <v>1157</v>
      </c>
      <c r="C2977" s="3" t="s">
        <v>1161</v>
      </c>
      <c r="D2977" s="7">
        <v>4890</v>
      </c>
      <c r="E2977" t="s">
        <v>9</v>
      </c>
      <c r="F2977" s="10">
        <v>0.89</v>
      </c>
    </row>
    <row r="2978" spans="1:6">
      <c r="A2978" t="s">
        <v>85</v>
      </c>
      <c r="B2978" s="13" t="s">
        <v>1157</v>
      </c>
      <c r="C2978" s="3" t="s">
        <v>1162</v>
      </c>
      <c r="D2978" s="7">
        <v>4895</v>
      </c>
      <c r="E2978" t="s">
        <v>9</v>
      </c>
      <c r="F2978" s="10">
        <v>0.85</v>
      </c>
    </row>
    <row r="2979" spans="1:6">
      <c r="A2979" t="s">
        <v>85</v>
      </c>
      <c r="B2979" s="13" t="s">
        <v>1157</v>
      </c>
      <c r="C2979" s="3" t="s">
        <v>1158</v>
      </c>
      <c r="D2979" s="7">
        <v>4876</v>
      </c>
      <c r="E2979" t="s">
        <v>10</v>
      </c>
      <c r="F2979" s="10">
        <v>1.08</v>
      </c>
    </row>
    <row r="2980" spans="1:6">
      <c r="A2980" t="s">
        <v>85</v>
      </c>
      <c r="B2980" s="13" t="s">
        <v>1157</v>
      </c>
      <c r="C2980" s="3" t="s">
        <v>1160</v>
      </c>
      <c r="D2980" s="7">
        <v>4886</v>
      </c>
      <c r="E2980" t="s">
        <v>10</v>
      </c>
      <c r="F2980" s="10">
        <f>0.75+0.57</f>
        <v>1.3199999999999998</v>
      </c>
    </row>
    <row r="2981" spans="1:6">
      <c r="A2981" t="s">
        <v>85</v>
      </c>
      <c r="B2981" s="13" t="s">
        <v>1157</v>
      </c>
      <c r="C2981" s="3" t="s">
        <v>1161</v>
      </c>
      <c r="D2981" s="7">
        <v>4891</v>
      </c>
      <c r="E2981" t="s">
        <v>10</v>
      </c>
      <c r="F2981" s="10">
        <f>0.62+0.52</f>
        <v>1.1400000000000001</v>
      </c>
    </row>
    <row r="2982" spans="1:6">
      <c r="A2982" t="s">
        <v>85</v>
      </c>
      <c r="B2982" s="13" t="s">
        <v>1157</v>
      </c>
      <c r="C2982" s="3" t="s">
        <v>1162</v>
      </c>
      <c r="D2982" s="7">
        <v>4896</v>
      </c>
      <c r="E2982" t="s">
        <v>10</v>
      </c>
      <c r="F2982" s="10">
        <v>0.84</v>
      </c>
    </row>
    <row r="2983" spans="1:6">
      <c r="A2983" t="s">
        <v>85</v>
      </c>
      <c r="B2983" s="13" t="s">
        <v>1157</v>
      </c>
      <c r="C2983" s="3" t="s">
        <v>1158</v>
      </c>
      <c r="D2983" s="7">
        <v>4873</v>
      </c>
      <c r="E2983" t="s">
        <v>11</v>
      </c>
      <c r="F2983" s="10">
        <v>2.82</v>
      </c>
    </row>
    <row r="2984" spans="1:6">
      <c r="A2984" t="s">
        <v>85</v>
      </c>
      <c r="B2984" s="13" t="s">
        <v>1157</v>
      </c>
      <c r="C2984" s="3" t="s">
        <v>1159</v>
      </c>
      <c r="D2984" s="7">
        <v>4878</v>
      </c>
      <c r="E2984" t="s">
        <v>11</v>
      </c>
      <c r="F2984" s="10">
        <v>2.6</v>
      </c>
    </row>
    <row r="2985" spans="1:6">
      <c r="A2985" t="s">
        <v>85</v>
      </c>
      <c r="B2985" s="13" t="s">
        <v>1157</v>
      </c>
      <c r="C2985" s="3" t="s">
        <v>1160</v>
      </c>
      <c r="D2985" s="7">
        <v>4883</v>
      </c>
      <c r="E2985" t="s">
        <v>11</v>
      </c>
      <c r="F2985" s="10">
        <v>2.08</v>
      </c>
    </row>
    <row r="2986" spans="1:6">
      <c r="A2986" t="s">
        <v>85</v>
      </c>
      <c r="B2986" s="13" t="s">
        <v>1157</v>
      </c>
      <c r="C2986" s="3" t="s">
        <v>1161</v>
      </c>
      <c r="D2986" s="7">
        <v>4888</v>
      </c>
      <c r="E2986" t="s">
        <v>11</v>
      </c>
      <c r="F2986" s="10">
        <v>2.89</v>
      </c>
    </row>
    <row r="2987" spans="1:6">
      <c r="A2987" t="s">
        <v>85</v>
      </c>
      <c r="B2987" s="13" t="s">
        <v>1157</v>
      </c>
      <c r="C2987" s="3" t="s">
        <v>1162</v>
      </c>
      <c r="D2987" s="7">
        <v>4893</v>
      </c>
      <c r="E2987" t="s">
        <v>11</v>
      </c>
      <c r="F2987" s="10">
        <v>2.36</v>
      </c>
    </row>
    <row r="2988" spans="1:6">
      <c r="A2988" t="s">
        <v>85</v>
      </c>
      <c r="B2988" s="13" t="s">
        <v>1157</v>
      </c>
      <c r="C2988" s="3" t="s">
        <v>1158</v>
      </c>
      <c r="D2988" s="7">
        <v>4874</v>
      </c>
      <c r="E2988" t="s">
        <v>12</v>
      </c>
      <c r="F2988" s="10">
        <v>1.1000000000000001</v>
      </c>
    </row>
    <row r="2989" spans="1:6">
      <c r="A2989" t="s">
        <v>85</v>
      </c>
      <c r="B2989" s="13" t="s">
        <v>1157</v>
      </c>
      <c r="C2989" s="3" t="s">
        <v>1159</v>
      </c>
      <c r="D2989" s="7">
        <v>4879</v>
      </c>
      <c r="E2989" t="s">
        <v>12</v>
      </c>
      <c r="F2989" s="10">
        <v>1.1200000000000001</v>
      </c>
    </row>
    <row r="2990" spans="1:6">
      <c r="A2990" t="s">
        <v>85</v>
      </c>
      <c r="B2990" s="13" t="s">
        <v>1157</v>
      </c>
      <c r="C2990" s="3" t="s">
        <v>1160</v>
      </c>
      <c r="D2990" s="7">
        <v>4884</v>
      </c>
      <c r="E2990" t="s">
        <v>12</v>
      </c>
      <c r="F2990" s="10">
        <v>0.86</v>
      </c>
    </row>
    <row r="2991" spans="1:6">
      <c r="A2991" t="s">
        <v>85</v>
      </c>
      <c r="B2991" s="13" t="s">
        <v>1157</v>
      </c>
      <c r="C2991" s="3" t="s">
        <v>1161</v>
      </c>
      <c r="D2991" s="7">
        <v>4889</v>
      </c>
      <c r="E2991" t="s">
        <v>12</v>
      </c>
      <c r="F2991" s="10">
        <v>1.03</v>
      </c>
    </row>
    <row r="2992" spans="1:6">
      <c r="A2992" t="s">
        <v>85</v>
      </c>
      <c r="B2992" t="s">
        <v>1163</v>
      </c>
      <c r="C2992" s="1" t="s">
        <v>1164</v>
      </c>
      <c r="D2992" s="7">
        <v>2160</v>
      </c>
      <c r="E2992" t="s">
        <v>9</v>
      </c>
      <c r="F2992" s="9">
        <v>0.91200000000000003</v>
      </c>
    </row>
    <row r="2993" spans="1:6">
      <c r="A2993" t="s">
        <v>85</v>
      </c>
      <c r="B2993" t="s">
        <v>1163</v>
      </c>
      <c r="C2993" s="1" t="s">
        <v>1165</v>
      </c>
      <c r="D2993" s="7">
        <v>2166</v>
      </c>
      <c r="E2993" t="s">
        <v>9</v>
      </c>
      <c r="F2993" s="9">
        <v>0.92400000000000004</v>
      </c>
    </row>
    <row r="2994" spans="1:6">
      <c r="A2994" t="s">
        <v>85</v>
      </c>
      <c r="B2994" t="s">
        <v>1163</v>
      </c>
      <c r="C2994" s="1" t="s">
        <v>1164</v>
      </c>
      <c r="D2994" s="7">
        <v>2161</v>
      </c>
      <c r="E2994" t="s">
        <v>10</v>
      </c>
      <c r="F2994" s="9">
        <v>0.52700000000000002</v>
      </c>
    </row>
    <row r="2995" spans="1:6">
      <c r="A2995" t="s">
        <v>85</v>
      </c>
      <c r="B2995" t="s">
        <v>1163</v>
      </c>
      <c r="C2995" s="1" t="s">
        <v>1165</v>
      </c>
      <c r="D2995" s="7">
        <v>2167</v>
      </c>
      <c r="E2995" t="s">
        <v>10</v>
      </c>
      <c r="F2995" s="9">
        <v>0.46</v>
      </c>
    </row>
    <row r="2996" spans="1:6">
      <c r="A2996" t="s">
        <v>85</v>
      </c>
      <c r="B2996" t="s">
        <v>1163</v>
      </c>
      <c r="C2996" s="1" t="s">
        <v>1164</v>
      </c>
      <c r="D2996" s="7">
        <v>2159</v>
      </c>
      <c r="E2996" t="s">
        <v>11</v>
      </c>
      <c r="F2996" s="1">
        <v>3.0390000000000001</v>
      </c>
    </row>
    <row r="2997" spans="1:6">
      <c r="A2997" t="s">
        <v>85</v>
      </c>
      <c r="B2997" t="s">
        <v>1163</v>
      </c>
      <c r="C2997" s="1" t="s">
        <v>1165</v>
      </c>
      <c r="D2997" s="7">
        <v>2165</v>
      </c>
      <c r="E2997" t="s">
        <v>11</v>
      </c>
      <c r="F2997" s="1">
        <v>2.8239999999999998</v>
      </c>
    </row>
    <row r="2998" spans="1:6">
      <c r="A2998" t="s">
        <v>85</v>
      </c>
      <c r="B2998" s="2" t="s">
        <v>1163</v>
      </c>
      <c r="C2998" s="3" t="s">
        <v>1166</v>
      </c>
      <c r="D2998" s="7">
        <v>4938</v>
      </c>
      <c r="E2998" t="s">
        <v>12</v>
      </c>
      <c r="F2998" s="10">
        <v>1</v>
      </c>
    </row>
    <row r="2999" spans="1:6">
      <c r="A2999" t="s">
        <v>85</v>
      </c>
      <c r="B2999" s="2" t="s">
        <v>1163</v>
      </c>
      <c r="C2999" s="3" t="s">
        <v>1167</v>
      </c>
      <c r="D2999" s="7">
        <v>4937</v>
      </c>
      <c r="E2999" t="s">
        <v>12</v>
      </c>
      <c r="F2999" s="10">
        <v>1.2</v>
      </c>
    </row>
    <row r="3000" spans="1:6">
      <c r="A3000" t="s">
        <v>85</v>
      </c>
      <c r="B3000" t="s">
        <v>1168</v>
      </c>
      <c r="C3000" s="1" t="s">
        <v>1169</v>
      </c>
      <c r="D3000" s="7">
        <v>1700</v>
      </c>
      <c r="E3000" t="s">
        <v>9</v>
      </c>
      <c r="F3000" s="9">
        <v>0.99399999999999999</v>
      </c>
    </row>
    <row r="3001" spans="1:6">
      <c r="A3001" t="s">
        <v>85</v>
      </c>
      <c r="B3001" t="s">
        <v>1168</v>
      </c>
      <c r="C3001" s="1" t="s">
        <v>1169</v>
      </c>
      <c r="D3001" s="7">
        <v>1701</v>
      </c>
      <c r="E3001" t="s">
        <v>10</v>
      </c>
      <c r="F3001" s="1">
        <v>1.3340000000000001</v>
      </c>
    </row>
    <row r="3002" spans="1:6">
      <c r="A3002" t="s">
        <v>85</v>
      </c>
      <c r="B3002" t="s">
        <v>1168</v>
      </c>
      <c r="C3002" s="1" t="s">
        <v>1169</v>
      </c>
      <c r="D3002" s="7">
        <v>1699</v>
      </c>
      <c r="E3002" t="s">
        <v>11</v>
      </c>
      <c r="F3002" s="1">
        <v>3.2010000000000001</v>
      </c>
    </row>
    <row r="3003" spans="1:6">
      <c r="A3003" t="s">
        <v>85</v>
      </c>
      <c r="B3003" t="s">
        <v>1168</v>
      </c>
      <c r="C3003" s="3" t="s">
        <v>1170</v>
      </c>
      <c r="D3003" s="7">
        <v>5141</v>
      </c>
      <c r="E3003" t="s">
        <v>12</v>
      </c>
      <c r="F3003" s="10">
        <v>1.02</v>
      </c>
    </row>
    <row r="3004" spans="1:6">
      <c r="A3004" t="s">
        <v>85</v>
      </c>
      <c r="B3004" t="s">
        <v>1171</v>
      </c>
      <c r="C3004" s="1" t="s">
        <v>1172</v>
      </c>
      <c r="D3004" s="7">
        <v>1046</v>
      </c>
      <c r="E3004" t="s">
        <v>9</v>
      </c>
      <c r="F3004" s="9">
        <v>1.1599999999999999</v>
      </c>
    </row>
    <row r="3005" spans="1:6">
      <c r="A3005" t="s">
        <v>85</v>
      </c>
      <c r="B3005" t="s">
        <v>1171</v>
      </c>
      <c r="C3005" s="1" t="s">
        <v>1173</v>
      </c>
      <c r="D3005" s="7">
        <v>1052</v>
      </c>
      <c r="E3005" t="s">
        <v>9</v>
      </c>
      <c r="F3005" s="1">
        <v>1.1970000000000001</v>
      </c>
    </row>
    <row r="3006" spans="1:6">
      <c r="A3006" t="s">
        <v>85</v>
      </c>
      <c r="B3006" t="s">
        <v>1171</v>
      </c>
      <c r="C3006" s="1" t="s">
        <v>1174</v>
      </c>
      <c r="D3006" s="7">
        <v>1280</v>
      </c>
      <c r="E3006" t="s">
        <v>9</v>
      </c>
      <c r="F3006" s="1">
        <v>1.212</v>
      </c>
    </row>
    <row r="3007" spans="1:6">
      <c r="A3007" t="s">
        <v>85</v>
      </c>
      <c r="B3007" t="s">
        <v>1171</v>
      </c>
      <c r="C3007" s="1" t="s">
        <v>1175</v>
      </c>
      <c r="D3007" s="7">
        <v>1286</v>
      </c>
      <c r="E3007" t="s">
        <v>9</v>
      </c>
      <c r="F3007" s="1">
        <v>1.137</v>
      </c>
    </row>
    <row r="3008" spans="1:6">
      <c r="A3008" t="s">
        <v>85</v>
      </c>
      <c r="B3008" t="s">
        <v>1171</v>
      </c>
      <c r="C3008" s="1" t="s">
        <v>1176</v>
      </c>
      <c r="D3008" s="7">
        <v>1292</v>
      </c>
      <c r="E3008" t="s">
        <v>9</v>
      </c>
      <c r="F3008" s="1">
        <v>1.1950000000000001</v>
      </c>
    </row>
    <row r="3009" spans="1:6">
      <c r="A3009" t="s">
        <v>85</v>
      </c>
      <c r="B3009" t="s">
        <v>1171</v>
      </c>
      <c r="C3009" s="1" t="s">
        <v>1177</v>
      </c>
      <c r="D3009" s="7">
        <v>1298</v>
      </c>
      <c r="E3009" t="s">
        <v>9</v>
      </c>
      <c r="F3009" s="1">
        <v>1.1839999999999999</v>
      </c>
    </row>
    <row r="3010" spans="1:6">
      <c r="A3010" t="s">
        <v>85</v>
      </c>
      <c r="B3010" t="s">
        <v>1171</v>
      </c>
      <c r="C3010" s="1" t="s">
        <v>1178</v>
      </c>
      <c r="D3010" s="7">
        <v>1304</v>
      </c>
      <c r="E3010" t="s">
        <v>9</v>
      </c>
      <c r="F3010" s="1">
        <v>1.222</v>
      </c>
    </row>
    <row r="3011" spans="1:6">
      <c r="A3011" t="s">
        <v>85</v>
      </c>
      <c r="B3011" t="s">
        <v>1171</v>
      </c>
      <c r="C3011" s="1" t="s">
        <v>1179</v>
      </c>
      <c r="D3011" s="7">
        <v>1310</v>
      </c>
      <c r="E3011" t="s">
        <v>9</v>
      </c>
      <c r="F3011" s="1">
        <v>1.2010000000000001</v>
      </c>
    </row>
    <row r="3012" spans="1:6">
      <c r="A3012" t="s">
        <v>85</v>
      </c>
      <c r="B3012" t="s">
        <v>1171</v>
      </c>
      <c r="C3012" s="1" t="s">
        <v>1180</v>
      </c>
      <c r="D3012" s="7">
        <v>1316</v>
      </c>
      <c r="E3012" t="s">
        <v>9</v>
      </c>
      <c r="F3012" s="1">
        <v>1.1719999999999999</v>
      </c>
    </row>
    <row r="3013" spans="1:6">
      <c r="A3013" t="s">
        <v>85</v>
      </c>
      <c r="B3013" t="s">
        <v>1171</v>
      </c>
      <c r="C3013" s="1" t="s">
        <v>1181</v>
      </c>
      <c r="D3013" s="7">
        <v>1322</v>
      </c>
      <c r="E3013" t="s">
        <v>9</v>
      </c>
      <c r="F3013" s="1">
        <v>1.2170000000000001</v>
      </c>
    </row>
    <row r="3014" spans="1:6">
      <c r="A3014" t="s">
        <v>85</v>
      </c>
      <c r="B3014" t="s">
        <v>1171</v>
      </c>
      <c r="C3014" s="1" t="s">
        <v>1172</v>
      </c>
      <c r="D3014" s="7">
        <v>1047</v>
      </c>
      <c r="E3014" t="s">
        <v>10</v>
      </c>
      <c r="F3014" s="1">
        <v>1.7430000000000001</v>
      </c>
    </row>
    <row r="3015" spans="1:6">
      <c r="A3015" t="s">
        <v>85</v>
      </c>
      <c r="B3015" t="s">
        <v>1171</v>
      </c>
      <c r="C3015" s="1" t="s">
        <v>1173</v>
      </c>
      <c r="D3015" s="7">
        <v>1053</v>
      </c>
      <c r="E3015" t="s">
        <v>10</v>
      </c>
      <c r="F3015" s="1">
        <v>1.714</v>
      </c>
    </row>
    <row r="3016" spans="1:6">
      <c r="A3016" t="s">
        <v>85</v>
      </c>
      <c r="B3016" t="s">
        <v>1171</v>
      </c>
      <c r="C3016" s="1" t="s">
        <v>1174</v>
      </c>
      <c r="D3016" s="7">
        <v>1281</v>
      </c>
      <c r="E3016" t="s">
        <v>10</v>
      </c>
      <c r="F3016" s="1">
        <v>1.6479999999999999</v>
      </c>
    </row>
    <row r="3017" spans="1:6">
      <c r="A3017" t="s">
        <v>85</v>
      </c>
      <c r="B3017" t="s">
        <v>1171</v>
      </c>
      <c r="C3017" s="1" t="s">
        <v>1175</v>
      </c>
      <c r="D3017" s="7">
        <v>1287</v>
      </c>
      <c r="E3017" t="s">
        <v>10</v>
      </c>
      <c r="F3017" s="1">
        <v>1.6879999999999999</v>
      </c>
    </row>
    <row r="3018" spans="1:6">
      <c r="A3018" t="s">
        <v>85</v>
      </c>
      <c r="B3018" t="s">
        <v>1171</v>
      </c>
      <c r="C3018" s="1" t="s">
        <v>1176</v>
      </c>
      <c r="D3018" s="7">
        <v>1293</v>
      </c>
      <c r="E3018" t="s">
        <v>10</v>
      </c>
      <c r="F3018" s="1">
        <v>1.839</v>
      </c>
    </row>
    <row r="3019" spans="1:6">
      <c r="A3019" t="s">
        <v>85</v>
      </c>
      <c r="B3019" t="s">
        <v>1171</v>
      </c>
      <c r="C3019" s="1" t="s">
        <v>1177</v>
      </c>
      <c r="D3019" s="7">
        <v>1299</v>
      </c>
      <c r="E3019" t="s">
        <v>10</v>
      </c>
      <c r="F3019" s="1">
        <v>1.907</v>
      </c>
    </row>
    <row r="3020" spans="1:6">
      <c r="A3020" t="s">
        <v>85</v>
      </c>
      <c r="B3020" t="s">
        <v>1171</v>
      </c>
      <c r="C3020" s="1" t="s">
        <v>1178</v>
      </c>
      <c r="D3020" s="7">
        <v>1305</v>
      </c>
      <c r="E3020" t="s">
        <v>10</v>
      </c>
      <c r="F3020" s="1">
        <v>1.698</v>
      </c>
    </row>
    <row r="3021" spans="1:6">
      <c r="A3021" t="s">
        <v>85</v>
      </c>
      <c r="B3021" t="s">
        <v>1171</v>
      </c>
      <c r="C3021" s="1" t="s">
        <v>1179</v>
      </c>
      <c r="D3021" s="7">
        <v>1311</v>
      </c>
      <c r="E3021" t="s">
        <v>10</v>
      </c>
      <c r="F3021" s="1">
        <v>1.6319999999999999</v>
      </c>
    </row>
    <row r="3022" spans="1:6">
      <c r="A3022" t="s">
        <v>85</v>
      </c>
      <c r="B3022" t="s">
        <v>1171</v>
      </c>
      <c r="C3022" s="1" t="s">
        <v>1180</v>
      </c>
      <c r="D3022" s="7">
        <v>1317</v>
      </c>
      <c r="E3022" t="s">
        <v>10</v>
      </c>
      <c r="F3022" s="1">
        <v>1.5569999999999999</v>
      </c>
    </row>
    <row r="3023" spans="1:6">
      <c r="A3023" t="s">
        <v>85</v>
      </c>
      <c r="B3023" t="s">
        <v>1171</v>
      </c>
      <c r="C3023" s="1" t="s">
        <v>1181</v>
      </c>
      <c r="D3023" s="7">
        <v>1323</v>
      </c>
      <c r="E3023" t="s">
        <v>10</v>
      </c>
      <c r="F3023" s="1">
        <v>1.6459999999999999</v>
      </c>
    </row>
    <row r="3024" spans="1:6">
      <c r="A3024" t="s">
        <v>85</v>
      </c>
      <c r="B3024" t="s">
        <v>1171</v>
      </c>
      <c r="C3024" s="1" t="s">
        <v>1172</v>
      </c>
      <c r="D3024" s="7">
        <v>1045</v>
      </c>
      <c r="E3024" t="s">
        <v>11</v>
      </c>
      <c r="F3024" s="1">
        <v>3.4750000000000001</v>
      </c>
    </row>
    <row r="3025" spans="1:6">
      <c r="A3025" t="s">
        <v>85</v>
      </c>
      <c r="B3025" t="s">
        <v>1171</v>
      </c>
      <c r="C3025" s="1" t="s">
        <v>1173</v>
      </c>
      <c r="D3025" s="7">
        <v>1051</v>
      </c>
      <c r="E3025" t="s">
        <v>11</v>
      </c>
      <c r="F3025" s="1">
        <v>3.782</v>
      </c>
    </row>
    <row r="3026" spans="1:6">
      <c r="A3026" t="s">
        <v>85</v>
      </c>
      <c r="B3026" t="s">
        <v>1171</v>
      </c>
      <c r="C3026" s="1" t="s">
        <v>1174</v>
      </c>
      <c r="D3026" s="7">
        <v>1279</v>
      </c>
      <c r="E3026" t="s">
        <v>11</v>
      </c>
      <c r="F3026" s="1">
        <v>3.9729999999999999</v>
      </c>
    </row>
    <row r="3027" spans="1:6">
      <c r="A3027" t="s">
        <v>85</v>
      </c>
      <c r="B3027" t="s">
        <v>1171</v>
      </c>
      <c r="C3027" s="1" t="s">
        <v>1175</v>
      </c>
      <c r="D3027" s="7">
        <v>1285</v>
      </c>
      <c r="E3027" t="s">
        <v>11</v>
      </c>
      <c r="F3027" s="1">
        <v>3.9209999999999998</v>
      </c>
    </row>
    <row r="3028" spans="1:6">
      <c r="A3028" t="s">
        <v>85</v>
      </c>
      <c r="B3028" t="s">
        <v>1171</v>
      </c>
      <c r="C3028" s="1" t="s">
        <v>1176</v>
      </c>
      <c r="D3028" s="7">
        <v>1291</v>
      </c>
      <c r="E3028" t="s">
        <v>11</v>
      </c>
      <c r="F3028" s="1">
        <v>3.9740000000000002</v>
      </c>
    </row>
    <row r="3029" spans="1:6">
      <c r="A3029" t="s">
        <v>85</v>
      </c>
      <c r="B3029" t="s">
        <v>1171</v>
      </c>
      <c r="C3029" s="1" t="s">
        <v>1177</v>
      </c>
      <c r="D3029" s="7">
        <v>1297</v>
      </c>
      <c r="E3029" t="s">
        <v>11</v>
      </c>
      <c r="F3029" s="1">
        <v>3.8759999999999999</v>
      </c>
    </row>
    <row r="3030" spans="1:6">
      <c r="A3030" t="s">
        <v>85</v>
      </c>
      <c r="B3030" t="s">
        <v>1171</v>
      </c>
      <c r="C3030" s="1" t="s">
        <v>1178</v>
      </c>
      <c r="D3030" s="7">
        <v>1303</v>
      </c>
      <c r="E3030" t="s">
        <v>11</v>
      </c>
      <c r="F3030" s="1">
        <v>3.9529999999999998</v>
      </c>
    </row>
    <row r="3031" spans="1:6">
      <c r="A3031" t="s">
        <v>85</v>
      </c>
      <c r="B3031" t="s">
        <v>1171</v>
      </c>
      <c r="C3031" s="1" t="s">
        <v>1179</v>
      </c>
      <c r="D3031" s="7">
        <v>1309</v>
      </c>
      <c r="E3031" t="s">
        <v>11</v>
      </c>
      <c r="F3031" s="1">
        <v>3.7970000000000002</v>
      </c>
    </row>
    <row r="3032" spans="1:6">
      <c r="A3032" t="s">
        <v>85</v>
      </c>
      <c r="B3032" t="s">
        <v>1171</v>
      </c>
      <c r="C3032" s="1" t="s">
        <v>1180</v>
      </c>
      <c r="D3032" s="7">
        <v>1315</v>
      </c>
      <c r="E3032" t="s">
        <v>11</v>
      </c>
      <c r="F3032" s="1">
        <v>3.496</v>
      </c>
    </row>
    <row r="3033" spans="1:6">
      <c r="A3033" t="s">
        <v>85</v>
      </c>
      <c r="B3033" t="s">
        <v>1171</v>
      </c>
      <c r="C3033" s="1" t="s">
        <v>1181</v>
      </c>
      <c r="D3033" s="7">
        <v>1321</v>
      </c>
      <c r="E3033" t="s">
        <v>11</v>
      </c>
      <c r="F3033" s="1">
        <v>3.875</v>
      </c>
    </row>
    <row r="3034" spans="1:6">
      <c r="A3034" t="s">
        <v>85</v>
      </c>
      <c r="B3034" s="6" t="s">
        <v>1171</v>
      </c>
      <c r="C3034" s="3" t="s">
        <v>1182</v>
      </c>
      <c r="D3034" s="7">
        <v>5148</v>
      </c>
      <c r="E3034" t="s">
        <v>12</v>
      </c>
      <c r="F3034" s="10">
        <v>1.2</v>
      </c>
    </row>
    <row r="3035" spans="1:6">
      <c r="A3035" t="s">
        <v>85</v>
      </c>
      <c r="B3035" s="6" t="s">
        <v>1171</v>
      </c>
      <c r="C3035" s="3" t="s">
        <v>1183</v>
      </c>
      <c r="D3035" s="7">
        <v>5149</v>
      </c>
      <c r="E3035" t="s">
        <v>12</v>
      </c>
      <c r="F3035" s="10">
        <v>1.35</v>
      </c>
    </row>
    <row r="3036" spans="1:6">
      <c r="A3036" t="s">
        <v>85</v>
      </c>
      <c r="B3036" s="6" t="s">
        <v>1171</v>
      </c>
      <c r="C3036" s="3" t="s">
        <v>1184</v>
      </c>
      <c r="D3036" s="7">
        <v>5150</v>
      </c>
      <c r="E3036" t="s">
        <v>12</v>
      </c>
      <c r="F3036" s="10">
        <v>1.25</v>
      </c>
    </row>
    <row r="3037" spans="1:6">
      <c r="A3037" t="s">
        <v>85</v>
      </c>
      <c r="B3037" t="s">
        <v>1185</v>
      </c>
      <c r="C3037" s="1" t="s">
        <v>1186</v>
      </c>
      <c r="D3037" s="7">
        <v>679</v>
      </c>
      <c r="E3037" t="s">
        <v>9</v>
      </c>
      <c r="F3037" s="1">
        <v>1.1439999999999999</v>
      </c>
    </row>
    <row r="3038" spans="1:6">
      <c r="A3038" t="s">
        <v>85</v>
      </c>
      <c r="B3038" t="s">
        <v>1185</v>
      </c>
      <c r="C3038" s="1" t="s">
        <v>1187</v>
      </c>
      <c r="D3038" s="7">
        <v>685</v>
      </c>
      <c r="E3038" t="s">
        <v>9</v>
      </c>
      <c r="F3038" s="1">
        <v>1.167</v>
      </c>
    </row>
    <row r="3039" spans="1:6">
      <c r="A3039" t="s">
        <v>85</v>
      </c>
      <c r="B3039" t="s">
        <v>1185</v>
      </c>
      <c r="C3039" s="1" t="s">
        <v>1188</v>
      </c>
      <c r="D3039" s="7">
        <v>691</v>
      </c>
      <c r="E3039" t="s">
        <v>9</v>
      </c>
      <c r="F3039" s="1">
        <v>1.2210000000000001</v>
      </c>
    </row>
    <row r="3040" spans="1:6">
      <c r="A3040" t="s">
        <v>85</v>
      </c>
      <c r="B3040" t="s">
        <v>1185</v>
      </c>
      <c r="C3040" s="1" t="s">
        <v>1189</v>
      </c>
      <c r="D3040" s="7">
        <v>697</v>
      </c>
      <c r="E3040" t="s">
        <v>9</v>
      </c>
      <c r="F3040" s="1">
        <v>1.1479999999999999</v>
      </c>
    </row>
    <row r="3041" spans="1:6">
      <c r="A3041" t="s">
        <v>85</v>
      </c>
      <c r="B3041" t="s">
        <v>1185</v>
      </c>
      <c r="C3041" s="1" t="s">
        <v>1190</v>
      </c>
      <c r="D3041" s="7">
        <v>703</v>
      </c>
      <c r="E3041" t="s">
        <v>9</v>
      </c>
      <c r="F3041" s="1">
        <v>1.177</v>
      </c>
    </row>
    <row r="3042" spans="1:6">
      <c r="A3042" t="s">
        <v>85</v>
      </c>
      <c r="B3042" t="s">
        <v>1185</v>
      </c>
      <c r="C3042" s="1" t="s">
        <v>1191</v>
      </c>
      <c r="D3042" s="7">
        <v>709</v>
      </c>
      <c r="E3042" t="s">
        <v>9</v>
      </c>
      <c r="F3042" s="1">
        <v>1.133</v>
      </c>
    </row>
    <row r="3043" spans="1:6">
      <c r="A3043" t="s">
        <v>85</v>
      </c>
      <c r="B3043" t="s">
        <v>1185</v>
      </c>
      <c r="C3043" s="1" t="s">
        <v>1192</v>
      </c>
      <c r="D3043" s="7">
        <v>715</v>
      </c>
      <c r="E3043" t="s">
        <v>9</v>
      </c>
      <c r="F3043" s="1">
        <v>1.2050000000000001</v>
      </c>
    </row>
    <row r="3044" spans="1:6">
      <c r="A3044" t="s">
        <v>85</v>
      </c>
      <c r="B3044" t="s">
        <v>1185</v>
      </c>
      <c r="C3044" s="1" t="s">
        <v>1193</v>
      </c>
      <c r="D3044" s="7">
        <v>721</v>
      </c>
      <c r="E3044" t="s">
        <v>9</v>
      </c>
      <c r="F3044" s="1">
        <v>1.137</v>
      </c>
    </row>
    <row r="3045" spans="1:6">
      <c r="A3045" t="s">
        <v>85</v>
      </c>
      <c r="B3045" t="s">
        <v>1185</v>
      </c>
      <c r="C3045" s="1" t="s">
        <v>1194</v>
      </c>
      <c r="D3045" s="7">
        <v>727</v>
      </c>
      <c r="E3045" t="s">
        <v>9</v>
      </c>
      <c r="F3045" s="1">
        <v>1.129</v>
      </c>
    </row>
    <row r="3046" spans="1:6">
      <c r="A3046" t="s">
        <v>85</v>
      </c>
      <c r="B3046" t="s">
        <v>1185</v>
      </c>
      <c r="C3046" s="1" t="s">
        <v>1195</v>
      </c>
      <c r="D3046" s="7">
        <v>733</v>
      </c>
      <c r="E3046" t="s">
        <v>9</v>
      </c>
      <c r="F3046" s="1">
        <v>1.083</v>
      </c>
    </row>
    <row r="3047" spans="1:6">
      <c r="A3047" t="s">
        <v>85</v>
      </c>
      <c r="B3047" t="s">
        <v>1185</v>
      </c>
      <c r="C3047" s="1" t="s">
        <v>1196</v>
      </c>
      <c r="D3047" s="7">
        <v>1658</v>
      </c>
      <c r="E3047" t="s">
        <v>9</v>
      </c>
      <c r="F3047" s="1">
        <v>1.117</v>
      </c>
    </row>
    <row r="3048" spans="1:6">
      <c r="A3048" t="s">
        <v>85</v>
      </c>
      <c r="B3048" t="s">
        <v>1185</v>
      </c>
      <c r="C3048" s="1" t="s">
        <v>1197</v>
      </c>
      <c r="D3048" s="7">
        <v>1706</v>
      </c>
      <c r="E3048" t="s">
        <v>9</v>
      </c>
      <c r="F3048" s="1">
        <v>1.222</v>
      </c>
    </row>
    <row r="3049" spans="1:6">
      <c r="A3049" t="s">
        <v>85</v>
      </c>
      <c r="B3049" t="s">
        <v>1185</v>
      </c>
      <c r="C3049" s="1" t="s">
        <v>1198</v>
      </c>
      <c r="D3049" s="7">
        <v>1712</v>
      </c>
      <c r="E3049" t="s">
        <v>9</v>
      </c>
      <c r="F3049" s="1">
        <v>1.1950000000000001</v>
      </c>
    </row>
    <row r="3050" spans="1:6">
      <c r="A3050" t="s">
        <v>85</v>
      </c>
      <c r="B3050" t="s">
        <v>1185</v>
      </c>
      <c r="C3050" s="1" t="s">
        <v>1199</v>
      </c>
      <c r="D3050" s="7">
        <v>1808</v>
      </c>
      <c r="E3050" t="s">
        <v>9</v>
      </c>
      <c r="F3050" s="1">
        <v>1.1419999999999999</v>
      </c>
    </row>
    <row r="3051" spans="1:6">
      <c r="A3051" t="s">
        <v>85</v>
      </c>
      <c r="B3051" t="s">
        <v>1185</v>
      </c>
      <c r="C3051" s="1" t="s">
        <v>1200</v>
      </c>
      <c r="D3051" s="7">
        <v>1814</v>
      </c>
      <c r="E3051" t="s">
        <v>9</v>
      </c>
      <c r="F3051" s="1">
        <v>1.141</v>
      </c>
    </row>
    <row r="3052" spans="1:6">
      <c r="A3052" t="s">
        <v>85</v>
      </c>
      <c r="B3052" t="s">
        <v>1185</v>
      </c>
      <c r="C3052" s="1" t="s">
        <v>1201</v>
      </c>
      <c r="D3052" s="7">
        <v>1832</v>
      </c>
      <c r="E3052" t="s">
        <v>9</v>
      </c>
      <c r="F3052" s="1">
        <v>1.1240000000000001</v>
      </c>
    </row>
    <row r="3053" spans="1:6">
      <c r="A3053" t="s">
        <v>85</v>
      </c>
      <c r="B3053" t="s">
        <v>1185</v>
      </c>
      <c r="C3053" s="1" t="s">
        <v>1202</v>
      </c>
      <c r="D3053" s="7">
        <v>2172</v>
      </c>
      <c r="E3053" t="s">
        <v>9</v>
      </c>
      <c r="F3053" s="1">
        <v>1.1379999999999999</v>
      </c>
    </row>
    <row r="3054" spans="1:6">
      <c r="A3054" t="s">
        <v>85</v>
      </c>
      <c r="B3054" t="s">
        <v>1185</v>
      </c>
      <c r="C3054" s="1" t="s">
        <v>1203</v>
      </c>
      <c r="D3054" s="7">
        <v>2178</v>
      </c>
      <c r="E3054" t="s">
        <v>9</v>
      </c>
      <c r="F3054" s="1">
        <v>1.1020000000000001</v>
      </c>
    </row>
    <row r="3055" spans="1:6">
      <c r="A3055" t="s">
        <v>85</v>
      </c>
      <c r="B3055" t="s">
        <v>1185</v>
      </c>
      <c r="C3055" s="1" t="s">
        <v>1204</v>
      </c>
      <c r="D3055" s="7">
        <v>2184</v>
      </c>
      <c r="E3055" t="s">
        <v>9</v>
      </c>
      <c r="F3055" s="1">
        <v>1.1990000000000001</v>
      </c>
    </row>
    <row r="3056" spans="1:6">
      <c r="A3056" t="s">
        <v>85</v>
      </c>
      <c r="B3056" t="s">
        <v>1185</v>
      </c>
      <c r="C3056" s="1" t="s">
        <v>1205</v>
      </c>
      <c r="D3056" s="7">
        <v>2190</v>
      </c>
      <c r="E3056" t="s">
        <v>9</v>
      </c>
      <c r="F3056" s="1">
        <v>1.1950000000000001</v>
      </c>
    </row>
    <row r="3057" spans="1:6">
      <c r="A3057" t="s">
        <v>85</v>
      </c>
      <c r="B3057" t="s">
        <v>1185</v>
      </c>
      <c r="C3057" s="1" t="s">
        <v>1206</v>
      </c>
      <c r="D3057" s="7">
        <v>2196</v>
      </c>
      <c r="E3057" t="s">
        <v>9</v>
      </c>
      <c r="F3057" s="9">
        <v>1.1599999999999999</v>
      </c>
    </row>
    <row r="3058" spans="1:6">
      <c r="A3058" t="s">
        <v>85</v>
      </c>
      <c r="B3058" t="s">
        <v>1185</v>
      </c>
      <c r="C3058" s="1" t="s">
        <v>1207</v>
      </c>
      <c r="D3058" s="7">
        <v>2202</v>
      </c>
      <c r="E3058" t="s">
        <v>9</v>
      </c>
      <c r="F3058" s="1">
        <v>1.121</v>
      </c>
    </row>
    <row r="3059" spans="1:6">
      <c r="A3059" t="s">
        <v>85</v>
      </c>
      <c r="B3059" t="s">
        <v>1185</v>
      </c>
      <c r="C3059" s="1" t="s">
        <v>1208</v>
      </c>
      <c r="D3059" s="7">
        <v>2226</v>
      </c>
      <c r="E3059" t="s">
        <v>9</v>
      </c>
      <c r="F3059" s="1">
        <v>1.089</v>
      </c>
    </row>
    <row r="3060" spans="1:6">
      <c r="A3060" t="s">
        <v>85</v>
      </c>
      <c r="B3060" t="s">
        <v>1185</v>
      </c>
      <c r="C3060" s="1" t="s">
        <v>1209</v>
      </c>
      <c r="D3060" s="7">
        <v>2232</v>
      </c>
      <c r="E3060" t="s">
        <v>9</v>
      </c>
      <c r="F3060" s="1">
        <v>1.1579999999999999</v>
      </c>
    </row>
    <row r="3061" spans="1:6">
      <c r="A3061" t="s">
        <v>85</v>
      </c>
      <c r="B3061" t="s">
        <v>1185</v>
      </c>
      <c r="C3061" s="1" t="s">
        <v>1210</v>
      </c>
      <c r="D3061" s="7">
        <v>2238</v>
      </c>
      <c r="E3061" t="s">
        <v>9</v>
      </c>
      <c r="F3061" s="1">
        <v>1.0720000000000001</v>
      </c>
    </row>
    <row r="3062" spans="1:6">
      <c r="A3062" t="s">
        <v>85</v>
      </c>
      <c r="B3062" t="s">
        <v>1185</v>
      </c>
      <c r="C3062" s="1" t="s">
        <v>1211</v>
      </c>
      <c r="D3062" s="7">
        <v>2244</v>
      </c>
      <c r="E3062" t="s">
        <v>9</v>
      </c>
      <c r="F3062" s="1">
        <v>1.109</v>
      </c>
    </row>
    <row r="3063" spans="1:6">
      <c r="A3063" t="s">
        <v>85</v>
      </c>
      <c r="B3063" t="s">
        <v>1185</v>
      </c>
      <c r="C3063" s="1" t="s">
        <v>1212</v>
      </c>
      <c r="D3063" s="7">
        <v>2250</v>
      </c>
      <c r="E3063" t="s">
        <v>9</v>
      </c>
      <c r="F3063" s="1">
        <v>1.121</v>
      </c>
    </row>
    <row r="3064" spans="1:6">
      <c r="A3064" t="s">
        <v>85</v>
      </c>
      <c r="B3064" t="s">
        <v>1185</v>
      </c>
      <c r="C3064" s="1" t="s">
        <v>1213</v>
      </c>
      <c r="D3064" s="7">
        <v>2256</v>
      </c>
      <c r="E3064" t="s">
        <v>9</v>
      </c>
      <c r="F3064" s="1">
        <v>1.143</v>
      </c>
    </row>
    <row r="3065" spans="1:6">
      <c r="A3065" t="s">
        <v>85</v>
      </c>
      <c r="B3065" t="s">
        <v>1185</v>
      </c>
      <c r="C3065" s="1" t="s">
        <v>1214</v>
      </c>
      <c r="D3065" s="7">
        <v>2262</v>
      </c>
      <c r="E3065" t="s">
        <v>9</v>
      </c>
      <c r="F3065" s="1">
        <v>1.077</v>
      </c>
    </row>
    <row r="3066" spans="1:6">
      <c r="A3066" t="s">
        <v>85</v>
      </c>
      <c r="B3066" t="s">
        <v>1185</v>
      </c>
      <c r="C3066" s="1" t="s">
        <v>1215</v>
      </c>
      <c r="D3066" s="7">
        <v>2268</v>
      </c>
      <c r="E3066" t="s">
        <v>9</v>
      </c>
      <c r="F3066" s="1">
        <v>1.133</v>
      </c>
    </row>
    <row r="3067" spans="1:6">
      <c r="A3067" t="s">
        <v>85</v>
      </c>
      <c r="B3067" t="s">
        <v>1185</v>
      </c>
      <c r="C3067" s="1" t="s">
        <v>1216</v>
      </c>
      <c r="D3067" s="7">
        <v>2274</v>
      </c>
      <c r="E3067" t="s">
        <v>9</v>
      </c>
      <c r="F3067" s="1">
        <v>1.121</v>
      </c>
    </row>
    <row r="3068" spans="1:6">
      <c r="A3068" t="s">
        <v>85</v>
      </c>
      <c r="B3068" t="s">
        <v>1185</v>
      </c>
      <c r="C3068" s="1" t="s">
        <v>1186</v>
      </c>
      <c r="D3068" s="7">
        <v>680</v>
      </c>
      <c r="E3068" t="s">
        <v>10</v>
      </c>
      <c r="F3068" s="1">
        <v>1.627</v>
      </c>
    </row>
    <row r="3069" spans="1:6">
      <c r="A3069" t="s">
        <v>85</v>
      </c>
      <c r="B3069" t="s">
        <v>1185</v>
      </c>
      <c r="C3069" s="1" t="s">
        <v>1187</v>
      </c>
      <c r="D3069" s="7">
        <v>686</v>
      </c>
      <c r="E3069" t="s">
        <v>10</v>
      </c>
      <c r="F3069" s="1">
        <v>1.694</v>
      </c>
    </row>
    <row r="3070" spans="1:6">
      <c r="A3070" t="s">
        <v>85</v>
      </c>
      <c r="B3070" t="s">
        <v>1185</v>
      </c>
      <c r="C3070" s="1" t="s">
        <v>1188</v>
      </c>
      <c r="D3070" s="7">
        <v>692</v>
      </c>
      <c r="E3070" t="s">
        <v>10</v>
      </c>
      <c r="F3070" s="1">
        <v>1.641</v>
      </c>
    </row>
    <row r="3071" spans="1:6">
      <c r="A3071" t="s">
        <v>85</v>
      </c>
      <c r="B3071" t="s">
        <v>1185</v>
      </c>
      <c r="C3071" s="1" t="s">
        <v>1189</v>
      </c>
      <c r="D3071" s="7">
        <v>698</v>
      </c>
      <c r="E3071" t="s">
        <v>10</v>
      </c>
      <c r="F3071" s="1">
        <v>1.6379999999999999</v>
      </c>
    </row>
    <row r="3072" spans="1:6">
      <c r="A3072" t="s">
        <v>85</v>
      </c>
      <c r="B3072" t="s">
        <v>1185</v>
      </c>
      <c r="C3072" s="1" t="s">
        <v>1190</v>
      </c>
      <c r="D3072" s="7">
        <v>704</v>
      </c>
      <c r="E3072" t="s">
        <v>10</v>
      </c>
      <c r="F3072" s="9">
        <v>1.61</v>
      </c>
    </row>
    <row r="3073" spans="1:6">
      <c r="A3073" t="s">
        <v>85</v>
      </c>
      <c r="B3073" t="s">
        <v>1185</v>
      </c>
      <c r="C3073" s="1" t="s">
        <v>1191</v>
      </c>
      <c r="D3073" s="7">
        <v>710</v>
      </c>
      <c r="E3073" t="s">
        <v>10</v>
      </c>
      <c r="F3073" s="9">
        <v>1.55</v>
      </c>
    </row>
    <row r="3074" spans="1:6">
      <c r="A3074" t="s">
        <v>85</v>
      </c>
      <c r="B3074" t="s">
        <v>1185</v>
      </c>
      <c r="C3074" s="1" t="s">
        <v>1192</v>
      </c>
      <c r="D3074" s="7">
        <v>716</v>
      </c>
      <c r="E3074" t="s">
        <v>10</v>
      </c>
      <c r="F3074" s="9">
        <v>1.62</v>
      </c>
    </row>
    <row r="3075" spans="1:6">
      <c r="A3075" t="s">
        <v>85</v>
      </c>
      <c r="B3075" t="s">
        <v>1185</v>
      </c>
      <c r="C3075" s="1" t="s">
        <v>1193</v>
      </c>
      <c r="D3075" s="7">
        <v>722</v>
      </c>
      <c r="E3075" t="s">
        <v>10</v>
      </c>
      <c r="F3075" s="1">
        <v>1.601</v>
      </c>
    </row>
    <row r="3076" spans="1:6">
      <c r="A3076" t="s">
        <v>85</v>
      </c>
      <c r="B3076" t="s">
        <v>1185</v>
      </c>
      <c r="C3076" s="1" t="s">
        <v>1194</v>
      </c>
      <c r="D3076" s="7">
        <v>728</v>
      </c>
      <c r="E3076" t="s">
        <v>10</v>
      </c>
      <c r="F3076" s="1">
        <v>1.5920000000000001</v>
      </c>
    </row>
    <row r="3077" spans="1:6">
      <c r="A3077" t="s">
        <v>85</v>
      </c>
      <c r="B3077" t="s">
        <v>1185</v>
      </c>
      <c r="C3077" s="1" t="s">
        <v>1195</v>
      </c>
      <c r="D3077" s="7">
        <v>734</v>
      </c>
      <c r="E3077" t="s">
        <v>10</v>
      </c>
      <c r="F3077" s="1">
        <v>1.603</v>
      </c>
    </row>
    <row r="3078" spans="1:6">
      <c r="A3078" t="s">
        <v>85</v>
      </c>
      <c r="B3078" t="s">
        <v>1185</v>
      </c>
      <c r="C3078" s="1" t="s">
        <v>1196</v>
      </c>
      <c r="D3078" s="7">
        <v>1659</v>
      </c>
      <c r="E3078" t="s">
        <v>10</v>
      </c>
      <c r="F3078" s="1">
        <v>1.8169999999999999</v>
      </c>
    </row>
    <row r="3079" spans="1:6">
      <c r="A3079" t="s">
        <v>85</v>
      </c>
      <c r="B3079" t="s">
        <v>1185</v>
      </c>
      <c r="C3079" s="1" t="s">
        <v>1197</v>
      </c>
      <c r="D3079" s="7">
        <v>1707</v>
      </c>
      <c r="E3079" t="s">
        <v>10</v>
      </c>
      <c r="F3079" s="1">
        <v>1.335</v>
      </c>
    </row>
    <row r="3080" spans="1:6">
      <c r="A3080" t="s">
        <v>85</v>
      </c>
      <c r="B3080" t="s">
        <v>1185</v>
      </c>
      <c r="C3080" s="1" t="s">
        <v>1198</v>
      </c>
      <c r="D3080" s="7">
        <v>1713</v>
      </c>
      <c r="E3080" t="s">
        <v>10</v>
      </c>
      <c r="F3080" s="1">
        <v>1.4079999999999999</v>
      </c>
    </row>
    <row r="3081" spans="1:6">
      <c r="A3081" t="s">
        <v>85</v>
      </c>
      <c r="B3081" t="s">
        <v>1185</v>
      </c>
      <c r="C3081" s="1" t="s">
        <v>1199</v>
      </c>
      <c r="D3081" s="7">
        <v>1809</v>
      </c>
      <c r="E3081" t="s">
        <v>10</v>
      </c>
      <c r="F3081" s="1">
        <v>1.4930000000000001</v>
      </c>
    </row>
    <row r="3082" spans="1:6">
      <c r="A3082" t="s">
        <v>85</v>
      </c>
      <c r="B3082" t="s">
        <v>1185</v>
      </c>
      <c r="C3082" s="1" t="s">
        <v>1200</v>
      </c>
      <c r="D3082" s="7">
        <v>1815</v>
      </c>
      <c r="E3082" t="s">
        <v>10</v>
      </c>
      <c r="F3082" s="1">
        <v>1.4890000000000001</v>
      </c>
    </row>
    <row r="3083" spans="1:6">
      <c r="A3083" t="s">
        <v>85</v>
      </c>
      <c r="B3083" t="s">
        <v>1185</v>
      </c>
      <c r="C3083" s="1" t="s">
        <v>1201</v>
      </c>
      <c r="D3083" s="7">
        <v>1833</v>
      </c>
      <c r="E3083" t="s">
        <v>10</v>
      </c>
      <c r="F3083" s="1">
        <v>1.673</v>
      </c>
    </row>
    <row r="3084" spans="1:6">
      <c r="A3084" t="s">
        <v>85</v>
      </c>
      <c r="B3084" t="s">
        <v>1185</v>
      </c>
      <c r="C3084" s="1" t="s">
        <v>1202</v>
      </c>
      <c r="D3084" s="7">
        <v>2173</v>
      </c>
      <c r="E3084" t="s">
        <v>10</v>
      </c>
      <c r="F3084" s="9">
        <v>0.59</v>
      </c>
    </row>
    <row r="3085" spans="1:6">
      <c r="A3085" t="s">
        <v>85</v>
      </c>
      <c r="B3085" t="s">
        <v>1185</v>
      </c>
      <c r="C3085" s="1" t="s">
        <v>1203</v>
      </c>
      <c r="D3085" s="7">
        <v>2179</v>
      </c>
      <c r="E3085" t="s">
        <v>10</v>
      </c>
      <c r="F3085" s="9">
        <v>0.622</v>
      </c>
    </row>
    <row r="3086" spans="1:6">
      <c r="A3086" t="s">
        <v>85</v>
      </c>
      <c r="B3086" t="s">
        <v>1185</v>
      </c>
      <c r="C3086" s="1" t="s">
        <v>1204</v>
      </c>
      <c r="D3086" s="7">
        <v>2185</v>
      </c>
      <c r="E3086" t="s">
        <v>10</v>
      </c>
      <c r="F3086" s="9">
        <v>0.57499999999999996</v>
      </c>
    </row>
    <row r="3087" spans="1:6">
      <c r="A3087" t="s">
        <v>85</v>
      </c>
      <c r="B3087" t="s">
        <v>1185</v>
      </c>
      <c r="C3087" s="1" t="s">
        <v>1205</v>
      </c>
      <c r="D3087" s="7">
        <v>2191</v>
      </c>
      <c r="E3087" t="s">
        <v>10</v>
      </c>
      <c r="F3087" s="9">
        <v>0.629</v>
      </c>
    </row>
    <row r="3088" spans="1:6">
      <c r="A3088" t="s">
        <v>85</v>
      </c>
      <c r="B3088" t="s">
        <v>1185</v>
      </c>
      <c r="C3088" s="1" t="s">
        <v>1206</v>
      </c>
      <c r="D3088" s="7">
        <v>2197</v>
      </c>
      <c r="E3088" t="s">
        <v>10</v>
      </c>
      <c r="F3088" s="9">
        <v>0.61</v>
      </c>
    </row>
    <row r="3089" spans="1:6">
      <c r="A3089" t="s">
        <v>85</v>
      </c>
      <c r="B3089" t="s">
        <v>1185</v>
      </c>
      <c r="C3089" s="3" t="s">
        <v>1083</v>
      </c>
      <c r="D3089" s="7">
        <v>4741</v>
      </c>
      <c r="E3089" t="s">
        <v>10</v>
      </c>
      <c r="F3089" s="10">
        <f>1.02+2.58</f>
        <v>3.6</v>
      </c>
    </row>
    <row r="3090" spans="1:6">
      <c r="A3090" t="s">
        <v>85</v>
      </c>
      <c r="B3090" t="s">
        <v>1185</v>
      </c>
      <c r="C3090" s="1" t="s">
        <v>1207</v>
      </c>
      <c r="D3090" s="7">
        <v>2203</v>
      </c>
      <c r="E3090" t="s">
        <v>10</v>
      </c>
      <c r="F3090" s="9">
        <v>0.56899999999999995</v>
      </c>
    </row>
    <row r="3091" spans="1:6">
      <c r="A3091" t="s">
        <v>85</v>
      </c>
      <c r="B3091" t="s">
        <v>1185</v>
      </c>
      <c r="C3091" s="1" t="s">
        <v>1208</v>
      </c>
      <c r="D3091" s="7">
        <v>2227</v>
      </c>
      <c r="E3091" t="s">
        <v>10</v>
      </c>
      <c r="F3091" s="1">
        <v>1.5629999999999999</v>
      </c>
    </row>
    <row r="3092" spans="1:6">
      <c r="A3092" t="s">
        <v>85</v>
      </c>
      <c r="B3092" t="s">
        <v>1185</v>
      </c>
      <c r="C3092" s="1" t="s">
        <v>1209</v>
      </c>
      <c r="D3092" s="7">
        <v>2233</v>
      </c>
      <c r="E3092" t="s">
        <v>10</v>
      </c>
      <c r="F3092" s="1">
        <v>1.5980000000000001</v>
      </c>
    </row>
    <row r="3093" spans="1:6">
      <c r="A3093" t="s">
        <v>85</v>
      </c>
      <c r="B3093" t="s">
        <v>1185</v>
      </c>
      <c r="C3093" s="1" t="s">
        <v>1210</v>
      </c>
      <c r="D3093" s="7">
        <v>2239</v>
      </c>
      <c r="E3093" t="s">
        <v>10</v>
      </c>
      <c r="F3093" s="1">
        <v>1.597</v>
      </c>
    </row>
    <row r="3094" spans="1:6">
      <c r="A3094" t="s">
        <v>85</v>
      </c>
      <c r="B3094" t="s">
        <v>1185</v>
      </c>
      <c r="C3094" s="1" t="s">
        <v>1211</v>
      </c>
      <c r="D3094" s="7">
        <v>2245</v>
      </c>
      <c r="E3094" t="s">
        <v>10</v>
      </c>
      <c r="F3094" s="1">
        <v>1.518</v>
      </c>
    </row>
    <row r="3095" spans="1:6">
      <c r="A3095" t="s">
        <v>85</v>
      </c>
      <c r="B3095" t="s">
        <v>1185</v>
      </c>
      <c r="C3095" s="1" t="s">
        <v>1212</v>
      </c>
      <c r="D3095" s="7">
        <v>2251</v>
      </c>
      <c r="E3095" t="s">
        <v>10</v>
      </c>
      <c r="F3095" s="1">
        <v>1.514</v>
      </c>
    </row>
    <row r="3096" spans="1:6">
      <c r="A3096" t="s">
        <v>85</v>
      </c>
      <c r="B3096" t="s">
        <v>1185</v>
      </c>
      <c r="C3096" s="1" t="s">
        <v>1213</v>
      </c>
      <c r="D3096" s="7">
        <v>2257</v>
      </c>
      <c r="E3096" t="s">
        <v>10</v>
      </c>
      <c r="F3096" s="1">
        <v>1.577</v>
      </c>
    </row>
    <row r="3097" spans="1:6">
      <c r="A3097" t="s">
        <v>85</v>
      </c>
      <c r="B3097" t="s">
        <v>1185</v>
      </c>
      <c r="C3097" s="1" t="s">
        <v>1214</v>
      </c>
      <c r="D3097" s="7">
        <v>2263</v>
      </c>
      <c r="E3097" t="s">
        <v>10</v>
      </c>
      <c r="F3097" s="1">
        <v>1.5549999999999999</v>
      </c>
    </row>
    <row r="3098" spans="1:6">
      <c r="A3098" t="s">
        <v>85</v>
      </c>
      <c r="B3098" t="s">
        <v>1185</v>
      </c>
      <c r="C3098" s="1" t="s">
        <v>1215</v>
      </c>
      <c r="D3098" s="7">
        <v>2269</v>
      </c>
      <c r="E3098" t="s">
        <v>10</v>
      </c>
      <c r="F3098" s="1">
        <v>1.524</v>
      </c>
    </row>
    <row r="3099" spans="1:6">
      <c r="A3099" t="s">
        <v>85</v>
      </c>
      <c r="B3099" t="s">
        <v>1185</v>
      </c>
      <c r="C3099" s="1" t="s">
        <v>1216</v>
      </c>
      <c r="D3099" s="7">
        <v>2275</v>
      </c>
      <c r="E3099" t="s">
        <v>10</v>
      </c>
      <c r="F3099" s="1">
        <v>1.5469999999999999</v>
      </c>
    </row>
    <row r="3100" spans="1:6">
      <c r="A3100" t="s">
        <v>85</v>
      </c>
      <c r="B3100" t="s">
        <v>1185</v>
      </c>
      <c r="C3100" s="1" t="s">
        <v>1186</v>
      </c>
      <c r="D3100" s="7">
        <v>678</v>
      </c>
      <c r="E3100" t="s">
        <v>11</v>
      </c>
      <c r="F3100" s="1">
        <v>3.7530000000000001</v>
      </c>
    </row>
    <row r="3101" spans="1:6">
      <c r="A3101" t="s">
        <v>85</v>
      </c>
      <c r="B3101" t="s">
        <v>1185</v>
      </c>
      <c r="C3101" s="1" t="s">
        <v>1187</v>
      </c>
      <c r="D3101" s="7">
        <v>684</v>
      </c>
      <c r="E3101" t="s">
        <v>11</v>
      </c>
      <c r="F3101" s="1">
        <v>3.6459999999999999</v>
      </c>
    </row>
    <row r="3102" spans="1:6">
      <c r="A3102" t="s">
        <v>85</v>
      </c>
      <c r="B3102" t="s">
        <v>1185</v>
      </c>
      <c r="C3102" s="1" t="s">
        <v>1188</v>
      </c>
      <c r="D3102" s="7">
        <v>690</v>
      </c>
      <c r="E3102" t="s">
        <v>11</v>
      </c>
      <c r="F3102" s="1">
        <v>3.5859999999999999</v>
      </c>
    </row>
    <row r="3103" spans="1:6">
      <c r="A3103" t="s">
        <v>85</v>
      </c>
      <c r="B3103" t="s">
        <v>1185</v>
      </c>
      <c r="C3103" s="1" t="s">
        <v>1189</v>
      </c>
      <c r="D3103" s="7">
        <v>696</v>
      </c>
      <c r="E3103" t="s">
        <v>11</v>
      </c>
      <c r="F3103" s="1">
        <v>3.754</v>
      </c>
    </row>
    <row r="3104" spans="1:6">
      <c r="A3104" t="s">
        <v>85</v>
      </c>
      <c r="B3104" t="s">
        <v>1185</v>
      </c>
      <c r="C3104" s="1" t="s">
        <v>1190</v>
      </c>
      <c r="D3104" s="7">
        <v>702</v>
      </c>
      <c r="E3104" t="s">
        <v>11</v>
      </c>
      <c r="F3104" s="1">
        <v>3.7469999999999999</v>
      </c>
    </row>
    <row r="3105" spans="1:6">
      <c r="A3105" t="s">
        <v>85</v>
      </c>
      <c r="B3105" t="s">
        <v>1185</v>
      </c>
      <c r="C3105" s="1" t="s">
        <v>1191</v>
      </c>
      <c r="D3105" s="7">
        <v>708</v>
      </c>
      <c r="E3105" t="s">
        <v>11</v>
      </c>
      <c r="F3105" s="1">
        <v>3.4319999999999999</v>
      </c>
    </row>
    <row r="3106" spans="1:6">
      <c r="A3106" t="s">
        <v>85</v>
      </c>
      <c r="B3106" t="s">
        <v>1185</v>
      </c>
      <c r="C3106" s="1" t="s">
        <v>1192</v>
      </c>
      <c r="D3106" s="7">
        <v>714</v>
      </c>
      <c r="E3106" t="s">
        <v>11</v>
      </c>
      <c r="F3106" s="1">
        <v>3.6019999999999999</v>
      </c>
    </row>
    <row r="3107" spans="1:6">
      <c r="A3107" t="s">
        <v>85</v>
      </c>
      <c r="B3107" t="s">
        <v>1185</v>
      </c>
      <c r="C3107" s="1" t="s">
        <v>1193</v>
      </c>
      <c r="D3107" s="7">
        <v>720</v>
      </c>
      <c r="E3107" t="s">
        <v>11</v>
      </c>
      <c r="F3107" s="1">
        <v>3.5419999999999998</v>
      </c>
    </row>
    <row r="3108" spans="1:6">
      <c r="A3108" t="s">
        <v>85</v>
      </c>
      <c r="B3108" t="s">
        <v>1185</v>
      </c>
      <c r="C3108" s="1" t="s">
        <v>1194</v>
      </c>
      <c r="D3108" s="7">
        <v>726</v>
      </c>
      <c r="E3108" t="s">
        <v>11</v>
      </c>
      <c r="F3108" s="1">
        <v>3.4460000000000002</v>
      </c>
    </row>
    <row r="3109" spans="1:6">
      <c r="A3109" t="s">
        <v>85</v>
      </c>
      <c r="B3109" t="s">
        <v>1185</v>
      </c>
      <c r="C3109" s="1" t="s">
        <v>1195</v>
      </c>
      <c r="D3109" s="7">
        <v>732</v>
      </c>
      <c r="E3109" t="s">
        <v>11</v>
      </c>
      <c r="F3109" s="1">
        <v>3.6320000000000001</v>
      </c>
    </row>
    <row r="3110" spans="1:6">
      <c r="A3110" t="s">
        <v>85</v>
      </c>
      <c r="B3110" t="s">
        <v>1185</v>
      </c>
      <c r="C3110" s="1" t="s">
        <v>1196</v>
      </c>
      <c r="D3110" s="7">
        <v>1657</v>
      </c>
      <c r="E3110" t="s">
        <v>11</v>
      </c>
      <c r="F3110" s="9">
        <v>4.05</v>
      </c>
    </row>
    <row r="3111" spans="1:6">
      <c r="A3111" t="s">
        <v>85</v>
      </c>
      <c r="B3111" t="s">
        <v>1185</v>
      </c>
      <c r="C3111" s="1" t="s">
        <v>1197</v>
      </c>
      <c r="D3111" s="7">
        <v>1705</v>
      </c>
      <c r="E3111" t="s">
        <v>11</v>
      </c>
      <c r="F3111" s="9">
        <v>4.22</v>
      </c>
    </row>
    <row r="3112" spans="1:6">
      <c r="A3112" t="s">
        <v>85</v>
      </c>
      <c r="B3112" t="s">
        <v>1185</v>
      </c>
      <c r="C3112" s="1" t="s">
        <v>1198</v>
      </c>
      <c r="D3112" s="7">
        <v>1711</v>
      </c>
      <c r="E3112" t="s">
        <v>11</v>
      </c>
      <c r="F3112" s="1">
        <v>4.008</v>
      </c>
    </row>
    <row r="3113" spans="1:6">
      <c r="A3113" t="s">
        <v>85</v>
      </c>
      <c r="B3113" t="s">
        <v>1185</v>
      </c>
      <c r="C3113" s="1" t="s">
        <v>1199</v>
      </c>
      <c r="D3113" s="7">
        <v>1807</v>
      </c>
      <c r="E3113" t="s">
        <v>11</v>
      </c>
      <c r="F3113" s="1">
        <v>3.972</v>
      </c>
    </row>
    <row r="3114" spans="1:6">
      <c r="A3114" t="s">
        <v>85</v>
      </c>
      <c r="B3114" t="s">
        <v>1185</v>
      </c>
      <c r="C3114" s="1" t="s">
        <v>1200</v>
      </c>
      <c r="D3114" s="7">
        <v>1813</v>
      </c>
      <c r="E3114" t="s">
        <v>11</v>
      </c>
      <c r="F3114" s="1">
        <v>3.7429999999999999</v>
      </c>
    </row>
    <row r="3115" spans="1:6">
      <c r="A3115" t="s">
        <v>85</v>
      </c>
      <c r="B3115" t="s">
        <v>1185</v>
      </c>
      <c r="C3115" s="1" t="s">
        <v>1201</v>
      </c>
      <c r="D3115" s="7">
        <v>1831</v>
      </c>
      <c r="E3115" t="s">
        <v>11</v>
      </c>
      <c r="F3115" s="1">
        <v>3.6459999999999999</v>
      </c>
    </row>
    <row r="3116" spans="1:6">
      <c r="A3116" t="s">
        <v>85</v>
      </c>
      <c r="B3116" t="s">
        <v>1185</v>
      </c>
      <c r="C3116" s="1" t="s">
        <v>1202</v>
      </c>
      <c r="D3116" s="7">
        <v>2171</v>
      </c>
      <c r="E3116" t="s">
        <v>11</v>
      </c>
      <c r="F3116" s="1">
        <v>4.1470000000000002</v>
      </c>
    </row>
    <row r="3117" spans="1:6">
      <c r="A3117" t="s">
        <v>85</v>
      </c>
      <c r="B3117" t="s">
        <v>1185</v>
      </c>
      <c r="C3117" s="1" t="s">
        <v>1203</v>
      </c>
      <c r="D3117" s="7">
        <v>2177</v>
      </c>
      <c r="E3117" t="s">
        <v>11</v>
      </c>
      <c r="F3117" s="1">
        <v>4.2140000000000004</v>
      </c>
    </row>
    <row r="3118" spans="1:6">
      <c r="A3118" t="s">
        <v>85</v>
      </c>
      <c r="B3118" t="s">
        <v>1185</v>
      </c>
      <c r="C3118" s="1" t="s">
        <v>1204</v>
      </c>
      <c r="D3118" s="7">
        <v>2183</v>
      </c>
      <c r="E3118" t="s">
        <v>11</v>
      </c>
      <c r="F3118" s="9">
        <v>4.21</v>
      </c>
    </row>
    <row r="3119" spans="1:6">
      <c r="A3119" t="s">
        <v>85</v>
      </c>
      <c r="B3119" t="s">
        <v>1185</v>
      </c>
      <c r="C3119" s="1" t="s">
        <v>1205</v>
      </c>
      <c r="D3119" s="7">
        <v>2189</v>
      </c>
      <c r="E3119" t="s">
        <v>11</v>
      </c>
      <c r="F3119" s="9">
        <v>4.26</v>
      </c>
    </row>
    <row r="3120" spans="1:6">
      <c r="A3120" t="s">
        <v>85</v>
      </c>
      <c r="B3120" t="s">
        <v>1185</v>
      </c>
      <c r="C3120" s="1" t="s">
        <v>1206</v>
      </c>
      <c r="D3120" s="7">
        <v>2195</v>
      </c>
      <c r="E3120" t="s">
        <v>11</v>
      </c>
      <c r="F3120" s="1">
        <v>4.1340000000000003</v>
      </c>
    </row>
    <row r="3121" spans="1:6">
      <c r="A3121" t="s">
        <v>85</v>
      </c>
      <c r="B3121" t="s">
        <v>1185</v>
      </c>
      <c r="C3121" s="3" t="s">
        <v>1083</v>
      </c>
      <c r="D3121" s="7">
        <v>4738</v>
      </c>
      <c r="E3121" t="s">
        <v>11</v>
      </c>
      <c r="F3121" s="10">
        <v>6.76</v>
      </c>
    </row>
    <row r="3122" spans="1:6">
      <c r="A3122" t="s">
        <v>85</v>
      </c>
      <c r="B3122" t="s">
        <v>1185</v>
      </c>
      <c r="C3122" s="1" t="s">
        <v>1207</v>
      </c>
      <c r="D3122" s="7">
        <v>2201</v>
      </c>
      <c r="E3122" t="s">
        <v>11</v>
      </c>
      <c r="F3122" s="1">
        <v>4.0229999999999997</v>
      </c>
    </row>
    <row r="3123" spans="1:6">
      <c r="A3123" t="s">
        <v>85</v>
      </c>
      <c r="B3123" t="s">
        <v>1185</v>
      </c>
      <c r="C3123" s="1" t="s">
        <v>1208</v>
      </c>
      <c r="D3123" s="7">
        <v>2225</v>
      </c>
      <c r="E3123" t="s">
        <v>11</v>
      </c>
      <c r="F3123" s="1">
        <v>3.8919999999999999</v>
      </c>
    </row>
    <row r="3124" spans="1:6">
      <c r="A3124" t="s">
        <v>85</v>
      </c>
      <c r="B3124" t="s">
        <v>1185</v>
      </c>
      <c r="C3124" s="1" t="s">
        <v>1209</v>
      </c>
      <c r="D3124" s="7">
        <v>2231</v>
      </c>
      <c r="E3124" t="s">
        <v>11</v>
      </c>
      <c r="F3124" s="1">
        <v>4.2809999999999997</v>
      </c>
    </row>
    <row r="3125" spans="1:6">
      <c r="A3125" t="s">
        <v>85</v>
      </c>
      <c r="B3125" t="s">
        <v>1185</v>
      </c>
      <c r="C3125" s="1" t="s">
        <v>1210</v>
      </c>
      <c r="D3125" s="7">
        <v>2237</v>
      </c>
      <c r="E3125" t="s">
        <v>11</v>
      </c>
      <c r="F3125" s="1">
        <v>3.9340000000000002</v>
      </c>
    </row>
    <row r="3126" spans="1:6">
      <c r="A3126" t="s">
        <v>85</v>
      </c>
      <c r="B3126" t="s">
        <v>1185</v>
      </c>
      <c r="C3126" s="1" t="s">
        <v>1211</v>
      </c>
      <c r="D3126" s="7">
        <v>2243</v>
      </c>
      <c r="E3126" t="s">
        <v>11</v>
      </c>
      <c r="F3126" s="1">
        <v>3.9420000000000002</v>
      </c>
    </row>
    <row r="3127" spans="1:6">
      <c r="A3127" t="s">
        <v>85</v>
      </c>
      <c r="B3127" t="s">
        <v>1185</v>
      </c>
      <c r="C3127" s="1" t="s">
        <v>1212</v>
      </c>
      <c r="D3127" s="7">
        <v>2249</v>
      </c>
      <c r="E3127" t="s">
        <v>11</v>
      </c>
      <c r="F3127" s="1">
        <v>4.0039999999999996</v>
      </c>
    </row>
    <row r="3128" spans="1:6">
      <c r="A3128" t="s">
        <v>85</v>
      </c>
      <c r="B3128" t="s">
        <v>1185</v>
      </c>
      <c r="C3128" s="1" t="s">
        <v>1213</v>
      </c>
      <c r="D3128" s="7">
        <v>2255</v>
      </c>
      <c r="E3128" t="s">
        <v>11</v>
      </c>
      <c r="F3128" s="1">
        <v>4.0419999999999998</v>
      </c>
    </row>
    <row r="3129" spans="1:6">
      <c r="A3129" t="s">
        <v>85</v>
      </c>
      <c r="B3129" t="s">
        <v>1185</v>
      </c>
      <c r="C3129" s="1" t="s">
        <v>1214</v>
      </c>
      <c r="D3129" s="7">
        <v>2261</v>
      </c>
      <c r="E3129" t="s">
        <v>11</v>
      </c>
      <c r="F3129" s="9">
        <v>3.88</v>
      </c>
    </row>
    <row r="3130" spans="1:6">
      <c r="A3130" t="s">
        <v>85</v>
      </c>
      <c r="B3130" t="s">
        <v>1185</v>
      </c>
      <c r="C3130" s="1" t="s">
        <v>1215</v>
      </c>
      <c r="D3130" s="7">
        <v>2267</v>
      </c>
      <c r="E3130" t="s">
        <v>11</v>
      </c>
      <c r="F3130" s="1">
        <v>3.9329999999999998</v>
      </c>
    </row>
    <row r="3131" spans="1:6">
      <c r="A3131" t="s">
        <v>85</v>
      </c>
      <c r="B3131" t="s">
        <v>1185</v>
      </c>
      <c r="C3131" s="1" t="s">
        <v>1216</v>
      </c>
      <c r="D3131" s="7">
        <v>2273</v>
      </c>
      <c r="E3131" t="s">
        <v>11</v>
      </c>
      <c r="F3131" s="1">
        <v>4.1859999999999999</v>
      </c>
    </row>
    <row r="3132" spans="1:6">
      <c r="A3132" t="s">
        <v>85</v>
      </c>
      <c r="B3132" s="6" t="s">
        <v>1185</v>
      </c>
      <c r="C3132" s="3" t="s">
        <v>1217</v>
      </c>
      <c r="D3132" s="7">
        <v>5151</v>
      </c>
      <c r="E3132" t="s">
        <v>12</v>
      </c>
      <c r="F3132" s="10">
        <v>1.4</v>
      </c>
    </row>
    <row r="3133" spans="1:6">
      <c r="A3133" t="s">
        <v>85</v>
      </c>
      <c r="B3133" s="6" t="s">
        <v>1185</v>
      </c>
      <c r="C3133" s="3" t="s">
        <v>1218</v>
      </c>
      <c r="D3133" s="7">
        <v>5145</v>
      </c>
      <c r="E3133" t="s">
        <v>12</v>
      </c>
      <c r="F3133" s="10">
        <v>1.74</v>
      </c>
    </row>
    <row r="3134" spans="1:6">
      <c r="A3134" t="s">
        <v>85</v>
      </c>
      <c r="B3134" s="6" t="s">
        <v>1185</v>
      </c>
      <c r="C3134" s="3" t="s">
        <v>1219</v>
      </c>
      <c r="D3134" s="7">
        <v>5147</v>
      </c>
      <c r="E3134" t="s">
        <v>12</v>
      </c>
      <c r="F3134" s="10">
        <v>1.52</v>
      </c>
    </row>
    <row r="3135" spans="1:6">
      <c r="A3135" t="s">
        <v>85</v>
      </c>
      <c r="B3135" s="6" t="s">
        <v>1185</v>
      </c>
      <c r="C3135" s="3" t="s">
        <v>1220</v>
      </c>
      <c r="D3135" s="7">
        <v>5144</v>
      </c>
      <c r="E3135" t="s">
        <v>12</v>
      </c>
      <c r="F3135" s="10">
        <v>1.74</v>
      </c>
    </row>
    <row r="3136" spans="1:6">
      <c r="A3136" t="s">
        <v>85</v>
      </c>
      <c r="B3136" s="6" t="s">
        <v>1185</v>
      </c>
      <c r="C3136" s="3" t="s">
        <v>1221</v>
      </c>
      <c r="D3136" s="7">
        <v>5143</v>
      </c>
      <c r="E3136" t="s">
        <v>12</v>
      </c>
      <c r="F3136" s="10">
        <v>1.6</v>
      </c>
    </row>
    <row r="3137" spans="1:6">
      <c r="A3137" t="s">
        <v>85</v>
      </c>
      <c r="B3137" t="s">
        <v>1185</v>
      </c>
      <c r="C3137" s="3" t="s">
        <v>1222</v>
      </c>
      <c r="D3137" s="7">
        <v>5146</v>
      </c>
      <c r="E3137" t="s">
        <v>12</v>
      </c>
      <c r="F3137" s="10">
        <v>1.52</v>
      </c>
    </row>
    <row r="3138" spans="1:6">
      <c r="A3138" t="s">
        <v>85</v>
      </c>
      <c r="B3138" t="s">
        <v>1185</v>
      </c>
      <c r="C3138" s="3" t="s">
        <v>1083</v>
      </c>
      <c r="D3138" s="7">
        <v>4739</v>
      </c>
      <c r="E3138" t="s">
        <v>12</v>
      </c>
      <c r="F3138" s="10">
        <v>2.12</v>
      </c>
    </row>
    <row r="3139" spans="1:6">
      <c r="A3139" t="s">
        <v>1223</v>
      </c>
      <c r="B3139" s="2" t="s">
        <v>1224</v>
      </c>
      <c r="C3139" s="3" t="s">
        <v>1225</v>
      </c>
      <c r="D3139" s="7">
        <v>4575</v>
      </c>
      <c r="E3139" t="s">
        <v>9</v>
      </c>
      <c r="F3139" s="10">
        <v>5.81</v>
      </c>
    </row>
    <row r="3140" spans="1:6">
      <c r="A3140" t="s">
        <v>1223</v>
      </c>
      <c r="B3140" s="2" t="s">
        <v>1224</v>
      </c>
      <c r="C3140" s="3" t="s">
        <v>1226</v>
      </c>
      <c r="D3140" s="7">
        <v>4580</v>
      </c>
      <c r="E3140" t="s">
        <v>9</v>
      </c>
      <c r="F3140" s="10">
        <v>4.95</v>
      </c>
    </row>
    <row r="3141" spans="1:6">
      <c r="A3141" t="s">
        <v>1223</v>
      </c>
      <c r="B3141" s="2" t="s">
        <v>1224</v>
      </c>
      <c r="C3141" s="3" t="s">
        <v>1225</v>
      </c>
      <c r="D3141" s="7">
        <v>4576</v>
      </c>
      <c r="E3141" t="s">
        <v>10</v>
      </c>
      <c r="F3141" s="10">
        <v>4.57</v>
      </c>
    </row>
    <row r="3142" spans="1:6">
      <c r="A3142" t="s">
        <v>1223</v>
      </c>
      <c r="B3142" s="2" t="s">
        <v>1224</v>
      </c>
      <c r="C3142" s="3" t="s">
        <v>1226</v>
      </c>
      <c r="D3142" s="7">
        <v>4581</v>
      </c>
      <c r="E3142" t="s">
        <v>10</v>
      </c>
      <c r="F3142" s="10">
        <v>4.2300000000000004</v>
      </c>
    </row>
    <row r="3143" spans="1:6">
      <c r="A3143" t="s">
        <v>1223</v>
      </c>
      <c r="B3143" s="2" t="s">
        <v>1224</v>
      </c>
      <c r="C3143" s="3" t="s">
        <v>1225</v>
      </c>
      <c r="D3143" s="7">
        <v>4573</v>
      </c>
      <c r="E3143" t="s">
        <v>11</v>
      </c>
      <c r="F3143" s="10">
        <v>11.66</v>
      </c>
    </row>
    <row r="3144" spans="1:6">
      <c r="A3144" t="s">
        <v>1223</v>
      </c>
      <c r="B3144" s="2" t="s">
        <v>1224</v>
      </c>
      <c r="C3144" s="3" t="s">
        <v>1226</v>
      </c>
      <c r="D3144" s="7">
        <v>4578</v>
      </c>
      <c r="E3144" t="s">
        <v>11</v>
      </c>
      <c r="F3144" s="10">
        <v>11.78</v>
      </c>
    </row>
    <row r="3145" spans="1:6">
      <c r="A3145" t="s">
        <v>1223</v>
      </c>
      <c r="B3145" s="2" t="s">
        <v>1224</v>
      </c>
      <c r="C3145" s="3" t="s">
        <v>1225</v>
      </c>
      <c r="D3145" s="7">
        <v>4574</v>
      </c>
      <c r="E3145" t="s">
        <v>12</v>
      </c>
      <c r="F3145" s="10">
        <v>3.72</v>
      </c>
    </row>
    <row r="3146" spans="1:6">
      <c r="A3146" t="s">
        <v>1223</v>
      </c>
      <c r="B3146" s="2" t="s">
        <v>1224</v>
      </c>
      <c r="C3146" s="3" t="s">
        <v>1226</v>
      </c>
      <c r="D3146" s="7">
        <v>4579</v>
      </c>
      <c r="E3146" t="s">
        <v>12</v>
      </c>
      <c r="F3146" s="10">
        <v>3.76</v>
      </c>
    </row>
    <row r="3147" spans="1:6">
      <c r="A3147" t="s">
        <v>1223</v>
      </c>
      <c r="B3147" s="2" t="s">
        <v>1227</v>
      </c>
      <c r="C3147" s="3" t="s">
        <v>1228</v>
      </c>
      <c r="D3147" s="7">
        <v>4585</v>
      </c>
      <c r="E3147" t="s">
        <v>9</v>
      </c>
      <c r="F3147" s="10">
        <v>5.03</v>
      </c>
    </row>
    <row r="3148" spans="1:6">
      <c r="A3148" t="s">
        <v>1223</v>
      </c>
      <c r="B3148" s="2" t="s">
        <v>1227</v>
      </c>
      <c r="C3148" s="3" t="s">
        <v>1229</v>
      </c>
      <c r="D3148" s="7">
        <v>4635</v>
      </c>
      <c r="E3148" t="s">
        <v>9</v>
      </c>
      <c r="F3148" s="10">
        <v>4.46</v>
      </c>
    </row>
    <row r="3149" spans="1:6">
      <c r="A3149" t="s">
        <v>1223</v>
      </c>
      <c r="B3149" s="2" t="s">
        <v>1227</v>
      </c>
      <c r="C3149" s="3" t="s">
        <v>1230</v>
      </c>
      <c r="D3149" s="7">
        <v>4590</v>
      </c>
      <c r="E3149" t="s">
        <v>9</v>
      </c>
      <c r="F3149" s="10">
        <v>4.46</v>
      </c>
    </row>
    <row r="3150" spans="1:6">
      <c r="A3150" t="s">
        <v>1223</v>
      </c>
      <c r="B3150" s="2" t="s">
        <v>1227</v>
      </c>
      <c r="C3150" s="3" t="s">
        <v>1228</v>
      </c>
      <c r="D3150" s="7">
        <v>4586</v>
      </c>
      <c r="E3150" t="s">
        <v>10</v>
      </c>
      <c r="F3150" s="10">
        <v>4.3899999999999997</v>
      </c>
    </row>
    <row r="3151" spans="1:6">
      <c r="A3151" t="s">
        <v>1223</v>
      </c>
      <c r="B3151" s="2" t="s">
        <v>1227</v>
      </c>
      <c r="C3151" s="3" t="s">
        <v>1229</v>
      </c>
      <c r="D3151" s="7">
        <v>4636</v>
      </c>
      <c r="E3151" t="s">
        <v>10</v>
      </c>
      <c r="F3151" s="10">
        <f>5.3+1.49</f>
        <v>6.79</v>
      </c>
    </row>
    <row r="3152" spans="1:6">
      <c r="A3152" t="s">
        <v>1223</v>
      </c>
      <c r="B3152" s="2" t="s">
        <v>1227</v>
      </c>
      <c r="C3152" s="3" t="s">
        <v>1230</v>
      </c>
      <c r="D3152" s="7">
        <v>4591</v>
      </c>
      <c r="E3152" t="s">
        <v>10</v>
      </c>
      <c r="F3152" s="10">
        <v>4.46</v>
      </c>
    </row>
    <row r="3153" spans="1:6">
      <c r="A3153" t="s">
        <v>1223</v>
      </c>
      <c r="B3153" s="2" t="s">
        <v>1227</v>
      </c>
      <c r="C3153" s="3" t="s">
        <v>1228</v>
      </c>
      <c r="D3153" s="7">
        <v>4583</v>
      </c>
      <c r="E3153" t="s">
        <v>11</v>
      </c>
      <c r="F3153" s="10">
        <v>12.35</v>
      </c>
    </row>
    <row r="3154" spans="1:6">
      <c r="A3154" t="s">
        <v>1223</v>
      </c>
      <c r="B3154" s="2" t="s">
        <v>1227</v>
      </c>
      <c r="C3154" s="3" t="s">
        <v>1229</v>
      </c>
      <c r="D3154" s="7">
        <v>4633</v>
      </c>
      <c r="E3154" t="s">
        <v>11</v>
      </c>
      <c r="F3154" s="10">
        <v>11.96</v>
      </c>
    </row>
    <row r="3155" spans="1:6">
      <c r="A3155" t="s">
        <v>1223</v>
      </c>
      <c r="B3155" s="2" t="s">
        <v>1227</v>
      </c>
      <c r="C3155" s="3" t="s">
        <v>1230</v>
      </c>
      <c r="D3155" s="7">
        <v>4588</v>
      </c>
      <c r="E3155" t="s">
        <v>11</v>
      </c>
      <c r="F3155" s="10">
        <v>11.91</v>
      </c>
    </row>
    <row r="3156" spans="1:6">
      <c r="A3156" t="s">
        <v>1223</v>
      </c>
      <c r="B3156" s="2" t="s">
        <v>1227</v>
      </c>
      <c r="C3156" s="3" t="s">
        <v>1228</v>
      </c>
      <c r="D3156" s="7">
        <v>4584</v>
      </c>
      <c r="E3156" t="s">
        <v>12</v>
      </c>
      <c r="F3156" s="10">
        <v>3.59</v>
      </c>
    </row>
    <row r="3157" spans="1:6">
      <c r="A3157" t="s">
        <v>1223</v>
      </c>
      <c r="B3157" s="2" t="s">
        <v>1227</v>
      </c>
      <c r="C3157" s="3" t="s">
        <v>1229</v>
      </c>
      <c r="D3157" s="7">
        <v>4634</v>
      </c>
      <c r="E3157" t="s">
        <v>12</v>
      </c>
      <c r="F3157" s="10">
        <v>3.36</v>
      </c>
    </row>
    <row r="3158" spans="1:6">
      <c r="A3158" t="s">
        <v>1223</v>
      </c>
      <c r="B3158" s="2" t="s">
        <v>1227</v>
      </c>
      <c r="C3158" s="3" t="s">
        <v>1230</v>
      </c>
      <c r="D3158" s="7">
        <v>4589</v>
      </c>
      <c r="E3158" t="s">
        <v>12</v>
      </c>
      <c r="F3158" s="10">
        <v>3.56</v>
      </c>
    </row>
    <row r="3159" spans="1:6">
      <c r="A3159" t="s">
        <v>1223</v>
      </c>
      <c r="B3159" t="s">
        <v>1231</v>
      </c>
      <c r="C3159" s="1" t="s">
        <v>1232</v>
      </c>
      <c r="D3159" s="7">
        <v>2376</v>
      </c>
      <c r="E3159" t="s">
        <v>9</v>
      </c>
      <c r="F3159" s="1">
        <v>1.738</v>
      </c>
    </row>
    <row r="3160" spans="1:6">
      <c r="A3160" t="s">
        <v>1223</v>
      </c>
      <c r="B3160" t="s">
        <v>1231</v>
      </c>
      <c r="C3160" s="1" t="s">
        <v>1233</v>
      </c>
      <c r="D3160" s="7">
        <v>2382</v>
      </c>
      <c r="E3160" t="s">
        <v>9</v>
      </c>
      <c r="F3160" s="1">
        <v>1.6180000000000001</v>
      </c>
    </row>
    <row r="3161" spans="1:6">
      <c r="A3161" t="s">
        <v>1223</v>
      </c>
      <c r="B3161" t="s">
        <v>1231</v>
      </c>
      <c r="C3161" s="1" t="s">
        <v>1234</v>
      </c>
      <c r="D3161" s="7">
        <v>2388</v>
      </c>
      <c r="E3161" t="s">
        <v>9</v>
      </c>
      <c r="F3161" s="1">
        <v>1.679</v>
      </c>
    </row>
    <row r="3162" spans="1:6">
      <c r="A3162" t="s">
        <v>1223</v>
      </c>
      <c r="B3162" t="s">
        <v>1231</v>
      </c>
      <c r="C3162" s="1" t="s">
        <v>1232</v>
      </c>
      <c r="D3162" s="7">
        <v>2377</v>
      </c>
      <c r="E3162" t="s">
        <v>10</v>
      </c>
      <c r="F3162" s="1">
        <v>2.5609999999999999</v>
      </c>
    </row>
    <row r="3163" spans="1:6">
      <c r="A3163" t="s">
        <v>1223</v>
      </c>
      <c r="B3163" t="s">
        <v>1231</v>
      </c>
      <c r="C3163" s="1" t="s">
        <v>1233</v>
      </c>
      <c r="D3163" s="7">
        <v>2383</v>
      </c>
      <c r="E3163" t="s">
        <v>10</v>
      </c>
      <c r="F3163" s="1">
        <v>2.3490000000000002</v>
      </c>
    </row>
    <row r="3164" spans="1:6">
      <c r="A3164" t="s">
        <v>1223</v>
      </c>
      <c r="B3164" t="s">
        <v>1231</v>
      </c>
      <c r="C3164" s="1" t="s">
        <v>1234</v>
      </c>
      <c r="D3164" s="7">
        <v>2389</v>
      </c>
      <c r="E3164" t="s">
        <v>10</v>
      </c>
      <c r="F3164" s="1">
        <v>2.5449999999999999</v>
      </c>
    </row>
    <row r="3165" spans="1:6">
      <c r="A3165" t="s">
        <v>1223</v>
      </c>
      <c r="B3165" t="s">
        <v>1231</v>
      </c>
      <c r="C3165" s="1" t="s">
        <v>1232</v>
      </c>
      <c r="D3165" s="7">
        <v>2375</v>
      </c>
      <c r="E3165" t="s">
        <v>11</v>
      </c>
      <c r="F3165" s="1">
        <v>9.3879999999999999</v>
      </c>
    </row>
    <row r="3166" spans="1:6">
      <c r="A3166" t="s">
        <v>1223</v>
      </c>
      <c r="B3166" t="s">
        <v>1231</v>
      </c>
      <c r="C3166" s="1" t="s">
        <v>1233</v>
      </c>
      <c r="D3166" s="7">
        <v>2381</v>
      </c>
      <c r="E3166" t="s">
        <v>11</v>
      </c>
      <c r="F3166" s="1">
        <v>9.3870000000000005</v>
      </c>
    </row>
    <row r="3167" spans="1:6">
      <c r="A3167" t="s">
        <v>1223</v>
      </c>
      <c r="B3167" t="s">
        <v>1231</v>
      </c>
      <c r="C3167" s="1" t="s">
        <v>1234</v>
      </c>
      <c r="D3167" s="7">
        <v>2387</v>
      </c>
      <c r="E3167" t="s">
        <v>11</v>
      </c>
      <c r="F3167" s="1">
        <v>9.6590000000000007</v>
      </c>
    </row>
    <row r="3168" spans="1:6">
      <c r="A3168" t="s">
        <v>1223</v>
      </c>
      <c r="B3168" t="s">
        <v>1231</v>
      </c>
      <c r="C3168" s="3" t="s">
        <v>1235</v>
      </c>
      <c r="D3168" s="7">
        <v>4922</v>
      </c>
      <c r="E3168" t="s">
        <v>12</v>
      </c>
      <c r="F3168" s="10">
        <v>3.26</v>
      </c>
    </row>
    <row r="3169" spans="1:6">
      <c r="A3169" t="s">
        <v>1223</v>
      </c>
      <c r="B3169" t="s">
        <v>1231</v>
      </c>
      <c r="C3169" s="3" t="s">
        <v>1236</v>
      </c>
      <c r="D3169" s="7">
        <v>4921</v>
      </c>
      <c r="E3169" t="s">
        <v>12</v>
      </c>
      <c r="F3169" s="10">
        <v>3.54</v>
      </c>
    </row>
    <row r="3170" spans="1:6">
      <c r="A3170" t="s">
        <v>1223</v>
      </c>
      <c r="B3170" t="s">
        <v>1231</v>
      </c>
      <c r="C3170" s="3" t="s">
        <v>1237</v>
      </c>
      <c r="D3170" s="7">
        <v>4923</v>
      </c>
      <c r="E3170" t="s">
        <v>12</v>
      </c>
      <c r="F3170" s="10">
        <v>3.29</v>
      </c>
    </row>
    <row r="3171" spans="1:6">
      <c r="A3171" t="s">
        <v>85</v>
      </c>
      <c r="B3171" t="s">
        <v>1238</v>
      </c>
      <c r="C3171" s="1" t="s">
        <v>1239</v>
      </c>
      <c r="D3171" s="7">
        <v>793</v>
      </c>
      <c r="E3171" t="s">
        <v>9</v>
      </c>
      <c r="F3171" s="1">
        <v>1.8440000000000001</v>
      </c>
    </row>
    <row r="3172" spans="1:6">
      <c r="A3172" t="s">
        <v>85</v>
      </c>
      <c r="B3172" t="s">
        <v>1238</v>
      </c>
      <c r="C3172" s="1" t="s">
        <v>1240</v>
      </c>
      <c r="D3172" s="7">
        <v>1136</v>
      </c>
      <c r="E3172" t="s">
        <v>9</v>
      </c>
      <c r="F3172" s="1">
        <v>1.9259999999999999</v>
      </c>
    </row>
    <row r="3173" spans="1:6">
      <c r="A3173" t="s">
        <v>85</v>
      </c>
      <c r="B3173" t="s">
        <v>1238</v>
      </c>
      <c r="C3173" s="1" t="s">
        <v>1241</v>
      </c>
      <c r="D3173" s="7">
        <v>1586</v>
      </c>
      <c r="E3173" t="s">
        <v>9</v>
      </c>
      <c r="F3173" s="9">
        <v>1.88</v>
      </c>
    </row>
    <row r="3174" spans="1:6">
      <c r="A3174" t="s">
        <v>85</v>
      </c>
      <c r="B3174" t="s">
        <v>1238</v>
      </c>
      <c r="C3174" s="1" t="s">
        <v>1242</v>
      </c>
      <c r="D3174" s="7">
        <v>1592</v>
      </c>
      <c r="E3174" t="s">
        <v>9</v>
      </c>
      <c r="F3174" s="1">
        <v>1.923</v>
      </c>
    </row>
    <row r="3175" spans="1:6">
      <c r="A3175" t="s">
        <v>85</v>
      </c>
      <c r="B3175" t="s">
        <v>1238</v>
      </c>
      <c r="C3175" s="1" t="s">
        <v>1243</v>
      </c>
      <c r="D3175" s="7">
        <v>2502</v>
      </c>
      <c r="E3175" t="s">
        <v>9</v>
      </c>
      <c r="F3175" s="9">
        <v>1.92</v>
      </c>
    </row>
    <row r="3176" spans="1:6">
      <c r="A3176" t="s">
        <v>85</v>
      </c>
      <c r="B3176" t="s">
        <v>1238</v>
      </c>
      <c r="C3176" s="1" t="s">
        <v>1244</v>
      </c>
      <c r="D3176" s="7">
        <v>2508</v>
      </c>
      <c r="E3176" t="s">
        <v>9</v>
      </c>
      <c r="F3176" s="1">
        <v>1.8939999999999999</v>
      </c>
    </row>
    <row r="3177" spans="1:6">
      <c r="A3177" t="s">
        <v>85</v>
      </c>
      <c r="B3177" t="s">
        <v>1238</v>
      </c>
      <c r="C3177" s="1" t="s">
        <v>1245</v>
      </c>
      <c r="D3177" s="7">
        <v>2514</v>
      </c>
      <c r="E3177" t="s">
        <v>9</v>
      </c>
      <c r="F3177" s="1">
        <v>1.923</v>
      </c>
    </row>
    <row r="3178" spans="1:6">
      <c r="A3178" t="s">
        <v>85</v>
      </c>
      <c r="B3178" t="s">
        <v>1238</v>
      </c>
      <c r="C3178" s="1" t="s">
        <v>1246</v>
      </c>
      <c r="D3178" s="7">
        <v>2520</v>
      </c>
      <c r="E3178" t="s">
        <v>9</v>
      </c>
      <c r="F3178" s="1">
        <v>1.857</v>
      </c>
    </row>
    <row r="3179" spans="1:6">
      <c r="A3179" t="s">
        <v>85</v>
      </c>
      <c r="B3179" t="s">
        <v>1238</v>
      </c>
      <c r="C3179" s="1" t="s">
        <v>1247</v>
      </c>
      <c r="D3179" s="7">
        <v>2526</v>
      </c>
      <c r="E3179" t="s">
        <v>9</v>
      </c>
      <c r="F3179" s="1">
        <v>1.8740000000000001</v>
      </c>
    </row>
    <row r="3180" spans="1:6">
      <c r="A3180" t="s">
        <v>85</v>
      </c>
      <c r="B3180" t="s">
        <v>1238</v>
      </c>
      <c r="C3180" s="1" t="s">
        <v>1248</v>
      </c>
      <c r="D3180" s="7">
        <v>2532</v>
      </c>
      <c r="E3180" t="s">
        <v>9</v>
      </c>
      <c r="F3180" s="1">
        <v>1.8859999999999999</v>
      </c>
    </row>
    <row r="3181" spans="1:6">
      <c r="A3181" t="s">
        <v>85</v>
      </c>
      <c r="B3181" t="s">
        <v>1238</v>
      </c>
      <c r="C3181" s="1" t="s">
        <v>1239</v>
      </c>
      <c r="D3181" s="7">
        <v>794</v>
      </c>
      <c r="E3181" t="s">
        <v>10</v>
      </c>
      <c r="F3181" s="1">
        <v>3.4169999999999998</v>
      </c>
    </row>
    <row r="3182" spans="1:6">
      <c r="A3182" t="s">
        <v>85</v>
      </c>
      <c r="B3182" t="s">
        <v>1238</v>
      </c>
      <c r="C3182" s="1" t="s">
        <v>1240</v>
      </c>
      <c r="D3182" s="7">
        <v>1137</v>
      </c>
      <c r="E3182" t="s">
        <v>10</v>
      </c>
      <c r="F3182" s="1">
        <v>3.1259999999999999</v>
      </c>
    </row>
    <row r="3183" spans="1:6">
      <c r="A3183" t="s">
        <v>85</v>
      </c>
      <c r="B3183" t="s">
        <v>1238</v>
      </c>
      <c r="C3183" s="1" t="s">
        <v>1241</v>
      </c>
      <c r="D3183" s="7">
        <v>1587</v>
      </c>
      <c r="E3183" t="s">
        <v>10</v>
      </c>
      <c r="F3183" s="1">
        <v>3.4340000000000002</v>
      </c>
    </row>
    <row r="3184" spans="1:6">
      <c r="A3184" t="s">
        <v>85</v>
      </c>
      <c r="B3184" t="s">
        <v>1238</v>
      </c>
      <c r="C3184" s="1" t="s">
        <v>1242</v>
      </c>
      <c r="D3184" s="7">
        <v>1593</v>
      </c>
      <c r="E3184" t="s">
        <v>10</v>
      </c>
      <c r="F3184" s="1">
        <v>3.2490000000000001</v>
      </c>
    </row>
    <row r="3185" spans="1:6">
      <c r="A3185" t="s">
        <v>85</v>
      </c>
      <c r="B3185" t="s">
        <v>1238</v>
      </c>
      <c r="C3185" s="1" t="s">
        <v>1243</v>
      </c>
      <c r="D3185" s="7">
        <v>2503</v>
      </c>
      <c r="E3185" t="s">
        <v>10</v>
      </c>
      <c r="F3185" s="1">
        <v>3.5049999999999999</v>
      </c>
    </row>
    <row r="3186" spans="1:6">
      <c r="A3186" t="s">
        <v>85</v>
      </c>
      <c r="B3186" t="s">
        <v>1238</v>
      </c>
      <c r="C3186" s="1" t="s">
        <v>1244</v>
      </c>
      <c r="D3186" s="7">
        <v>2509</v>
      </c>
      <c r="E3186" t="s">
        <v>10</v>
      </c>
      <c r="F3186" s="1">
        <v>3.2149999999999999</v>
      </c>
    </row>
    <row r="3187" spans="1:6">
      <c r="A3187" t="s">
        <v>85</v>
      </c>
      <c r="B3187" t="s">
        <v>1238</v>
      </c>
      <c r="C3187" s="1" t="s">
        <v>1245</v>
      </c>
      <c r="D3187" s="7">
        <v>2515</v>
      </c>
      <c r="E3187" t="s">
        <v>10</v>
      </c>
      <c r="F3187" s="1">
        <v>3.1589999999999998</v>
      </c>
    </row>
    <row r="3188" spans="1:6">
      <c r="A3188" t="s">
        <v>85</v>
      </c>
      <c r="B3188" t="s">
        <v>1238</v>
      </c>
      <c r="C3188" s="1" t="s">
        <v>1246</v>
      </c>
      <c r="D3188" s="7">
        <v>2521</v>
      </c>
      <c r="E3188" t="s">
        <v>10</v>
      </c>
      <c r="F3188" s="1">
        <v>3.218</v>
      </c>
    </row>
    <row r="3189" spans="1:6">
      <c r="A3189" t="s">
        <v>85</v>
      </c>
      <c r="B3189" t="s">
        <v>1238</v>
      </c>
      <c r="C3189" s="1" t="s">
        <v>1247</v>
      </c>
      <c r="D3189" s="7">
        <v>2527</v>
      </c>
      <c r="E3189" t="s">
        <v>10</v>
      </c>
      <c r="F3189" s="1">
        <v>3.266</v>
      </c>
    </row>
    <row r="3190" spans="1:6">
      <c r="A3190" t="s">
        <v>85</v>
      </c>
      <c r="B3190" t="s">
        <v>1238</v>
      </c>
      <c r="C3190" s="1" t="s">
        <v>1248</v>
      </c>
      <c r="D3190" s="7">
        <v>2533</v>
      </c>
      <c r="E3190" t="s">
        <v>10</v>
      </c>
      <c r="F3190" s="1">
        <v>3.052</v>
      </c>
    </row>
    <row r="3191" spans="1:6">
      <c r="A3191" t="s">
        <v>85</v>
      </c>
      <c r="B3191" t="s">
        <v>1238</v>
      </c>
      <c r="C3191" s="1" t="s">
        <v>1239</v>
      </c>
      <c r="D3191" s="7">
        <v>792</v>
      </c>
      <c r="E3191" t="s">
        <v>11</v>
      </c>
      <c r="F3191" s="1">
        <v>6.3029999999999999</v>
      </c>
    </row>
    <row r="3192" spans="1:6">
      <c r="A3192" t="s">
        <v>85</v>
      </c>
      <c r="B3192" t="s">
        <v>1238</v>
      </c>
      <c r="C3192" s="1" t="s">
        <v>1240</v>
      </c>
      <c r="D3192" s="7">
        <v>1135</v>
      </c>
      <c r="E3192" t="s">
        <v>11</v>
      </c>
      <c r="F3192" s="1">
        <v>6.4610000000000003</v>
      </c>
    </row>
    <row r="3193" spans="1:6">
      <c r="A3193" t="s">
        <v>85</v>
      </c>
      <c r="B3193" t="s">
        <v>1238</v>
      </c>
      <c r="C3193" s="1" t="s">
        <v>1241</v>
      </c>
      <c r="D3193" s="7">
        <v>1585</v>
      </c>
      <c r="E3193" t="s">
        <v>11</v>
      </c>
      <c r="F3193" s="1">
        <v>6.6260000000000003</v>
      </c>
    </row>
    <row r="3194" spans="1:6">
      <c r="A3194" t="s">
        <v>85</v>
      </c>
      <c r="B3194" t="s">
        <v>1238</v>
      </c>
      <c r="C3194" s="1" t="s">
        <v>1242</v>
      </c>
      <c r="D3194" s="7">
        <v>1591</v>
      </c>
      <c r="E3194" t="s">
        <v>11</v>
      </c>
      <c r="F3194" s="1">
        <v>6.3380000000000001</v>
      </c>
    </row>
    <row r="3195" spans="1:6">
      <c r="A3195" t="s">
        <v>85</v>
      </c>
      <c r="B3195" t="s">
        <v>1238</v>
      </c>
      <c r="C3195" s="1" t="s">
        <v>1243</v>
      </c>
      <c r="D3195" s="7">
        <v>2501</v>
      </c>
      <c r="E3195" t="s">
        <v>11</v>
      </c>
      <c r="F3195" s="9">
        <v>6.26</v>
      </c>
    </row>
    <row r="3196" spans="1:6">
      <c r="A3196" t="s">
        <v>85</v>
      </c>
      <c r="B3196" t="s">
        <v>1238</v>
      </c>
      <c r="C3196" s="1" t="s">
        <v>1244</v>
      </c>
      <c r="D3196" s="7">
        <v>2507</v>
      </c>
      <c r="E3196" t="s">
        <v>11</v>
      </c>
      <c r="F3196" s="1">
        <v>6.2859999999999996</v>
      </c>
    </row>
    <row r="3197" spans="1:6">
      <c r="A3197" t="s">
        <v>85</v>
      </c>
      <c r="B3197" t="s">
        <v>1238</v>
      </c>
      <c r="C3197" s="1" t="s">
        <v>1245</v>
      </c>
      <c r="D3197" s="7">
        <v>2513</v>
      </c>
      <c r="E3197" t="s">
        <v>11</v>
      </c>
      <c r="F3197" s="1">
        <v>6.3339999999999996</v>
      </c>
    </row>
    <row r="3198" spans="1:6">
      <c r="A3198" t="s">
        <v>85</v>
      </c>
      <c r="B3198" t="s">
        <v>1238</v>
      </c>
      <c r="C3198" s="1" t="s">
        <v>1246</v>
      </c>
      <c r="D3198" s="7">
        <v>2519</v>
      </c>
      <c r="E3198" t="s">
        <v>11</v>
      </c>
      <c r="F3198" s="9">
        <v>6.3</v>
      </c>
    </row>
    <row r="3199" spans="1:6">
      <c r="A3199" t="s">
        <v>85</v>
      </c>
      <c r="B3199" t="s">
        <v>1238</v>
      </c>
      <c r="C3199" s="1" t="s">
        <v>1247</v>
      </c>
      <c r="D3199" s="7">
        <v>2525</v>
      </c>
      <c r="E3199" t="s">
        <v>11</v>
      </c>
      <c r="F3199" s="9">
        <v>6.37</v>
      </c>
    </row>
    <row r="3200" spans="1:6">
      <c r="A3200" t="s">
        <v>85</v>
      </c>
      <c r="B3200" t="s">
        <v>1238</v>
      </c>
      <c r="C3200" s="1" t="s">
        <v>1248</v>
      </c>
      <c r="D3200" s="7">
        <v>2531</v>
      </c>
      <c r="E3200" t="s">
        <v>11</v>
      </c>
      <c r="F3200" s="9">
        <v>6.3</v>
      </c>
    </row>
    <row r="3201" spans="1:6">
      <c r="A3201" t="s">
        <v>85</v>
      </c>
      <c r="B3201" t="s">
        <v>1238</v>
      </c>
      <c r="C3201" s="3" t="s">
        <v>1240</v>
      </c>
      <c r="D3201" s="7">
        <v>5105</v>
      </c>
      <c r="E3201" t="s">
        <v>12</v>
      </c>
      <c r="F3201" s="10">
        <v>2.08</v>
      </c>
    </row>
    <row r="3202" spans="1:6">
      <c r="A3202" t="s">
        <v>85</v>
      </c>
      <c r="B3202" t="s">
        <v>1249</v>
      </c>
      <c r="C3202" s="1" t="s">
        <v>1250</v>
      </c>
      <c r="D3202" s="7">
        <v>2694</v>
      </c>
      <c r="E3202" t="s">
        <v>9</v>
      </c>
      <c r="F3202" s="9">
        <v>1.68</v>
      </c>
    </row>
    <row r="3203" spans="1:6">
      <c r="A3203" t="s">
        <v>85</v>
      </c>
      <c r="B3203" t="s">
        <v>1249</v>
      </c>
      <c r="C3203" s="1" t="s">
        <v>1251</v>
      </c>
      <c r="D3203" s="7">
        <v>2700</v>
      </c>
      <c r="E3203" t="s">
        <v>9</v>
      </c>
      <c r="F3203" s="1">
        <v>1.6180000000000001</v>
      </c>
    </row>
    <row r="3204" spans="1:6">
      <c r="A3204" t="s">
        <v>85</v>
      </c>
      <c r="B3204" t="s">
        <v>1249</v>
      </c>
      <c r="C3204" s="1" t="s">
        <v>1252</v>
      </c>
      <c r="D3204" s="7">
        <v>2706</v>
      </c>
      <c r="E3204" t="s">
        <v>9</v>
      </c>
      <c r="F3204" s="1">
        <v>1.657</v>
      </c>
    </row>
    <row r="3205" spans="1:6">
      <c r="A3205" t="s">
        <v>85</v>
      </c>
      <c r="B3205" t="s">
        <v>1249</v>
      </c>
      <c r="C3205" s="1" t="s">
        <v>1253</v>
      </c>
      <c r="D3205" s="7">
        <v>2712</v>
      </c>
      <c r="E3205" t="s">
        <v>9</v>
      </c>
      <c r="F3205" s="1">
        <v>1.647</v>
      </c>
    </row>
    <row r="3206" spans="1:6">
      <c r="A3206" t="s">
        <v>85</v>
      </c>
      <c r="B3206" t="s">
        <v>1249</v>
      </c>
      <c r="C3206" s="1" t="s">
        <v>1254</v>
      </c>
      <c r="D3206" s="7">
        <v>2718</v>
      </c>
      <c r="E3206" t="s">
        <v>9</v>
      </c>
      <c r="F3206" s="1">
        <v>1.7030000000000001</v>
      </c>
    </row>
    <row r="3207" spans="1:6">
      <c r="A3207" t="s">
        <v>85</v>
      </c>
      <c r="B3207" t="s">
        <v>1249</v>
      </c>
      <c r="C3207" s="1" t="s">
        <v>1255</v>
      </c>
      <c r="D3207" s="7">
        <v>2724</v>
      </c>
      <c r="E3207" t="s">
        <v>9</v>
      </c>
      <c r="F3207" s="1">
        <v>1.6240000000000001</v>
      </c>
    </row>
    <row r="3208" spans="1:6">
      <c r="A3208" t="s">
        <v>85</v>
      </c>
      <c r="B3208" t="s">
        <v>1249</v>
      </c>
      <c r="C3208" s="1" t="s">
        <v>1256</v>
      </c>
      <c r="D3208" s="7">
        <v>2730</v>
      </c>
      <c r="E3208" t="s">
        <v>9</v>
      </c>
      <c r="F3208" s="1">
        <v>1.639</v>
      </c>
    </row>
    <row r="3209" spans="1:6">
      <c r="A3209" t="s">
        <v>85</v>
      </c>
      <c r="B3209" t="s">
        <v>1249</v>
      </c>
      <c r="C3209" s="1" t="s">
        <v>1257</v>
      </c>
      <c r="D3209" s="7">
        <v>2736</v>
      </c>
      <c r="E3209" t="s">
        <v>9</v>
      </c>
      <c r="F3209" s="1">
        <v>1.7529999999999999</v>
      </c>
    </row>
    <row r="3210" spans="1:6">
      <c r="A3210" t="s">
        <v>85</v>
      </c>
      <c r="B3210" t="s">
        <v>1249</v>
      </c>
      <c r="C3210" s="1" t="s">
        <v>1258</v>
      </c>
      <c r="D3210" s="7">
        <v>2742</v>
      </c>
      <c r="E3210" t="s">
        <v>9</v>
      </c>
      <c r="F3210" s="1">
        <v>1.6559999999999999</v>
      </c>
    </row>
    <row r="3211" spans="1:6">
      <c r="A3211" t="s">
        <v>85</v>
      </c>
      <c r="B3211" t="s">
        <v>1249</v>
      </c>
      <c r="C3211" s="1" t="s">
        <v>1259</v>
      </c>
      <c r="D3211" s="7">
        <v>2748</v>
      </c>
      <c r="E3211" t="s">
        <v>9</v>
      </c>
      <c r="F3211" s="1">
        <v>1.708</v>
      </c>
    </row>
    <row r="3212" spans="1:6">
      <c r="A3212" t="s">
        <v>85</v>
      </c>
      <c r="B3212" t="s">
        <v>1249</v>
      </c>
      <c r="C3212" s="1" t="s">
        <v>1250</v>
      </c>
      <c r="D3212" s="7">
        <v>2695</v>
      </c>
      <c r="E3212" t="s">
        <v>10</v>
      </c>
      <c r="F3212" s="1">
        <v>3.2730000000000001</v>
      </c>
    </row>
    <row r="3213" spans="1:6">
      <c r="A3213" t="s">
        <v>85</v>
      </c>
      <c r="B3213" t="s">
        <v>1249</v>
      </c>
      <c r="C3213" s="1" t="s">
        <v>1251</v>
      </c>
      <c r="D3213" s="7">
        <v>2701</v>
      </c>
      <c r="E3213" t="s">
        <v>10</v>
      </c>
      <c r="F3213" s="1">
        <v>3.359</v>
      </c>
    </row>
    <row r="3214" spans="1:6">
      <c r="A3214" t="s">
        <v>85</v>
      </c>
      <c r="B3214" t="s">
        <v>1249</v>
      </c>
      <c r="C3214" s="1" t="s">
        <v>1252</v>
      </c>
      <c r="D3214" s="7">
        <v>2707</v>
      </c>
      <c r="E3214" t="s">
        <v>10</v>
      </c>
      <c r="F3214" s="1">
        <v>3.081</v>
      </c>
    </row>
    <row r="3215" spans="1:6">
      <c r="A3215" t="s">
        <v>85</v>
      </c>
      <c r="B3215" t="s">
        <v>1249</v>
      </c>
      <c r="C3215" s="1" t="s">
        <v>1253</v>
      </c>
      <c r="D3215" s="7">
        <v>2713</v>
      </c>
      <c r="E3215" t="s">
        <v>10</v>
      </c>
      <c r="F3215" s="1">
        <v>3.2290000000000001</v>
      </c>
    </row>
    <row r="3216" spans="1:6">
      <c r="A3216" t="s">
        <v>85</v>
      </c>
      <c r="B3216" t="s">
        <v>1249</v>
      </c>
      <c r="C3216" s="1" t="s">
        <v>1254</v>
      </c>
      <c r="D3216" s="7">
        <v>2719</v>
      </c>
      <c r="E3216" t="s">
        <v>10</v>
      </c>
      <c r="F3216" s="1">
        <v>2.9049999999999998</v>
      </c>
    </row>
    <row r="3217" spans="1:6">
      <c r="A3217" t="s">
        <v>85</v>
      </c>
      <c r="B3217" t="s">
        <v>1249</v>
      </c>
      <c r="C3217" s="1" t="s">
        <v>1255</v>
      </c>
      <c r="D3217" s="7">
        <v>2725</v>
      </c>
      <c r="E3217" t="s">
        <v>10</v>
      </c>
      <c r="F3217" s="1">
        <v>3.0150000000000001</v>
      </c>
    </row>
    <row r="3218" spans="1:6">
      <c r="A3218" t="s">
        <v>85</v>
      </c>
      <c r="B3218" t="s">
        <v>1249</v>
      </c>
      <c r="C3218" s="1" t="s">
        <v>1256</v>
      </c>
      <c r="D3218" s="7">
        <v>2731</v>
      </c>
      <c r="E3218" t="s">
        <v>10</v>
      </c>
      <c r="F3218" s="9">
        <v>2.88</v>
      </c>
    </row>
    <row r="3219" spans="1:6">
      <c r="A3219" t="s">
        <v>85</v>
      </c>
      <c r="B3219" t="s">
        <v>1249</v>
      </c>
      <c r="C3219" s="1" t="s">
        <v>1257</v>
      </c>
      <c r="D3219" s="7">
        <v>2737</v>
      </c>
      <c r="E3219" t="s">
        <v>10</v>
      </c>
      <c r="F3219" s="1">
        <v>3.169</v>
      </c>
    </row>
    <row r="3220" spans="1:6">
      <c r="A3220" t="s">
        <v>85</v>
      </c>
      <c r="B3220" t="s">
        <v>1249</v>
      </c>
      <c r="C3220" s="1" t="s">
        <v>1258</v>
      </c>
      <c r="D3220" s="7">
        <v>2743</v>
      </c>
      <c r="E3220" t="s">
        <v>10</v>
      </c>
      <c r="F3220" s="1">
        <v>3.1960000000000002</v>
      </c>
    </row>
    <row r="3221" spans="1:6">
      <c r="A3221" t="s">
        <v>85</v>
      </c>
      <c r="B3221" t="s">
        <v>1249</v>
      </c>
      <c r="C3221" s="1" t="s">
        <v>1259</v>
      </c>
      <c r="D3221" s="7">
        <v>2749</v>
      </c>
      <c r="E3221" t="s">
        <v>10</v>
      </c>
      <c r="F3221" s="1">
        <v>3.3330000000000002</v>
      </c>
    </row>
    <row r="3222" spans="1:6">
      <c r="A3222" t="s">
        <v>85</v>
      </c>
      <c r="B3222" t="s">
        <v>1249</v>
      </c>
      <c r="C3222" s="1" t="s">
        <v>1250</v>
      </c>
      <c r="D3222" s="7">
        <v>2693</v>
      </c>
      <c r="E3222" t="s">
        <v>11</v>
      </c>
      <c r="F3222" s="1">
        <v>5.7469999999999999</v>
      </c>
    </row>
    <row r="3223" spans="1:6">
      <c r="A3223" t="s">
        <v>85</v>
      </c>
      <c r="B3223" t="s">
        <v>1249</v>
      </c>
      <c r="C3223" s="1" t="s">
        <v>1251</v>
      </c>
      <c r="D3223" s="7">
        <v>2699</v>
      </c>
      <c r="E3223" t="s">
        <v>11</v>
      </c>
      <c r="F3223" s="1">
        <v>5.6719999999999997</v>
      </c>
    </row>
    <row r="3224" spans="1:6">
      <c r="A3224" t="s">
        <v>85</v>
      </c>
      <c r="B3224" t="s">
        <v>1249</v>
      </c>
      <c r="C3224" s="1" t="s">
        <v>1252</v>
      </c>
      <c r="D3224" s="7">
        <v>2705</v>
      </c>
      <c r="E3224" t="s">
        <v>11</v>
      </c>
      <c r="F3224" s="1">
        <v>5.6749999999999998</v>
      </c>
    </row>
    <row r="3225" spans="1:6">
      <c r="A3225" t="s">
        <v>85</v>
      </c>
      <c r="B3225" t="s">
        <v>1249</v>
      </c>
      <c r="C3225" s="1" t="s">
        <v>1253</v>
      </c>
      <c r="D3225" s="7">
        <v>2711</v>
      </c>
      <c r="E3225" t="s">
        <v>11</v>
      </c>
      <c r="F3225" s="1">
        <v>5.8179999999999996</v>
      </c>
    </row>
    <row r="3226" spans="1:6">
      <c r="A3226" t="s">
        <v>85</v>
      </c>
      <c r="B3226" t="s">
        <v>1249</v>
      </c>
      <c r="C3226" s="1" t="s">
        <v>1254</v>
      </c>
      <c r="D3226" s="7">
        <v>2717</v>
      </c>
      <c r="E3226" t="s">
        <v>11</v>
      </c>
      <c r="F3226" s="9">
        <v>5.82</v>
      </c>
    </row>
    <row r="3227" spans="1:6">
      <c r="A3227" t="s">
        <v>85</v>
      </c>
      <c r="B3227" t="s">
        <v>1249</v>
      </c>
      <c r="C3227" s="1" t="s">
        <v>1255</v>
      </c>
      <c r="D3227" s="7">
        <v>2723</v>
      </c>
      <c r="E3227" t="s">
        <v>11</v>
      </c>
      <c r="F3227" s="1">
        <v>5.6890000000000001</v>
      </c>
    </row>
    <row r="3228" spans="1:6">
      <c r="A3228" t="s">
        <v>85</v>
      </c>
      <c r="B3228" t="s">
        <v>1249</v>
      </c>
      <c r="C3228" s="1" t="s">
        <v>1256</v>
      </c>
      <c r="D3228" s="7">
        <v>2729</v>
      </c>
      <c r="E3228" t="s">
        <v>11</v>
      </c>
      <c r="F3228" s="1">
        <v>5.7670000000000003</v>
      </c>
    </row>
    <row r="3229" spans="1:6">
      <c r="A3229" t="s">
        <v>85</v>
      </c>
      <c r="B3229" t="s">
        <v>1249</v>
      </c>
      <c r="C3229" s="1" t="s">
        <v>1257</v>
      </c>
      <c r="D3229" s="7">
        <v>2735</v>
      </c>
      <c r="E3229" t="s">
        <v>11</v>
      </c>
      <c r="F3229" s="1">
        <v>5.6130000000000004</v>
      </c>
    </row>
    <row r="3230" spans="1:6">
      <c r="A3230" t="s">
        <v>85</v>
      </c>
      <c r="B3230" t="s">
        <v>1249</v>
      </c>
      <c r="C3230" s="1" t="s">
        <v>1258</v>
      </c>
      <c r="D3230" s="7">
        <v>2741</v>
      </c>
      <c r="E3230" t="s">
        <v>11</v>
      </c>
      <c r="F3230" s="1">
        <v>5.6689999999999996</v>
      </c>
    </row>
    <row r="3231" spans="1:6">
      <c r="A3231" t="s">
        <v>85</v>
      </c>
      <c r="B3231" t="s">
        <v>1249</v>
      </c>
      <c r="C3231" s="1" t="s">
        <v>1259</v>
      </c>
      <c r="D3231" s="7">
        <v>2747</v>
      </c>
      <c r="E3231" t="s">
        <v>11</v>
      </c>
      <c r="F3231" s="1">
        <v>5.8609999999999998</v>
      </c>
    </row>
    <row r="3232" spans="1:6">
      <c r="A3232" t="s">
        <v>85</v>
      </c>
      <c r="B3232" t="s">
        <v>1249</v>
      </c>
      <c r="C3232" s="3" t="s">
        <v>1260</v>
      </c>
      <c r="D3232" s="7">
        <v>5107</v>
      </c>
      <c r="E3232" t="s">
        <v>12</v>
      </c>
      <c r="F3232" s="10">
        <v>1.95</v>
      </c>
    </row>
    <row r="3233" spans="1:6">
      <c r="A3233" t="s">
        <v>85</v>
      </c>
      <c r="B3233" t="s">
        <v>1261</v>
      </c>
      <c r="C3233" s="1" t="s">
        <v>1262</v>
      </c>
      <c r="D3233" s="7">
        <v>1364</v>
      </c>
      <c r="E3233" t="s">
        <v>9</v>
      </c>
      <c r="F3233" s="1">
        <v>1.8680000000000001</v>
      </c>
    </row>
    <row r="3234" spans="1:6">
      <c r="A3234" t="s">
        <v>85</v>
      </c>
      <c r="B3234" t="s">
        <v>1261</v>
      </c>
      <c r="C3234" s="1" t="s">
        <v>1263</v>
      </c>
      <c r="D3234" s="7">
        <v>1370</v>
      </c>
      <c r="E3234" t="s">
        <v>9</v>
      </c>
      <c r="F3234" s="1">
        <v>1.879</v>
      </c>
    </row>
    <row r="3235" spans="1:6">
      <c r="A3235" t="s">
        <v>85</v>
      </c>
      <c r="B3235" t="s">
        <v>1261</v>
      </c>
      <c r="C3235" s="1" t="s">
        <v>1264</v>
      </c>
      <c r="D3235" s="7">
        <v>1400</v>
      </c>
      <c r="E3235" t="s">
        <v>9</v>
      </c>
      <c r="F3235" s="9">
        <v>1.86</v>
      </c>
    </row>
    <row r="3236" spans="1:6">
      <c r="A3236" t="s">
        <v>85</v>
      </c>
      <c r="B3236" t="s">
        <v>1261</v>
      </c>
      <c r="C3236" s="1" t="s">
        <v>1265</v>
      </c>
      <c r="D3236" s="7">
        <v>1406</v>
      </c>
      <c r="E3236" t="s">
        <v>9</v>
      </c>
      <c r="F3236" s="1">
        <v>1.9970000000000001</v>
      </c>
    </row>
    <row r="3237" spans="1:6">
      <c r="A3237" t="s">
        <v>85</v>
      </c>
      <c r="B3237" t="s">
        <v>1261</v>
      </c>
      <c r="C3237" s="1" t="s">
        <v>1266</v>
      </c>
      <c r="D3237" s="7">
        <v>2334</v>
      </c>
      <c r="E3237" t="s">
        <v>9</v>
      </c>
      <c r="F3237" s="1">
        <v>1.8759999999999999</v>
      </c>
    </row>
    <row r="3238" spans="1:6">
      <c r="A3238" t="s">
        <v>85</v>
      </c>
      <c r="B3238" t="s">
        <v>1261</v>
      </c>
      <c r="C3238" s="1" t="s">
        <v>1267</v>
      </c>
      <c r="D3238" s="7">
        <v>2340</v>
      </c>
      <c r="E3238" t="s">
        <v>9</v>
      </c>
      <c r="F3238" s="1">
        <v>1.9179999999999999</v>
      </c>
    </row>
    <row r="3239" spans="1:6">
      <c r="A3239" t="s">
        <v>85</v>
      </c>
      <c r="B3239" t="s">
        <v>1261</v>
      </c>
      <c r="C3239" s="1" t="s">
        <v>1268</v>
      </c>
      <c r="D3239" s="7">
        <v>2346</v>
      </c>
      <c r="E3239" t="s">
        <v>9</v>
      </c>
      <c r="F3239" s="1">
        <v>1.8660000000000001</v>
      </c>
    </row>
    <row r="3240" spans="1:6">
      <c r="A3240" t="s">
        <v>85</v>
      </c>
      <c r="B3240" t="s">
        <v>1261</v>
      </c>
      <c r="C3240" s="1" t="s">
        <v>1269</v>
      </c>
      <c r="D3240" s="7">
        <v>2352</v>
      </c>
      <c r="E3240" t="s">
        <v>9</v>
      </c>
      <c r="F3240" s="1">
        <v>1.929</v>
      </c>
    </row>
    <row r="3241" spans="1:6">
      <c r="A3241" t="s">
        <v>85</v>
      </c>
      <c r="B3241" t="s">
        <v>1261</v>
      </c>
      <c r="C3241" s="1" t="s">
        <v>1270</v>
      </c>
      <c r="D3241" s="7">
        <v>2358</v>
      </c>
      <c r="E3241" t="s">
        <v>9</v>
      </c>
      <c r="F3241" s="1">
        <v>1.8959999999999999</v>
      </c>
    </row>
    <row r="3242" spans="1:6">
      <c r="A3242" t="s">
        <v>85</v>
      </c>
      <c r="B3242" t="s">
        <v>1261</v>
      </c>
      <c r="C3242" s="1" t="s">
        <v>1271</v>
      </c>
      <c r="D3242" s="7">
        <v>2364</v>
      </c>
      <c r="E3242" t="s">
        <v>9</v>
      </c>
      <c r="F3242" s="1">
        <v>1.871</v>
      </c>
    </row>
    <row r="3243" spans="1:6">
      <c r="A3243" t="s">
        <v>85</v>
      </c>
      <c r="B3243" t="s">
        <v>1261</v>
      </c>
      <c r="C3243" s="1" t="s">
        <v>1262</v>
      </c>
      <c r="D3243" s="7">
        <v>1365</v>
      </c>
      <c r="E3243" t="s">
        <v>10</v>
      </c>
      <c r="F3243" s="9">
        <v>3.22</v>
      </c>
    </row>
    <row r="3244" spans="1:6">
      <c r="A3244" t="s">
        <v>85</v>
      </c>
      <c r="B3244" t="s">
        <v>1261</v>
      </c>
      <c r="C3244" s="1" t="s">
        <v>1263</v>
      </c>
      <c r="D3244" s="7">
        <v>1371</v>
      </c>
      <c r="E3244" t="s">
        <v>10</v>
      </c>
      <c r="F3244" s="1">
        <v>3.2109999999999999</v>
      </c>
    </row>
    <row r="3245" spans="1:6">
      <c r="A3245" t="s">
        <v>85</v>
      </c>
      <c r="B3245" t="s">
        <v>1261</v>
      </c>
      <c r="C3245" s="1" t="s">
        <v>1264</v>
      </c>
      <c r="D3245" s="7">
        <v>1401</v>
      </c>
      <c r="E3245" t="s">
        <v>10</v>
      </c>
      <c r="F3245" s="1">
        <v>3.302</v>
      </c>
    </row>
    <row r="3246" spans="1:6">
      <c r="A3246" t="s">
        <v>85</v>
      </c>
      <c r="B3246" t="s">
        <v>1261</v>
      </c>
      <c r="C3246" s="1" t="s">
        <v>1265</v>
      </c>
      <c r="D3246" s="7">
        <v>1407</v>
      </c>
      <c r="E3246" t="s">
        <v>10</v>
      </c>
      <c r="F3246" s="1">
        <v>3.3380000000000001</v>
      </c>
    </row>
    <row r="3247" spans="1:6">
      <c r="A3247" t="s">
        <v>85</v>
      </c>
      <c r="B3247" t="s">
        <v>1261</v>
      </c>
      <c r="C3247" s="1" t="s">
        <v>1266</v>
      </c>
      <c r="D3247" s="7">
        <v>2335</v>
      </c>
      <c r="E3247" t="s">
        <v>10</v>
      </c>
      <c r="F3247" s="1">
        <v>3.5249999999999999</v>
      </c>
    </row>
    <row r="3248" spans="1:6">
      <c r="A3248" t="s">
        <v>85</v>
      </c>
      <c r="B3248" t="s">
        <v>1261</v>
      </c>
      <c r="C3248" s="1" t="s">
        <v>1267</v>
      </c>
      <c r="D3248" s="7">
        <v>2341</v>
      </c>
      <c r="E3248" t="s">
        <v>10</v>
      </c>
      <c r="F3248" s="1">
        <v>3.7090000000000001</v>
      </c>
    </row>
    <row r="3249" spans="1:6">
      <c r="A3249" t="s">
        <v>85</v>
      </c>
      <c r="B3249" t="s">
        <v>1261</v>
      </c>
      <c r="C3249" s="1" t="s">
        <v>1268</v>
      </c>
      <c r="D3249" s="7">
        <v>2347</v>
      </c>
      <c r="E3249" t="s">
        <v>10</v>
      </c>
      <c r="F3249" s="1">
        <v>3.234</v>
      </c>
    </row>
    <row r="3250" spans="1:6">
      <c r="A3250" t="s">
        <v>85</v>
      </c>
      <c r="B3250" t="s">
        <v>1261</v>
      </c>
      <c r="C3250" s="1" t="s">
        <v>1269</v>
      </c>
      <c r="D3250" s="7">
        <v>2353</v>
      </c>
      <c r="E3250" t="s">
        <v>10</v>
      </c>
      <c r="F3250" s="1">
        <v>3.3660000000000001</v>
      </c>
    </row>
    <row r="3251" spans="1:6">
      <c r="A3251" t="s">
        <v>85</v>
      </c>
      <c r="B3251" t="s">
        <v>1261</v>
      </c>
      <c r="C3251" s="1" t="s">
        <v>1270</v>
      </c>
      <c r="D3251" s="7">
        <v>2359</v>
      </c>
      <c r="E3251" t="s">
        <v>10</v>
      </c>
      <c r="F3251" s="1">
        <v>3.383</v>
      </c>
    </row>
    <row r="3252" spans="1:6">
      <c r="A3252" t="s">
        <v>85</v>
      </c>
      <c r="B3252" t="s">
        <v>1261</v>
      </c>
      <c r="C3252" s="1" t="s">
        <v>1271</v>
      </c>
      <c r="D3252" s="7">
        <v>2365</v>
      </c>
      <c r="E3252" t="s">
        <v>10</v>
      </c>
      <c r="F3252" s="1">
        <v>3.3769999999999998</v>
      </c>
    </row>
    <row r="3253" spans="1:6">
      <c r="A3253" t="s">
        <v>85</v>
      </c>
      <c r="B3253" t="s">
        <v>1261</v>
      </c>
      <c r="C3253" s="1" t="s">
        <v>1262</v>
      </c>
      <c r="D3253" s="7">
        <v>1363</v>
      </c>
      <c r="E3253" t="s">
        <v>11</v>
      </c>
      <c r="F3253" s="1">
        <v>6.4279999999999999</v>
      </c>
    </row>
    <row r="3254" spans="1:6">
      <c r="A3254" t="s">
        <v>85</v>
      </c>
      <c r="B3254" t="s">
        <v>1261</v>
      </c>
      <c r="C3254" s="1" t="s">
        <v>1263</v>
      </c>
      <c r="D3254" s="7">
        <v>1369</v>
      </c>
      <c r="E3254" t="s">
        <v>11</v>
      </c>
      <c r="F3254" s="1">
        <v>6.4619999999999997</v>
      </c>
    </row>
    <row r="3255" spans="1:6">
      <c r="A3255" t="s">
        <v>85</v>
      </c>
      <c r="B3255" t="s">
        <v>1261</v>
      </c>
      <c r="C3255" s="1" t="s">
        <v>1264</v>
      </c>
      <c r="D3255" s="7">
        <v>1399</v>
      </c>
      <c r="E3255" t="s">
        <v>11</v>
      </c>
      <c r="F3255" s="1">
        <v>6.1859999999999999</v>
      </c>
    </row>
    <row r="3256" spans="1:6">
      <c r="A3256" t="s">
        <v>85</v>
      </c>
      <c r="B3256" t="s">
        <v>1261</v>
      </c>
      <c r="C3256" s="1" t="s">
        <v>1265</v>
      </c>
      <c r="D3256" s="7">
        <v>1405</v>
      </c>
      <c r="E3256" t="s">
        <v>11</v>
      </c>
      <c r="F3256" s="1">
        <v>6.3650000000000002</v>
      </c>
    </row>
    <row r="3257" spans="1:6">
      <c r="A3257" t="s">
        <v>85</v>
      </c>
      <c r="B3257" t="s">
        <v>1261</v>
      </c>
      <c r="C3257" s="1" t="s">
        <v>1266</v>
      </c>
      <c r="D3257" s="7">
        <v>2333</v>
      </c>
      <c r="E3257" t="s">
        <v>11</v>
      </c>
      <c r="F3257" s="1">
        <v>6.2610000000000001</v>
      </c>
    </row>
    <row r="3258" spans="1:6">
      <c r="A3258" t="s">
        <v>85</v>
      </c>
      <c r="B3258" t="s">
        <v>1261</v>
      </c>
      <c r="C3258" s="1" t="s">
        <v>1267</v>
      </c>
      <c r="D3258" s="7">
        <v>2339</v>
      </c>
      <c r="E3258" t="s">
        <v>11</v>
      </c>
      <c r="F3258" s="1">
        <v>6.4569999999999999</v>
      </c>
    </row>
    <row r="3259" spans="1:6">
      <c r="A3259" t="s">
        <v>85</v>
      </c>
      <c r="B3259" t="s">
        <v>1261</v>
      </c>
      <c r="C3259" s="1" t="s">
        <v>1268</v>
      </c>
      <c r="D3259" s="7">
        <v>2345</v>
      </c>
      <c r="E3259" t="s">
        <v>11</v>
      </c>
      <c r="F3259" s="1">
        <v>6.2990000000000004</v>
      </c>
    </row>
    <row r="3260" spans="1:6">
      <c r="A3260" t="s">
        <v>85</v>
      </c>
      <c r="B3260" t="s">
        <v>1261</v>
      </c>
      <c r="C3260" s="1" t="s">
        <v>1269</v>
      </c>
      <c r="D3260" s="7">
        <v>2351</v>
      </c>
      <c r="E3260" t="s">
        <v>11</v>
      </c>
      <c r="F3260" s="1">
        <v>6.4269999999999996</v>
      </c>
    </row>
    <row r="3261" spans="1:6">
      <c r="A3261" t="s">
        <v>85</v>
      </c>
      <c r="B3261" t="s">
        <v>1261</v>
      </c>
      <c r="C3261" s="1" t="s">
        <v>1270</v>
      </c>
      <c r="D3261" s="7">
        <v>2357</v>
      </c>
      <c r="E3261" t="s">
        <v>11</v>
      </c>
      <c r="F3261" s="1">
        <v>6.4889999999999999</v>
      </c>
    </row>
    <row r="3262" spans="1:6">
      <c r="A3262" t="s">
        <v>85</v>
      </c>
      <c r="B3262" t="s">
        <v>1261</v>
      </c>
      <c r="C3262" s="1" t="s">
        <v>1271</v>
      </c>
      <c r="D3262" s="7">
        <v>2363</v>
      </c>
      <c r="E3262" t="s">
        <v>11</v>
      </c>
      <c r="F3262" s="1">
        <v>6.2750000000000004</v>
      </c>
    </row>
    <row r="3263" spans="1:6">
      <c r="A3263" t="s">
        <v>85</v>
      </c>
      <c r="B3263" t="s">
        <v>1261</v>
      </c>
      <c r="C3263" s="3" t="s">
        <v>1263</v>
      </c>
      <c r="D3263" s="7">
        <v>5106</v>
      </c>
      <c r="E3263" t="s">
        <v>12</v>
      </c>
      <c r="F3263" s="10">
        <v>2.1800000000000002</v>
      </c>
    </row>
    <row r="3264" spans="1:6">
      <c r="A3264" t="s">
        <v>85</v>
      </c>
      <c r="B3264" t="s">
        <v>1272</v>
      </c>
      <c r="C3264" s="1" t="s">
        <v>1273</v>
      </c>
      <c r="D3264" s="7">
        <v>1724</v>
      </c>
      <c r="E3264" t="s">
        <v>9</v>
      </c>
      <c r="F3264" s="1">
        <v>1.6579999999999999</v>
      </c>
    </row>
    <row r="3265" spans="1:6">
      <c r="A3265" t="s">
        <v>85</v>
      </c>
      <c r="B3265" t="s">
        <v>1272</v>
      </c>
      <c r="C3265" s="1" t="s">
        <v>1274</v>
      </c>
      <c r="D3265" s="7">
        <v>2442</v>
      </c>
      <c r="E3265" t="s">
        <v>9</v>
      </c>
      <c r="F3265" s="9">
        <v>1.61</v>
      </c>
    </row>
    <row r="3266" spans="1:6">
      <c r="A3266" t="s">
        <v>85</v>
      </c>
      <c r="B3266" t="s">
        <v>1272</v>
      </c>
      <c r="C3266" s="1" t="s">
        <v>1275</v>
      </c>
      <c r="D3266" s="7">
        <v>2448</v>
      </c>
      <c r="E3266" t="s">
        <v>9</v>
      </c>
      <c r="F3266" s="1">
        <v>1.5349999999999999</v>
      </c>
    </row>
    <row r="3267" spans="1:6">
      <c r="A3267" t="s">
        <v>85</v>
      </c>
      <c r="B3267" t="s">
        <v>1272</v>
      </c>
      <c r="C3267" s="1" t="s">
        <v>1276</v>
      </c>
      <c r="D3267" s="7">
        <v>2454</v>
      </c>
      <c r="E3267" t="s">
        <v>9</v>
      </c>
      <c r="F3267" s="1">
        <v>1.538</v>
      </c>
    </row>
    <row r="3268" spans="1:6">
      <c r="A3268" t="s">
        <v>85</v>
      </c>
      <c r="B3268" t="s">
        <v>1272</v>
      </c>
      <c r="C3268" s="1" t="s">
        <v>1277</v>
      </c>
      <c r="D3268" s="7">
        <v>2394</v>
      </c>
      <c r="E3268" t="s">
        <v>9</v>
      </c>
      <c r="F3268" s="1">
        <v>1.635</v>
      </c>
    </row>
    <row r="3269" spans="1:6">
      <c r="A3269" t="s">
        <v>85</v>
      </c>
      <c r="B3269" t="s">
        <v>1272</v>
      </c>
      <c r="C3269" s="1" t="s">
        <v>1278</v>
      </c>
      <c r="D3269" s="7">
        <v>2400</v>
      </c>
      <c r="E3269" t="s">
        <v>9</v>
      </c>
      <c r="F3269" s="1">
        <v>1.585</v>
      </c>
    </row>
    <row r="3270" spans="1:6">
      <c r="A3270" t="s">
        <v>85</v>
      </c>
      <c r="B3270" t="s">
        <v>1272</v>
      </c>
      <c r="C3270" s="1" t="s">
        <v>1279</v>
      </c>
      <c r="D3270" s="7">
        <v>2406</v>
      </c>
      <c r="E3270" t="s">
        <v>9</v>
      </c>
      <c r="F3270" s="1">
        <v>1.5589999999999999</v>
      </c>
    </row>
    <row r="3271" spans="1:6">
      <c r="A3271" t="s">
        <v>85</v>
      </c>
      <c r="B3271" t="s">
        <v>1272</v>
      </c>
      <c r="C3271" s="1" t="s">
        <v>1280</v>
      </c>
      <c r="D3271" s="7">
        <v>2412</v>
      </c>
      <c r="E3271" t="s">
        <v>9</v>
      </c>
      <c r="F3271" s="1">
        <v>1.6140000000000001</v>
      </c>
    </row>
    <row r="3272" spans="1:6">
      <c r="A3272" t="s">
        <v>85</v>
      </c>
      <c r="B3272" t="s">
        <v>1272</v>
      </c>
      <c r="C3272" s="1" t="s">
        <v>1281</v>
      </c>
      <c r="D3272" s="7">
        <v>2418</v>
      </c>
      <c r="E3272" t="s">
        <v>9</v>
      </c>
      <c r="F3272" s="1">
        <v>1.649</v>
      </c>
    </row>
    <row r="3273" spans="1:6">
      <c r="A3273" t="s">
        <v>85</v>
      </c>
      <c r="B3273" t="s">
        <v>1272</v>
      </c>
      <c r="C3273" s="1" t="s">
        <v>1282</v>
      </c>
      <c r="D3273" s="7">
        <v>2424</v>
      </c>
      <c r="E3273" t="s">
        <v>9</v>
      </c>
      <c r="F3273" s="1">
        <v>1.623</v>
      </c>
    </row>
    <row r="3274" spans="1:6">
      <c r="A3274" t="s">
        <v>85</v>
      </c>
      <c r="B3274" t="s">
        <v>1272</v>
      </c>
      <c r="C3274" s="1" t="s">
        <v>1283</v>
      </c>
      <c r="D3274" s="7">
        <v>2430</v>
      </c>
      <c r="E3274" t="s">
        <v>9</v>
      </c>
      <c r="F3274" s="1">
        <v>1.6479999999999999</v>
      </c>
    </row>
    <row r="3275" spans="1:6">
      <c r="A3275" t="s">
        <v>85</v>
      </c>
      <c r="B3275" t="s">
        <v>1272</v>
      </c>
      <c r="C3275" s="1" t="s">
        <v>1284</v>
      </c>
      <c r="D3275" s="7">
        <v>2436</v>
      </c>
      <c r="E3275" t="s">
        <v>9</v>
      </c>
      <c r="F3275" s="1">
        <v>1.569</v>
      </c>
    </row>
    <row r="3276" spans="1:6">
      <c r="A3276" t="s">
        <v>85</v>
      </c>
      <c r="B3276" t="s">
        <v>1272</v>
      </c>
      <c r="C3276" s="1" t="s">
        <v>1285</v>
      </c>
      <c r="D3276" s="7">
        <v>2460</v>
      </c>
      <c r="E3276" t="s">
        <v>9</v>
      </c>
      <c r="F3276" s="1">
        <v>1.5860000000000001</v>
      </c>
    </row>
    <row r="3277" spans="1:6">
      <c r="A3277" t="s">
        <v>85</v>
      </c>
      <c r="B3277" t="s">
        <v>1272</v>
      </c>
      <c r="C3277" s="1" t="s">
        <v>1286</v>
      </c>
      <c r="D3277" s="7">
        <v>2466</v>
      </c>
      <c r="E3277" t="s">
        <v>9</v>
      </c>
      <c r="F3277" s="1">
        <v>1.5980000000000001</v>
      </c>
    </row>
    <row r="3278" spans="1:6">
      <c r="A3278" t="s">
        <v>85</v>
      </c>
      <c r="B3278" t="s">
        <v>1272</v>
      </c>
      <c r="C3278" s="1" t="s">
        <v>1287</v>
      </c>
      <c r="D3278" s="7">
        <v>2472</v>
      </c>
      <c r="E3278" t="s">
        <v>9</v>
      </c>
      <c r="F3278" s="1">
        <v>1.5269999999999999</v>
      </c>
    </row>
    <row r="3279" spans="1:6">
      <c r="A3279" t="s">
        <v>85</v>
      </c>
      <c r="B3279" t="s">
        <v>1272</v>
      </c>
      <c r="C3279" s="1" t="s">
        <v>1288</v>
      </c>
      <c r="D3279" s="7">
        <v>2478</v>
      </c>
      <c r="E3279" t="s">
        <v>9</v>
      </c>
      <c r="F3279" s="1">
        <v>1.5529999999999999</v>
      </c>
    </row>
    <row r="3280" spans="1:6">
      <c r="A3280" t="s">
        <v>85</v>
      </c>
      <c r="B3280" t="s">
        <v>1272</v>
      </c>
      <c r="C3280" s="1" t="s">
        <v>1289</v>
      </c>
      <c r="D3280" s="7">
        <v>2484</v>
      </c>
      <c r="E3280" t="s">
        <v>9</v>
      </c>
      <c r="F3280" s="1">
        <v>1.589</v>
      </c>
    </row>
    <row r="3281" spans="1:6">
      <c r="A3281" t="s">
        <v>85</v>
      </c>
      <c r="B3281" t="s">
        <v>1272</v>
      </c>
      <c r="C3281" s="1" t="s">
        <v>1290</v>
      </c>
      <c r="D3281" s="7">
        <v>2490</v>
      </c>
      <c r="E3281" t="s">
        <v>9</v>
      </c>
      <c r="F3281" s="1">
        <v>1.6060000000000001</v>
      </c>
    </row>
    <row r="3282" spans="1:6">
      <c r="A3282" t="s">
        <v>85</v>
      </c>
      <c r="B3282" t="s">
        <v>1272</v>
      </c>
      <c r="C3282" s="1" t="s">
        <v>1291</v>
      </c>
      <c r="D3282" s="7">
        <v>2496</v>
      </c>
      <c r="E3282" t="s">
        <v>9</v>
      </c>
      <c r="F3282" s="1">
        <v>1.5409999999999999</v>
      </c>
    </row>
    <row r="3283" spans="1:6">
      <c r="A3283" t="s">
        <v>85</v>
      </c>
      <c r="B3283" t="s">
        <v>1272</v>
      </c>
      <c r="C3283" s="1" t="s">
        <v>1273</v>
      </c>
      <c r="D3283" s="7">
        <v>1725</v>
      </c>
      <c r="E3283" t="s">
        <v>10</v>
      </c>
      <c r="F3283" s="9">
        <v>2.95</v>
      </c>
    </row>
    <row r="3284" spans="1:6">
      <c r="A3284" t="s">
        <v>85</v>
      </c>
      <c r="B3284" t="s">
        <v>1272</v>
      </c>
      <c r="C3284" s="1" t="s">
        <v>1274</v>
      </c>
      <c r="D3284" s="7">
        <v>2443</v>
      </c>
      <c r="E3284" t="s">
        <v>10</v>
      </c>
      <c r="F3284" s="1">
        <v>2.742</v>
      </c>
    </row>
    <row r="3285" spans="1:6">
      <c r="A3285" t="s">
        <v>85</v>
      </c>
      <c r="B3285" t="s">
        <v>1272</v>
      </c>
      <c r="C3285" s="1" t="s">
        <v>1275</v>
      </c>
      <c r="D3285" s="7">
        <v>2449</v>
      </c>
      <c r="E3285" t="s">
        <v>10</v>
      </c>
      <c r="F3285" s="1">
        <v>2.8239999999999998</v>
      </c>
    </row>
    <row r="3286" spans="1:6">
      <c r="A3286" t="s">
        <v>85</v>
      </c>
      <c r="B3286" t="s">
        <v>1272</v>
      </c>
      <c r="C3286" s="1" t="s">
        <v>1276</v>
      </c>
      <c r="D3286" s="7">
        <v>2455</v>
      </c>
      <c r="E3286" t="s">
        <v>10</v>
      </c>
      <c r="F3286" s="1">
        <v>2.6760000000000002</v>
      </c>
    </row>
    <row r="3287" spans="1:6">
      <c r="A3287" t="s">
        <v>85</v>
      </c>
      <c r="B3287" t="s">
        <v>1272</v>
      </c>
      <c r="C3287" s="1" t="s">
        <v>1277</v>
      </c>
      <c r="D3287" s="7">
        <v>2395</v>
      </c>
      <c r="E3287" t="s">
        <v>10</v>
      </c>
      <c r="F3287" s="1">
        <v>2.8740000000000001</v>
      </c>
    </row>
    <row r="3288" spans="1:6">
      <c r="A3288" t="s">
        <v>85</v>
      </c>
      <c r="B3288" t="s">
        <v>1272</v>
      </c>
      <c r="C3288" s="1" t="s">
        <v>1278</v>
      </c>
      <c r="D3288" s="7">
        <v>2401</v>
      </c>
      <c r="E3288" t="s">
        <v>10</v>
      </c>
      <c r="F3288" s="9">
        <v>2.67</v>
      </c>
    </row>
    <row r="3289" spans="1:6">
      <c r="A3289" t="s">
        <v>85</v>
      </c>
      <c r="B3289" t="s">
        <v>1272</v>
      </c>
      <c r="C3289" s="1" t="s">
        <v>1279</v>
      </c>
      <c r="D3289" s="7">
        <v>2407</v>
      </c>
      <c r="E3289" t="s">
        <v>10</v>
      </c>
      <c r="F3289" s="1">
        <v>2.6789999999999998</v>
      </c>
    </row>
    <row r="3290" spans="1:6">
      <c r="A3290" t="s">
        <v>85</v>
      </c>
      <c r="B3290" t="s">
        <v>1272</v>
      </c>
      <c r="C3290" s="1" t="s">
        <v>1280</v>
      </c>
      <c r="D3290" s="7">
        <v>2413</v>
      </c>
      <c r="E3290" t="s">
        <v>10</v>
      </c>
      <c r="F3290" s="1">
        <v>2.605</v>
      </c>
    </row>
    <row r="3291" spans="1:6">
      <c r="A3291" t="s">
        <v>85</v>
      </c>
      <c r="B3291" t="s">
        <v>1272</v>
      </c>
      <c r="C3291" s="1" t="s">
        <v>1281</v>
      </c>
      <c r="D3291" s="7">
        <v>2419</v>
      </c>
      <c r="E3291" t="s">
        <v>10</v>
      </c>
      <c r="F3291" s="1">
        <v>2.6339999999999999</v>
      </c>
    </row>
    <row r="3292" spans="1:6">
      <c r="A3292" t="s">
        <v>85</v>
      </c>
      <c r="B3292" t="s">
        <v>1272</v>
      </c>
      <c r="C3292" s="1" t="s">
        <v>1282</v>
      </c>
      <c r="D3292" s="7">
        <v>2425</v>
      </c>
      <c r="E3292" t="s">
        <v>10</v>
      </c>
      <c r="F3292" s="1">
        <v>2.8730000000000002</v>
      </c>
    </row>
    <row r="3293" spans="1:6">
      <c r="A3293" t="s">
        <v>85</v>
      </c>
      <c r="B3293" t="s">
        <v>1272</v>
      </c>
      <c r="C3293" s="1" t="s">
        <v>1283</v>
      </c>
      <c r="D3293" s="7">
        <v>2431</v>
      </c>
      <c r="E3293" t="s">
        <v>10</v>
      </c>
      <c r="F3293" s="1">
        <v>2.734</v>
      </c>
    </row>
    <row r="3294" spans="1:6">
      <c r="A3294" t="s">
        <v>85</v>
      </c>
      <c r="B3294" t="s">
        <v>1272</v>
      </c>
      <c r="C3294" s="1" t="s">
        <v>1284</v>
      </c>
      <c r="D3294" s="7">
        <v>2437</v>
      </c>
      <c r="E3294" t="s">
        <v>10</v>
      </c>
      <c r="F3294" s="1">
        <v>2.7160000000000002</v>
      </c>
    </row>
    <row r="3295" spans="1:6">
      <c r="A3295" t="s">
        <v>85</v>
      </c>
      <c r="B3295" t="s">
        <v>1272</v>
      </c>
      <c r="C3295" s="1" t="s">
        <v>1285</v>
      </c>
      <c r="D3295" s="7">
        <v>2461</v>
      </c>
      <c r="E3295" t="s">
        <v>10</v>
      </c>
      <c r="F3295" s="9">
        <v>2.71</v>
      </c>
    </row>
    <row r="3296" spans="1:6">
      <c r="A3296" t="s">
        <v>85</v>
      </c>
      <c r="B3296" t="s">
        <v>1272</v>
      </c>
      <c r="C3296" s="1" t="s">
        <v>1286</v>
      </c>
      <c r="D3296" s="7">
        <v>2467</v>
      </c>
      <c r="E3296" t="s">
        <v>10</v>
      </c>
      <c r="F3296" s="1">
        <v>2.8439999999999999</v>
      </c>
    </row>
    <row r="3297" spans="1:6">
      <c r="A3297" t="s">
        <v>85</v>
      </c>
      <c r="B3297" t="s">
        <v>1272</v>
      </c>
      <c r="C3297" s="1" t="s">
        <v>1287</v>
      </c>
      <c r="D3297" s="7">
        <v>2473</v>
      </c>
      <c r="E3297" t="s">
        <v>10</v>
      </c>
      <c r="F3297" s="1">
        <v>2.8079999999999998</v>
      </c>
    </row>
    <row r="3298" spans="1:6">
      <c r="A3298" t="s">
        <v>85</v>
      </c>
      <c r="B3298" t="s">
        <v>1272</v>
      </c>
      <c r="C3298" s="1" t="s">
        <v>1288</v>
      </c>
      <c r="D3298" s="7">
        <v>2479</v>
      </c>
      <c r="E3298" t="s">
        <v>10</v>
      </c>
      <c r="F3298" s="1">
        <v>2.6349999999999998</v>
      </c>
    </row>
    <row r="3299" spans="1:6">
      <c r="A3299" t="s">
        <v>85</v>
      </c>
      <c r="B3299" t="s">
        <v>1272</v>
      </c>
      <c r="C3299" s="1" t="s">
        <v>1289</v>
      </c>
      <c r="D3299" s="7">
        <v>2485</v>
      </c>
      <c r="E3299" t="s">
        <v>10</v>
      </c>
      <c r="F3299" s="9">
        <v>2.94</v>
      </c>
    </row>
    <row r="3300" spans="1:6">
      <c r="A3300" t="s">
        <v>85</v>
      </c>
      <c r="B3300" t="s">
        <v>1272</v>
      </c>
      <c r="C3300" s="1" t="s">
        <v>1290</v>
      </c>
      <c r="D3300" s="7">
        <v>2491</v>
      </c>
      <c r="E3300" t="s">
        <v>10</v>
      </c>
      <c r="F3300" s="1">
        <v>2.8580000000000001</v>
      </c>
    </row>
    <row r="3301" spans="1:6">
      <c r="A3301" t="s">
        <v>85</v>
      </c>
      <c r="B3301" t="s">
        <v>1272</v>
      </c>
      <c r="C3301" s="1" t="s">
        <v>1291</v>
      </c>
      <c r="D3301" s="7">
        <v>2497</v>
      </c>
      <c r="E3301" t="s">
        <v>10</v>
      </c>
      <c r="F3301" s="1">
        <v>2.6360000000000001</v>
      </c>
    </row>
    <row r="3302" spans="1:6">
      <c r="A3302" t="s">
        <v>85</v>
      </c>
      <c r="B3302" t="s">
        <v>1272</v>
      </c>
      <c r="C3302" s="1" t="s">
        <v>1273</v>
      </c>
      <c r="D3302" s="7">
        <v>1723</v>
      </c>
      <c r="E3302" t="s">
        <v>11</v>
      </c>
      <c r="F3302" s="1">
        <v>5.6589999999999998</v>
      </c>
    </row>
    <row r="3303" spans="1:6">
      <c r="A3303" t="s">
        <v>85</v>
      </c>
      <c r="B3303" t="s">
        <v>1272</v>
      </c>
      <c r="C3303" s="1" t="s">
        <v>1274</v>
      </c>
      <c r="D3303" s="7">
        <v>2441</v>
      </c>
      <c r="E3303" t="s">
        <v>11</v>
      </c>
      <c r="F3303" s="1">
        <v>5.4779999999999998</v>
      </c>
    </row>
    <row r="3304" spans="1:6">
      <c r="A3304" t="s">
        <v>85</v>
      </c>
      <c r="B3304" t="s">
        <v>1272</v>
      </c>
      <c r="C3304" s="1" t="s">
        <v>1275</v>
      </c>
      <c r="D3304" s="7">
        <v>2447</v>
      </c>
      <c r="E3304" t="s">
        <v>11</v>
      </c>
      <c r="F3304" s="1">
        <v>5.5439999999999996</v>
      </c>
    </row>
    <row r="3305" spans="1:6">
      <c r="A3305" t="s">
        <v>85</v>
      </c>
      <c r="B3305" t="s">
        <v>1272</v>
      </c>
      <c r="C3305" s="1" t="s">
        <v>1276</v>
      </c>
      <c r="D3305" s="7">
        <v>2453</v>
      </c>
      <c r="E3305" t="s">
        <v>11</v>
      </c>
      <c r="F3305" s="1">
        <v>5.4729999999999999</v>
      </c>
    </row>
    <row r="3306" spans="1:6">
      <c r="A3306" t="s">
        <v>85</v>
      </c>
      <c r="B3306" t="s">
        <v>1272</v>
      </c>
      <c r="C3306" s="1" t="s">
        <v>1277</v>
      </c>
      <c r="D3306" s="7">
        <v>2393</v>
      </c>
      <c r="E3306" t="s">
        <v>11</v>
      </c>
      <c r="F3306" s="1">
        <v>5.6029999999999998</v>
      </c>
    </row>
    <row r="3307" spans="1:6">
      <c r="A3307" t="s">
        <v>85</v>
      </c>
      <c r="B3307" t="s">
        <v>1272</v>
      </c>
      <c r="C3307" s="1" t="s">
        <v>1278</v>
      </c>
      <c r="D3307" s="7">
        <v>2399</v>
      </c>
      <c r="E3307" t="s">
        <v>11</v>
      </c>
      <c r="F3307" s="1">
        <v>5.5910000000000002</v>
      </c>
    </row>
    <row r="3308" spans="1:6">
      <c r="A3308" t="s">
        <v>85</v>
      </c>
      <c r="B3308" t="s">
        <v>1272</v>
      </c>
      <c r="C3308" s="1" t="s">
        <v>1279</v>
      </c>
      <c r="D3308" s="7">
        <v>2405</v>
      </c>
      <c r="E3308" t="s">
        <v>11</v>
      </c>
      <c r="F3308" s="1">
        <v>5.5110000000000001</v>
      </c>
    </row>
    <row r="3309" spans="1:6">
      <c r="A3309" t="s">
        <v>85</v>
      </c>
      <c r="B3309" t="s">
        <v>1272</v>
      </c>
      <c r="C3309" s="1" t="s">
        <v>1280</v>
      </c>
      <c r="D3309" s="7">
        <v>2411</v>
      </c>
      <c r="E3309" t="s">
        <v>11</v>
      </c>
      <c r="F3309" s="1">
        <v>5.3520000000000003</v>
      </c>
    </row>
    <row r="3310" spans="1:6">
      <c r="A3310" t="s">
        <v>85</v>
      </c>
      <c r="B3310" t="s">
        <v>1272</v>
      </c>
      <c r="C3310" s="1" t="s">
        <v>1281</v>
      </c>
      <c r="D3310" s="7">
        <v>2417</v>
      </c>
      <c r="E3310" t="s">
        <v>11</v>
      </c>
      <c r="F3310" s="1">
        <v>5.4749999999999996</v>
      </c>
    </row>
    <row r="3311" spans="1:6">
      <c r="A3311" t="s">
        <v>85</v>
      </c>
      <c r="B3311" t="s">
        <v>1272</v>
      </c>
      <c r="C3311" s="1" t="s">
        <v>1282</v>
      </c>
      <c r="D3311" s="7">
        <v>2423</v>
      </c>
      <c r="E3311" t="s">
        <v>11</v>
      </c>
      <c r="F3311" s="1">
        <v>5.556</v>
      </c>
    </row>
    <row r="3312" spans="1:6">
      <c r="A3312" t="s">
        <v>85</v>
      </c>
      <c r="B3312" t="s">
        <v>1272</v>
      </c>
      <c r="C3312" s="1" t="s">
        <v>1283</v>
      </c>
      <c r="D3312" s="7">
        <v>2429</v>
      </c>
      <c r="E3312" t="s">
        <v>11</v>
      </c>
      <c r="F3312" s="9">
        <v>5.62</v>
      </c>
    </row>
    <row r="3313" spans="1:6">
      <c r="A3313" t="s">
        <v>85</v>
      </c>
      <c r="B3313" t="s">
        <v>1272</v>
      </c>
      <c r="C3313" s="1" t="s">
        <v>1284</v>
      </c>
      <c r="D3313" s="7">
        <v>2435</v>
      </c>
      <c r="E3313" t="s">
        <v>11</v>
      </c>
      <c r="F3313" s="1">
        <v>5.5709999999999997</v>
      </c>
    </row>
    <row r="3314" spans="1:6">
      <c r="A3314" t="s">
        <v>85</v>
      </c>
      <c r="B3314" t="s">
        <v>1272</v>
      </c>
      <c r="C3314" s="1" t="s">
        <v>1285</v>
      </c>
      <c r="D3314" s="7">
        <v>2459</v>
      </c>
      <c r="E3314" t="s">
        <v>11</v>
      </c>
      <c r="F3314" s="1">
        <v>5.5650000000000004</v>
      </c>
    </row>
    <row r="3315" spans="1:6">
      <c r="A3315" t="s">
        <v>85</v>
      </c>
      <c r="B3315" t="s">
        <v>1272</v>
      </c>
      <c r="C3315" s="1" t="s">
        <v>1286</v>
      </c>
      <c r="D3315" s="7">
        <v>2465</v>
      </c>
      <c r="E3315" t="s">
        <v>11</v>
      </c>
      <c r="F3315" s="1">
        <v>5.3680000000000003</v>
      </c>
    </row>
    <row r="3316" spans="1:6">
      <c r="A3316" t="s">
        <v>85</v>
      </c>
      <c r="B3316" t="s">
        <v>1272</v>
      </c>
      <c r="C3316" s="1" t="s">
        <v>1287</v>
      </c>
      <c r="D3316" s="7">
        <v>2471</v>
      </c>
      <c r="E3316" t="s">
        <v>11</v>
      </c>
      <c r="F3316" s="1">
        <v>5.2919999999999998</v>
      </c>
    </row>
    <row r="3317" spans="1:6">
      <c r="A3317" t="s">
        <v>85</v>
      </c>
      <c r="B3317" t="s">
        <v>1272</v>
      </c>
      <c r="C3317" s="1" t="s">
        <v>1288</v>
      </c>
      <c r="D3317" s="7">
        <v>2477</v>
      </c>
      <c r="E3317" t="s">
        <v>11</v>
      </c>
      <c r="F3317" s="1">
        <v>5.6379999999999999</v>
      </c>
    </row>
    <row r="3318" spans="1:6">
      <c r="A3318" t="s">
        <v>85</v>
      </c>
      <c r="B3318" t="s">
        <v>1272</v>
      </c>
      <c r="C3318" s="1" t="s">
        <v>1289</v>
      </c>
      <c r="D3318" s="7">
        <v>2483</v>
      </c>
      <c r="E3318" t="s">
        <v>11</v>
      </c>
      <c r="F3318" s="1">
        <v>5.6609999999999996</v>
      </c>
    </row>
    <row r="3319" spans="1:6">
      <c r="A3319" t="s">
        <v>85</v>
      </c>
      <c r="B3319" t="s">
        <v>1272</v>
      </c>
      <c r="C3319" s="1" t="s">
        <v>1290</v>
      </c>
      <c r="D3319" s="7">
        <v>2489</v>
      </c>
      <c r="E3319" t="s">
        <v>11</v>
      </c>
      <c r="F3319" s="1">
        <v>5.6840000000000002</v>
      </c>
    </row>
    <row r="3320" spans="1:6">
      <c r="A3320" t="s">
        <v>85</v>
      </c>
      <c r="B3320" t="s">
        <v>1272</v>
      </c>
      <c r="C3320" s="1" t="s">
        <v>1291</v>
      </c>
      <c r="D3320" s="7">
        <v>2495</v>
      </c>
      <c r="E3320" t="s">
        <v>11</v>
      </c>
      <c r="F3320" s="1">
        <v>5.3620000000000001</v>
      </c>
    </row>
    <row r="3321" spans="1:6">
      <c r="A3321" t="s">
        <v>85</v>
      </c>
      <c r="B3321" t="s">
        <v>1272</v>
      </c>
      <c r="C3321" s="3" t="s">
        <v>1292</v>
      </c>
      <c r="D3321" s="7">
        <v>5110</v>
      </c>
      <c r="E3321" t="s">
        <v>12</v>
      </c>
      <c r="F3321" s="10">
        <v>1.83</v>
      </c>
    </row>
    <row r="3322" spans="1:6">
      <c r="A3322" t="s">
        <v>85</v>
      </c>
      <c r="B3322" t="s">
        <v>1272</v>
      </c>
      <c r="C3322" s="3" t="s">
        <v>1293</v>
      </c>
      <c r="D3322" s="7">
        <v>5108</v>
      </c>
      <c r="E3322" t="s">
        <v>12</v>
      </c>
      <c r="F3322" s="10">
        <v>1.88</v>
      </c>
    </row>
    <row r="3323" spans="1:6">
      <c r="A3323" t="s">
        <v>85</v>
      </c>
      <c r="B3323" t="s">
        <v>1272</v>
      </c>
      <c r="C3323" s="3" t="s">
        <v>1294</v>
      </c>
      <c r="D3323" s="7">
        <v>5113</v>
      </c>
      <c r="E3323" t="s">
        <v>12</v>
      </c>
      <c r="F3323" s="10">
        <v>1.85</v>
      </c>
    </row>
    <row r="3324" spans="1:6">
      <c r="A3324" t="s">
        <v>85</v>
      </c>
      <c r="B3324" t="s">
        <v>1272</v>
      </c>
      <c r="C3324" s="3" t="s">
        <v>1295</v>
      </c>
      <c r="D3324" s="7">
        <v>5109</v>
      </c>
      <c r="E3324" t="s">
        <v>12</v>
      </c>
      <c r="F3324" s="10">
        <v>1.93</v>
      </c>
    </row>
    <row r="3325" spans="1:6">
      <c r="A3325" t="s">
        <v>85</v>
      </c>
      <c r="B3325" t="s">
        <v>1272</v>
      </c>
      <c r="C3325" s="3" t="s">
        <v>1296</v>
      </c>
      <c r="D3325" s="7">
        <v>5111</v>
      </c>
      <c r="E3325" t="s">
        <v>12</v>
      </c>
      <c r="F3325" s="10">
        <v>1.99</v>
      </c>
    </row>
    <row r="3326" spans="1:6">
      <c r="A3326" t="s">
        <v>85</v>
      </c>
      <c r="B3326" t="s">
        <v>1272</v>
      </c>
      <c r="C3326" s="3" t="s">
        <v>1297</v>
      </c>
      <c r="D3326" s="7">
        <v>5112</v>
      </c>
      <c r="E3326" t="s">
        <v>12</v>
      </c>
      <c r="F3326" s="10">
        <v>1.84</v>
      </c>
    </row>
    <row r="3327" spans="1:6">
      <c r="A3327" t="s">
        <v>85</v>
      </c>
      <c r="B3327" t="s">
        <v>1298</v>
      </c>
      <c r="C3327" s="1" t="s">
        <v>1299</v>
      </c>
      <c r="D3327" s="7">
        <v>799</v>
      </c>
      <c r="E3327" t="s">
        <v>9</v>
      </c>
      <c r="F3327" s="1">
        <v>1.224</v>
      </c>
    </row>
    <row r="3328" spans="1:6">
      <c r="A3328" t="s">
        <v>85</v>
      </c>
      <c r="B3328" t="s">
        <v>1298</v>
      </c>
      <c r="C3328" s="1" t="s">
        <v>1300</v>
      </c>
      <c r="D3328" s="7">
        <v>805</v>
      </c>
      <c r="E3328" t="s">
        <v>9</v>
      </c>
      <c r="F3328" s="1">
        <v>1.1819999999999999</v>
      </c>
    </row>
    <row r="3329" spans="1:6">
      <c r="A3329" t="s">
        <v>85</v>
      </c>
      <c r="B3329" t="s">
        <v>1298</v>
      </c>
      <c r="C3329" s="1" t="s">
        <v>1301</v>
      </c>
      <c r="D3329" s="7">
        <v>811</v>
      </c>
      <c r="E3329" t="s">
        <v>9</v>
      </c>
      <c r="F3329" s="1">
        <v>1.165</v>
      </c>
    </row>
    <row r="3330" spans="1:6">
      <c r="A3330" t="s">
        <v>85</v>
      </c>
      <c r="B3330" t="s">
        <v>1298</v>
      </c>
      <c r="C3330" s="1" t="s">
        <v>1302</v>
      </c>
      <c r="D3330" s="7">
        <v>817</v>
      </c>
      <c r="E3330" t="s">
        <v>9</v>
      </c>
      <c r="F3330" s="1">
        <v>1.2130000000000001</v>
      </c>
    </row>
    <row r="3331" spans="1:6">
      <c r="A3331" t="s">
        <v>85</v>
      </c>
      <c r="B3331" t="s">
        <v>1298</v>
      </c>
      <c r="C3331" s="1" t="s">
        <v>1303</v>
      </c>
      <c r="D3331" s="7">
        <v>824</v>
      </c>
      <c r="E3331" t="s">
        <v>9</v>
      </c>
      <c r="F3331" s="1">
        <v>1.216</v>
      </c>
    </row>
    <row r="3332" spans="1:6">
      <c r="A3332" t="s">
        <v>85</v>
      </c>
      <c r="B3332" t="s">
        <v>1298</v>
      </c>
      <c r="C3332" s="1" t="s">
        <v>1304</v>
      </c>
      <c r="D3332" s="7">
        <v>830</v>
      </c>
      <c r="E3332" t="s">
        <v>9</v>
      </c>
      <c r="F3332" s="1">
        <v>1.2629999999999999</v>
      </c>
    </row>
    <row r="3333" spans="1:6">
      <c r="A3333" t="s">
        <v>85</v>
      </c>
      <c r="B3333" t="s">
        <v>1298</v>
      </c>
      <c r="C3333" s="1" t="s">
        <v>1305</v>
      </c>
      <c r="D3333" s="7">
        <v>836</v>
      </c>
      <c r="E3333" t="s">
        <v>9</v>
      </c>
      <c r="F3333" s="1">
        <v>1.1850000000000001</v>
      </c>
    </row>
    <row r="3334" spans="1:6">
      <c r="A3334" t="s">
        <v>85</v>
      </c>
      <c r="B3334" t="s">
        <v>1298</v>
      </c>
      <c r="C3334" s="1" t="s">
        <v>1306</v>
      </c>
      <c r="D3334" s="7">
        <v>842</v>
      </c>
      <c r="E3334" t="s">
        <v>9</v>
      </c>
      <c r="F3334" s="1">
        <v>1.202</v>
      </c>
    </row>
    <row r="3335" spans="1:6">
      <c r="A3335" t="s">
        <v>85</v>
      </c>
      <c r="B3335" t="s">
        <v>1298</v>
      </c>
      <c r="C3335" s="1" t="s">
        <v>1307</v>
      </c>
      <c r="D3335" s="7">
        <v>848</v>
      </c>
      <c r="E3335" t="s">
        <v>9</v>
      </c>
      <c r="F3335" s="1">
        <v>1.258</v>
      </c>
    </row>
    <row r="3336" spans="1:6">
      <c r="A3336" t="s">
        <v>85</v>
      </c>
      <c r="B3336" t="s">
        <v>1298</v>
      </c>
      <c r="C3336" s="1" t="s">
        <v>1308</v>
      </c>
      <c r="D3336" s="7">
        <v>854</v>
      </c>
      <c r="E3336" t="s">
        <v>9</v>
      </c>
      <c r="F3336" s="1">
        <v>1.214</v>
      </c>
    </row>
    <row r="3337" spans="1:6">
      <c r="A3337" t="s">
        <v>85</v>
      </c>
      <c r="B3337" t="s">
        <v>1298</v>
      </c>
      <c r="C3337" s="1" t="s">
        <v>1299</v>
      </c>
      <c r="D3337" s="7">
        <v>800</v>
      </c>
      <c r="E3337" t="s">
        <v>10</v>
      </c>
      <c r="F3337" s="1">
        <v>1.1379999999999999</v>
      </c>
    </row>
    <row r="3338" spans="1:6">
      <c r="A3338" t="s">
        <v>85</v>
      </c>
      <c r="B3338" t="s">
        <v>1298</v>
      </c>
      <c r="C3338" s="1" t="s">
        <v>1300</v>
      </c>
      <c r="D3338" s="7">
        <v>806</v>
      </c>
      <c r="E3338" t="s">
        <v>10</v>
      </c>
      <c r="F3338" s="1">
        <v>1.2849999999999999</v>
      </c>
    </row>
    <row r="3339" spans="1:6">
      <c r="A3339" t="s">
        <v>85</v>
      </c>
      <c r="B3339" t="s">
        <v>1298</v>
      </c>
      <c r="C3339" s="1" t="s">
        <v>1301</v>
      </c>
      <c r="D3339" s="7">
        <v>812</v>
      </c>
      <c r="E3339" t="s">
        <v>10</v>
      </c>
      <c r="F3339" s="1">
        <v>1.226</v>
      </c>
    </row>
    <row r="3340" spans="1:6">
      <c r="A3340" t="s">
        <v>85</v>
      </c>
      <c r="B3340" t="s">
        <v>1298</v>
      </c>
      <c r="C3340" s="1" t="s">
        <v>1302</v>
      </c>
      <c r="D3340" s="7">
        <v>818</v>
      </c>
      <c r="E3340" t="s">
        <v>10</v>
      </c>
      <c r="F3340" s="9">
        <v>1.37</v>
      </c>
    </row>
    <row r="3341" spans="1:6">
      <c r="A3341" t="s">
        <v>85</v>
      </c>
      <c r="B3341" t="s">
        <v>1298</v>
      </c>
      <c r="C3341" s="1" t="s">
        <v>1303</v>
      </c>
      <c r="D3341" s="7">
        <v>825</v>
      </c>
      <c r="E3341" t="s">
        <v>10</v>
      </c>
      <c r="F3341" s="1">
        <v>1.1659999999999999</v>
      </c>
    </row>
    <row r="3342" spans="1:6">
      <c r="A3342" t="s">
        <v>85</v>
      </c>
      <c r="B3342" t="s">
        <v>1298</v>
      </c>
      <c r="C3342" s="1" t="s">
        <v>1304</v>
      </c>
      <c r="D3342" s="7">
        <v>831</v>
      </c>
      <c r="E3342" t="s">
        <v>10</v>
      </c>
      <c r="F3342" s="9">
        <v>1.45</v>
      </c>
    </row>
    <row r="3343" spans="1:6">
      <c r="A3343" t="s">
        <v>85</v>
      </c>
      <c r="B3343" t="s">
        <v>1298</v>
      </c>
      <c r="C3343" s="1" t="s">
        <v>1305</v>
      </c>
      <c r="D3343" s="7">
        <v>837</v>
      </c>
      <c r="E3343" t="s">
        <v>10</v>
      </c>
      <c r="F3343" s="9">
        <v>1.37</v>
      </c>
    </row>
    <row r="3344" spans="1:6">
      <c r="A3344" t="s">
        <v>85</v>
      </c>
      <c r="B3344" t="s">
        <v>1298</v>
      </c>
      <c r="C3344" s="1" t="s">
        <v>1306</v>
      </c>
      <c r="D3344" s="7">
        <v>843</v>
      </c>
      <c r="E3344" t="s">
        <v>10</v>
      </c>
      <c r="F3344" s="1">
        <v>1.3759999999999999</v>
      </c>
    </row>
    <row r="3345" spans="1:6">
      <c r="A3345" t="s">
        <v>85</v>
      </c>
      <c r="B3345" t="s">
        <v>1298</v>
      </c>
      <c r="C3345" s="1" t="s">
        <v>1307</v>
      </c>
      <c r="D3345" s="7">
        <v>849</v>
      </c>
      <c r="E3345" t="s">
        <v>10</v>
      </c>
      <c r="F3345" s="1">
        <v>1.3180000000000001</v>
      </c>
    </row>
    <row r="3346" spans="1:6">
      <c r="A3346" t="s">
        <v>85</v>
      </c>
      <c r="B3346" t="s">
        <v>1298</v>
      </c>
      <c r="C3346" s="1" t="s">
        <v>1308</v>
      </c>
      <c r="D3346" s="7">
        <v>855</v>
      </c>
      <c r="E3346" t="s">
        <v>10</v>
      </c>
      <c r="F3346" s="1">
        <v>1.306</v>
      </c>
    </row>
    <row r="3347" spans="1:6">
      <c r="A3347" t="s">
        <v>85</v>
      </c>
      <c r="B3347" t="s">
        <v>1298</v>
      </c>
      <c r="C3347" s="1" t="s">
        <v>1299</v>
      </c>
      <c r="D3347" s="7">
        <v>798</v>
      </c>
      <c r="E3347" t="s">
        <v>11</v>
      </c>
      <c r="F3347" s="1">
        <v>4.1440000000000001</v>
      </c>
    </row>
    <row r="3348" spans="1:6">
      <c r="A3348" t="s">
        <v>85</v>
      </c>
      <c r="B3348" t="s">
        <v>1298</v>
      </c>
      <c r="C3348" s="1" t="s">
        <v>1300</v>
      </c>
      <c r="D3348" s="7">
        <v>804</v>
      </c>
      <c r="E3348" t="s">
        <v>11</v>
      </c>
      <c r="F3348" s="1">
        <v>4.218</v>
      </c>
    </row>
    <row r="3349" spans="1:6">
      <c r="A3349" t="s">
        <v>85</v>
      </c>
      <c r="B3349" t="s">
        <v>1298</v>
      </c>
      <c r="C3349" s="1" t="s">
        <v>1301</v>
      </c>
      <c r="D3349" s="7">
        <v>810</v>
      </c>
      <c r="E3349" t="s">
        <v>11</v>
      </c>
      <c r="F3349" s="1">
        <v>4.266</v>
      </c>
    </row>
    <row r="3350" spans="1:6">
      <c r="A3350" t="s">
        <v>85</v>
      </c>
      <c r="B3350" t="s">
        <v>1298</v>
      </c>
      <c r="C3350" s="1" t="s">
        <v>1302</v>
      </c>
      <c r="D3350" s="7">
        <v>816</v>
      </c>
      <c r="E3350" t="s">
        <v>11</v>
      </c>
      <c r="F3350" s="1">
        <v>4.2290000000000001</v>
      </c>
    </row>
    <row r="3351" spans="1:6">
      <c r="A3351" t="s">
        <v>85</v>
      </c>
      <c r="B3351" t="s">
        <v>1298</v>
      </c>
      <c r="C3351" s="1" t="s">
        <v>1303</v>
      </c>
      <c r="D3351" s="7">
        <v>823</v>
      </c>
      <c r="E3351" t="s">
        <v>11</v>
      </c>
      <c r="F3351" s="1">
        <v>4.1559999999999997</v>
      </c>
    </row>
    <row r="3352" spans="1:6">
      <c r="A3352" t="s">
        <v>85</v>
      </c>
      <c r="B3352" t="s">
        <v>1298</v>
      </c>
      <c r="C3352" s="1" t="s">
        <v>1304</v>
      </c>
      <c r="D3352" s="7">
        <v>829</v>
      </c>
      <c r="E3352" t="s">
        <v>11</v>
      </c>
      <c r="F3352" s="1">
        <v>4.109</v>
      </c>
    </row>
    <row r="3353" spans="1:6">
      <c r="A3353" t="s">
        <v>85</v>
      </c>
      <c r="B3353" t="s">
        <v>1298</v>
      </c>
      <c r="C3353" s="1" t="s">
        <v>1305</v>
      </c>
      <c r="D3353" s="7">
        <v>835</v>
      </c>
      <c r="E3353" t="s">
        <v>11</v>
      </c>
      <c r="F3353" s="1">
        <v>4.274</v>
      </c>
    </row>
    <row r="3354" spans="1:6">
      <c r="A3354" t="s">
        <v>85</v>
      </c>
      <c r="B3354" t="s">
        <v>1298</v>
      </c>
      <c r="C3354" s="1" t="s">
        <v>1306</v>
      </c>
      <c r="D3354" s="7">
        <v>841</v>
      </c>
      <c r="E3354" t="s">
        <v>11</v>
      </c>
      <c r="F3354" s="1">
        <v>4.2569999999999997</v>
      </c>
    </row>
    <row r="3355" spans="1:6">
      <c r="A3355" t="s">
        <v>85</v>
      </c>
      <c r="B3355" t="s">
        <v>1298</v>
      </c>
      <c r="C3355" s="1" t="s">
        <v>1307</v>
      </c>
      <c r="D3355" s="7">
        <v>847</v>
      </c>
      <c r="E3355" t="s">
        <v>11</v>
      </c>
      <c r="F3355" s="1">
        <v>4.2069999999999999</v>
      </c>
    </row>
    <row r="3356" spans="1:6">
      <c r="A3356" t="s">
        <v>85</v>
      </c>
      <c r="B3356" t="s">
        <v>1298</v>
      </c>
      <c r="C3356" s="1" t="s">
        <v>1308</v>
      </c>
      <c r="D3356" s="7">
        <v>853</v>
      </c>
      <c r="E3356" t="s">
        <v>11</v>
      </c>
      <c r="F3356" s="1">
        <v>4.0369999999999999</v>
      </c>
    </row>
    <row r="3357" spans="1:6">
      <c r="A3357" t="s">
        <v>85</v>
      </c>
      <c r="B3357" t="s">
        <v>1298</v>
      </c>
      <c r="C3357" s="3" t="s">
        <v>1309</v>
      </c>
      <c r="D3357" s="7">
        <v>5133</v>
      </c>
      <c r="E3357" t="s">
        <v>12</v>
      </c>
      <c r="F3357" s="10">
        <v>1.56</v>
      </c>
    </row>
    <row r="3358" spans="1:6">
      <c r="A3358" t="s">
        <v>85</v>
      </c>
      <c r="B3358" t="s">
        <v>1298</v>
      </c>
      <c r="C3358" s="3" t="s">
        <v>1310</v>
      </c>
      <c r="D3358" s="7">
        <v>5134</v>
      </c>
      <c r="E3358" t="s">
        <v>12</v>
      </c>
      <c r="F3358" s="10">
        <v>1.43</v>
      </c>
    </row>
    <row r="3359" spans="1:6">
      <c r="A3359" t="s">
        <v>85</v>
      </c>
      <c r="B3359" t="s">
        <v>1298</v>
      </c>
      <c r="C3359" s="3" t="s">
        <v>1198</v>
      </c>
      <c r="D3359" s="7">
        <v>5132</v>
      </c>
      <c r="E3359" t="s">
        <v>12</v>
      </c>
      <c r="F3359" s="10">
        <v>1.46</v>
      </c>
    </row>
    <row r="3360" spans="1:6">
      <c r="A3360" t="s">
        <v>85</v>
      </c>
      <c r="B3360" t="s">
        <v>1311</v>
      </c>
      <c r="C3360" s="1" t="s">
        <v>1312</v>
      </c>
      <c r="D3360" s="7">
        <v>908</v>
      </c>
      <c r="E3360" t="s">
        <v>9</v>
      </c>
      <c r="F3360" s="9">
        <v>1.27</v>
      </c>
    </row>
    <row r="3361" spans="1:6">
      <c r="A3361" t="s">
        <v>85</v>
      </c>
      <c r="B3361" t="s">
        <v>1311</v>
      </c>
      <c r="C3361" s="1" t="s">
        <v>1313</v>
      </c>
      <c r="D3361" s="7">
        <v>914</v>
      </c>
      <c r="E3361" t="s">
        <v>9</v>
      </c>
      <c r="F3361" s="1">
        <v>1.276</v>
      </c>
    </row>
    <row r="3362" spans="1:6">
      <c r="A3362" t="s">
        <v>85</v>
      </c>
      <c r="B3362" t="s">
        <v>1311</v>
      </c>
      <c r="C3362" s="1" t="s">
        <v>1312</v>
      </c>
      <c r="D3362" s="7">
        <v>909</v>
      </c>
      <c r="E3362" t="s">
        <v>10</v>
      </c>
      <c r="F3362" s="1">
        <v>1.3919999999999999</v>
      </c>
    </row>
    <row r="3363" spans="1:6">
      <c r="A3363" t="s">
        <v>85</v>
      </c>
      <c r="B3363" t="s">
        <v>1311</v>
      </c>
      <c r="C3363" s="1" t="s">
        <v>1313</v>
      </c>
      <c r="D3363" s="7">
        <v>915</v>
      </c>
      <c r="E3363" t="s">
        <v>10</v>
      </c>
      <c r="F3363" s="1">
        <v>1.431</v>
      </c>
    </row>
    <row r="3364" spans="1:6">
      <c r="A3364" t="s">
        <v>85</v>
      </c>
      <c r="B3364" t="s">
        <v>1311</v>
      </c>
      <c r="C3364" s="1" t="s">
        <v>1312</v>
      </c>
      <c r="D3364" s="7">
        <v>907</v>
      </c>
      <c r="E3364" t="s">
        <v>11</v>
      </c>
      <c r="F3364" s="9">
        <v>4.92</v>
      </c>
    </row>
    <row r="3365" spans="1:6">
      <c r="A3365" t="s">
        <v>85</v>
      </c>
      <c r="B3365" t="s">
        <v>1311</v>
      </c>
      <c r="C3365" s="1" t="s">
        <v>1313</v>
      </c>
      <c r="D3365" s="7">
        <v>913</v>
      </c>
      <c r="E3365" t="s">
        <v>11</v>
      </c>
      <c r="F3365" s="1">
        <v>5.0910000000000002</v>
      </c>
    </row>
    <row r="3366" spans="1:6">
      <c r="A3366" t="s">
        <v>85</v>
      </c>
      <c r="B3366" s="2" t="s">
        <v>1311</v>
      </c>
      <c r="C3366" s="3" t="s">
        <v>1314</v>
      </c>
      <c r="D3366" s="7">
        <v>4929</v>
      </c>
      <c r="E3366" t="s">
        <v>12</v>
      </c>
      <c r="F3366" s="10">
        <v>1.77</v>
      </c>
    </row>
    <row r="3367" spans="1:6">
      <c r="A3367" t="s">
        <v>85</v>
      </c>
      <c r="B3367" s="2" t="s">
        <v>1311</v>
      </c>
      <c r="C3367" s="3" t="s">
        <v>1315</v>
      </c>
      <c r="D3367" s="7">
        <v>4930</v>
      </c>
      <c r="E3367" t="s">
        <v>12</v>
      </c>
      <c r="F3367" s="10">
        <v>1.71</v>
      </c>
    </row>
    <row r="3368" spans="1:6">
      <c r="A3368" t="s">
        <v>18</v>
      </c>
      <c r="B3368" s="2" t="s">
        <v>1316</v>
      </c>
      <c r="C3368" s="3" t="s">
        <v>1317</v>
      </c>
      <c r="D3368" s="7">
        <v>4615</v>
      </c>
      <c r="E3368" t="s">
        <v>9</v>
      </c>
      <c r="F3368" s="10">
        <v>1.6</v>
      </c>
    </row>
    <row r="3369" spans="1:6">
      <c r="A3369" t="s">
        <v>18</v>
      </c>
      <c r="B3369" s="2" t="s">
        <v>1316</v>
      </c>
      <c r="C3369" s="3" t="s">
        <v>1317</v>
      </c>
      <c r="D3369" s="7">
        <v>4616</v>
      </c>
      <c r="E3369" t="s">
        <v>10</v>
      </c>
      <c r="F3369" s="10">
        <f>1.71+2.67</f>
        <v>4.38</v>
      </c>
    </row>
    <row r="3370" spans="1:6">
      <c r="A3370" t="s">
        <v>18</v>
      </c>
      <c r="B3370" s="2" t="s">
        <v>1316</v>
      </c>
      <c r="C3370" s="3" t="s">
        <v>1317</v>
      </c>
      <c r="D3370" s="7">
        <v>4613</v>
      </c>
      <c r="E3370" t="s">
        <v>11</v>
      </c>
      <c r="F3370" s="10">
        <v>6.34</v>
      </c>
    </row>
    <row r="3371" spans="1:6">
      <c r="A3371" t="s">
        <v>18</v>
      </c>
      <c r="B3371" s="2" t="s">
        <v>1316</v>
      </c>
      <c r="C3371" s="3" t="s">
        <v>1317</v>
      </c>
      <c r="D3371" s="7">
        <v>4614</v>
      </c>
      <c r="E3371" t="s">
        <v>12</v>
      </c>
      <c r="F3371" s="10">
        <v>2.25</v>
      </c>
    </row>
    <row r="3372" spans="1:6">
      <c r="A3372" t="s">
        <v>85</v>
      </c>
      <c r="B3372" t="s">
        <v>1318</v>
      </c>
      <c r="C3372" s="1" t="s">
        <v>1319</v>
      </c>
      <c r="D3372" s="7">
        <v>938</v>
      </c>
      <c r="E3372" t="s">
        <v>9</v>
      </c>
      <c r="F3372" s="1">
        <v>1.3160000000000001</v>
      </c>
    </row>
    <row r="3373" spans="1:6">
      <c r="A3373" t="s">
        <v>85</v>
      </c>
      <c r="B3373" t="s">
        <v>1318</v>
      </c>
      <c r="C3373" s="1" t="s">
        <v>1320</v>
      </c>
      <c r="D3373" s="7">
        <v>944</v>
      </c>
      <c r="E3373" t="s">
        <v>9</v>
      </c>
      <c r="F3373" s="1">
        <v>1.335</v>
      </c>
    </row>
    <row r="3374" spans="1:6">
      <c r="A3374" t="s">
        <v>85</v>
      </c>
      <c r="B3374" t="s">
        <v>1318</v>
      </c>
      <c r="C3374" s="1" t="s">
        <v>1321</v>
      </c>
      <c r="D3374" s="7">
        <v>950</v>
      </c>
      <c r="E3374" t="s">
        <v>9</v>
      </c>
      <c r="F3374" s="1">
        <v>1.2969999999999999</v>
      </c>
    </row>
    <row r="3375" spans="1:6">
      <c r="A3375" t="s">
        <v>85</v>
      </c>
      <c r="B3375" t="s">
        <v>1318</v>
      </c>
      <c r="C3375" s="1" t="s">
        <v>1322</v>
      </c>
      <c r="D3375" s="7">
        <v>956</v>
      </c>
      <c r="E3375" t="s">
        <v>9</v>
      </c>
      <c r="F3375" s="1">
        <v>1.337</v>
      </c>
    </row>
    <row r="3376" spans="1:6">
      <c r="A3376" t="s">
        <v>85</v>
      </c>
      <c r="B3376" t="s">
        <v>1318</v>
      </c>
      <c r="C3376" s="1" t="s">
        <v>1323</v>
      </c>
      <c r="D3376" s="7">
        <v>1490</v>
      </c>
      <c r="E3376" t="s">
        <v>9</v>
      </c>
      <c r="F3376" s="1">
        <v>1.268</v>
      </c>
    </row>
    <row r="3377" spans="1:6">
      <c r="A3377" t="s">
        <v>85</v>
      </c>
      <c r="B3377" t="s">
        <v>1318</v>
      </c>
      <c r="C3377" s="1" t="s">
        <v>1324</v>
      </c>
      <c r="D3377" s="7">
        <v>1496</v>
      </c>
      <c r="E3377" t="s">
        <v>9</v>
      </c>
      <c r="F3377" s="1">
        <v>1.2509999999999999</v>
      </c>
    </row>
    <row r="3378" spans="1:6">
      <c r="A3378" t="s">
        <v>85</v>
      </c>
      <c r="B3378" t="s">
        <v>1318</v>
      </c>
      <c r="C3378" s="1" t="s">
        <v>1325</v>
      </c>
      <c r="D3378" s="7">
        <v>1502</v>
      </c>
      <c r="E3378" t="s">
        <v>9</v>
      </c>
      <c r="F3378" s="1">
        <v>1.2330000000000001</v>
      </c>
    </row>
    <row r="3379" spans="1:6">
      <c r="A3379" t="s">
        <v>85</v>
      </c>
      <c r="B3379" t="s">
        <v>1318</v>
      </c>
      <c r="C3379" s="1" t="s">
        <v>1326</v>
      </c>
      <c r="D3379" s="7">
        <v>1508</v>
      </c>
      <c r="E3379" t="s">
        <v>9</v>
      </c>
      <c r="F3379" s="1">
        <v>1.2969999999999999</v>
      </c>
    </row>
    <row r="3380" spans="1:6">
      <c r="A3380" t="s">
        <v>85</v>
      </c>
      <c r="B3380" t="s">
        <v>1318</v>
      </c>
      <c r="C3380" s="1" t="s">
        <v>1327</v>
      </c>
      <c r="D3380" s="7">
        <v>1514</v>
      </c>
      <c r="E3380" t="s">
        <v>9</v>
      </c>
      <c r="F3380" s="9">
        <v>1.3</v>
      </c>
    </row>
    <row r="3381" spans="1:6">
      <c r="A3381" t="s">
        <v>85</v>
      </c>
      <c r="B3381" t="s">
        <v>1318</v>
      </c>
      <c r="C3381" s="1" t="s">
        <v>1328</v>
      </c>
      <c r="D3381" s="7">
        <v>1520</v>
      </c>
      <c r="E3381" t="s">
        <v>9</v>
      </c>
      <c r="F3381" s="1">
        <v>1.363</v>
      </c>
    </row>
    <row r="3382" spans="1:6">
      <c r="A3382" t="s">
        <v>85</v>
      </c>
      <c r="B3382" t="s">
        <v>1318</v>
      </c>
      <c r="C3382" s="1" t="s">
        <v>1319</v>
      </c>
      <c r="D3382" s="7">
        <v>939</v>
      </c>
      <c r="E3382" t="s">
        <v>10</v>
      </c>
      <c r="F3382" s="1">
        <v>1.554</v>
      </c>
    </row>
    <row r="3383" spans="1:6">
      <c r="A3383" t="s">
        <v>85</v>
      </c>
      <c r="B3383" t="s">
        <v>1318</v>
      </c>
      <c r="C3383" s="1" t="s">
        <v>1320</v>
      </c>
      <c r="D3383" s="7">
        <v>945</v>
      </c>
      <c r="E3383" t="s">
        <v>10</v>
      </c>
      <c r="F3383" s="1">
        <v>1.264</v>
      </c>
    </row>
    <row r="3384" spans="1:6">
      <c r="A3384" t="s">
        <v>85</v>
      </c>
      <c r="B3384" t="s">
        <v>1318</v>
      </c>
      <c r="C3384" s="1" t="s">
        <v>1321</v>
      </c>
      <c r="D3384" s="7">
        <v>951</v>
      </c>
      <c r="E3384" t="s">
        <v>10</v>
      </c>
      <c r="F3384" s="1">
        <v>1.4610000000000001</v>
      </c>
    </row>
    <row r="3385" spans="1:6">
      <c r="A3385" t="s">
        <v>85</v>
      </c>
      <c r="B3385" t="s">
        <v>1318</v>
      </c>
      <c r="C3385" s="1" t="s">
        <v>1322</v>
      </c>
      <c r="D3385" s="7">
        <v>957</v>
      </c>
      <c r="E3385" t="s">
        <v>10</v>
      </c>
      <c r="F3385" s="1">
        <v>1.548</v>
      </c>
    </row>
    <row r="3386" spans="1:6">
      <c r="A3386" t="s">
        <v>85</v>
      </c>
      <c r="B3386" t="s">
        <v>1318</v>
      </c>
      <c r="C3386" s="1" t="s">
        <v>1323</v>
      </c>
      <c r="D3386" s="7">
        <v>1491</v>
      </c>
      <c r="E3386" t="s">
        <v>10</v>
      </c>
      <c r="F3386" s="1">
        <v>1.446</v>
      </c>
    </row>
    <row r="3387" spans="1:6">
      <c r="A3387" t="s">
        <v>85</v>
      </c>
      <c r="B3387" t="s">
        <v>1318</v>
      </c>
      <c r="C3387" s="1" t="s">
        <v>1324</v>
      </c>
      <c r="D3387" s="7">
        <v>1497</v>
      </c>
      <c r="E3387" t="s">
        <v>10</v>
      </c>
      <c r="F3387" s="9">
        <v>1.47</v>
      </c>
    </row>
    <row r="3388" spans="1:6">
      <c r="A3388" t="s">
        <v>85</v>
      </c>
      <c r="B3388" t="s">
        <v>1318</v>
      </c>
      <c r="C3388" s="1" t="s">
        <v>1325</v>
      </c>
      <c r="D3388" s="7">
        <v>1503</v>
      </c>
      <c r="E3388" t="s">
        <v>10</v>
      </c>
      <c r="F3388" s="1">
        <v>1.472</v>
      </c>
    </row>
    <row r="3389" spans="1:6">
      <c r="A3389" t="s">
        <v>85</v>
      </c>
      <c r="B3389" t="s">
        <v>1318</v>
      </c>
      <c r="C3389" s="1" t="s">
        <v>1326</v>
      </c>
      <c r="D3389" s="7">
        <v>1509</v>
      </c>
      <c r="E3389" t="s">
        <v>10</v>
      </c>
      <c r="F3389" s="1">
        <v>1.5509999999999999</v>
      </c>
    </row>
    <row r="3390" spans="1:6">
      <c r="A3390" t="s">
        <v>85</v>
      </c>
      <c r="B3390" t="s">
        <v>1318</v>
      </c>
      <c r="C3390" s="1" t="s">
        <v>1327</v>
      </c>
      <c r="D3390" s="7">
        <v>1515</v>
      </c>
      <c r="E3390" t="s">
        <v>10</v>
      </c>
      <c r="F3390" s="1">
        <v>1.409</v>
      </c>
    </row>
    <row r="3391" spans="1:6">
      <c r="A3391" t="s">
        <v>85</v>
      </c>
      <c r="B3391" t="s">
        <v>1318</v>
      </c>
      <c r="C3391" s="1" t="s">
        <v>1328</v>
      </c>
      <c r="D3391" s="7">
        <v>1521</v>
      </c>
      <c r="E3391" t="s">
        <v>10</v>
      </c>
      <c r="F3391" s="1">
        <v>1.6040000000000001</v>
      </c>
    </row>
    <row r="3392" spans="1:6">
      <c r="A3392" t="s">
        <v>85</v>
      </c>
      <c r="B3392" t="s">
        <v>1318</v>
      </c>
      <c r="C3392" s="1" t="s">
        <v>1319</v>
      </c>
      <c r="D3392" s="7">
        <v>937</v>
      </c>
      <c r="E3392" t="s">
        <v>11</v>
      </c>
      <c r="F3392" s="1">
        <v>5.9260000000000002</v>
      </c>
    </row>
    <row r="3393" spans="1:6">
      <c r="A3393" t="s">
        <v>85</v>
      </c>
      <c r="B3393" t="s">
        <v>1318</v>
      </c>
      <c r="C3393" s="1" t="s">
        <v>1320</v>
      </c>
      <c r="D3393" s="7">
        <v>943</v>
      </c>
      <c r="E3393" t="s">
        <v>11</v>
      </c>
      <c r="F3393" s="1">
        <v>5.3840000000000003</v>
      </c>
    </row>
    <row r="3394" spans="1:6">
      <c r="A3394" t="s">
        <v>85</v>
      </c>
      <c r="B3394" t="s">
        <v>1318</v>
      </c>
      <c r="C3394" s="1" t="s">
        <v>1321</v>
      </c>
      <c r="D3394" s="7">
        <v>949</v>
      </c>
      <c r="E3394" t="s">
        <v>11</v>
      </c>
      <c r="F3394" s="1">
        <v>5.7969999999999997</v>
      </c>
    </row>
    <row r="3395" spans="1:6">
      <c r="A3395" t="s">
        <v>85</v>
      </c>
      <c r="B3395" t="s">
        <v>1318</v>
      </c>
      <c r="C3395" s="1" t="s">
        <v>1322</v>
      </c>
      <c r="D3395" s="7">
        <v>955</v>
      </c>
      <c r="E3395" t="s">
        <v>11</v>
      </c>
      <c r="F3395" s="1">
        <v>5.9470000000000001</v>
      </c>
    </row>
    <row r="3396" spans="1:6">
      <c r="A3396" t="s">
        <v>85</v>
      </c>
      <c r="B3396" t="s">
        <v>1318</v>
      </c>
      <c r="C3396" s="1" t="s">
        <v>1323</v>
      </c>
      <c r="D3396" s="7">
        <v>1489</v>
      </c>
      <c r="E3396" t="s">
        <v>11</v>
      </c>
      <c r="F3396" s="1">
        <v>5.6219999999999999</v>
      </c>
    </row>
    <row r="3397" spans="1:6">
      <c r="A3397" t="s">
        <v>85</v>
      </c>
      <c r="B3397" t="s">
        <v>1318</v>
      </c>
      <c r="C3397" s="1" t="s">
        <v>1324</v>
      </c>
      <c r="D3397" s="7">
        <v>1495</v>
      </c>
      <c r="E3397" t="s">
        <v>11</v>
      </c>
      <c r="F3397" s="1">
        <v>5.577</v>
      </c>
    </row>
    <row r="3398" spans="1:6">
      <c r="A3398" t="s">
        <v>85</v>
      </c>
      <c r="B3398" t="s">
        <v>1318</v>
      </c>
      <c r="C3398" s="1" t="s">
        <v>1325</v>
      </c>
      <c r="D3398" s="7">
        <v>1501</v>
      </c>
      <c r="E3398" t="s">
        <v>11</v>
      </c>
      <c r="F3398" s="9">
        <v>5.57</v>
      </c>
    </row>
    <row r="3399" spans="1:6">
      <c r="A3399" t="s">
        <v>85</v>
      </c>
      <c r="B3399" t="s">
        <v>1318</v>
      </c>
      <c r="C3399" s="1" t="s">
        <v>1326</v>
      </c>
      <c r="D3399" s="7">
        <v>1507</v>
      </c>
      <c r="E3399" t="s">
        <v>11</v>
      </c>
      <c r="F3399" s="1">
        <v>5.968</v>
      </c>
    </row>
    <row r="3400" spans="1:6">
      <c r="A3400" t="s">
        <v>85</v>
      </c>
      <c r="B3400" t="s">
        <v>1318</v>
      </c>
      <c r="C3400" s="1" t="s">
        <v>1327</v>
      </c>
      <c r="D3400" s="7">
        <v>1513</v>
      </c>
      <c r="E3400" t="s">
        <v>11</v>
      </c>
      <c r="F3400" s="1">
        <v>5.7060000000000004</v>
      </c>
    </row>
    <row r="3401" spans="1:6">
      <c r="A3401" t="s">
        <v>85</v>
      </c>
      <c r="B3401" t="s">
        <v>1318</v>
      </c>
      <c r="C3401" s="1" t="s">
        <v>1328</v>
      </c>
      <c r="D3401" s="7">
        <v>1519</v>
      </c>
      <c r="E3401" t="s">
        <v>11</v>
      </c>
      <c r="F3401" s="1">
        <v>5.9530000000000003</v>
      </c>
    </row>
    <row r="3402" spans="1:6">
      <c r="A3402" t="s">
        <v>85</v>
      </c>
      <c r="B3402" t="s">
        <v>1318</v>
      </c>
      <c r="C3402" s="3" t="s">
        <v>1329</v>
      </c>
      <c r="D3402" s="7">
        <v>5125</v>
      </c>
      <c r="E3402" t="s">
        <v>12</v>
      </c>
      <c r="F3402" s="10">
        <v>1.99</v>
      </c>
    </row>
    <row r="3403" spans="1:6">
      <c r="A3403" t="s">
        <v>85</v>
      </c>
      <c r="B3403" t="s">
        <v>1318</v>
      </c>
      <c r="C3403" s="3" t="s">
        <v>1330</v>
      </c>
      <c r="D3403" s="7">
        <v>5124</v>
      </c>
      <c r="E3403" t="s">
        <v>12</v>
      </c>
      <c r="F3403" s="10">
        <v>1.91</v>
      </c>
    </row>
    <row r="3404" spans="1:6">
      <c r="A3404" t="s">
        <v>85</v>
      </c>
      <c r="B3404" t="s">
        <v>1318</v>
      </c>
      <c r="C3404" s="3" t="s">
        <v>1331</v>
      </c>
      <c r="D3404" s="7">
        <v>5123</v>
      </c>
      <c r="E3404" t="s">
        <v>12</v>
      </c>
      <c r="F3404" s="10">
        <v>1.84</v>
      </c>
    </row>
    <row r="3405" spans="1:6">
      <c r="A3405" t="s">
        <v>85</v>
      </c>
      <c r="B3405" t="s">
        <v>1332</v>
      </c>
      <c r="C3405" s="1" t="s">
        <v>1333</v>
      </c>
      <c r="D3405" s="7">
        <v>1526</v>
      </c>
      <c r="E3405" t="s">
        <v>9</v>
      </c>
      <c r="F3405" s="1">
        <v>1.123</v>
      </c>
    </row>
    <row r="3406" spans="1:6">
      <c r="A3406" t="s">
        <v>85</v>
      </c>
      <c r="B3406" t="s">
        <v>1332</v>
      </c>
      <c r="C3406" s="1" t="s">
        <v>1334</v>
      </c>
      <c r="D3406" s="7">
        <v>1532</v>
      </c>
      <c r="E3406" t="s">
        <v>9</v>
      </c>
      <c r="F3406" s="1">
        <v>1.173</v>
      </c>
    </row>
    <row r="3407" spans="1:6">
      <c r="A3407" t="s">
        <v>85</v>
      </c>
      <c r="B3407" t="s">
        <v>1332</v>
      </c>
      <c r="C3407" s="1" t="s">
        <v>1335</v>
      </c>
      <c r="D3407" s="7">
        <v>1538</v>
      </c>
      <c r="E3407" t="s">
        <v>9</v>
      </c>
      <c r="F3407" s="1">
        <v>1.198</v>
      </c>
    </row>
    <row r="3408" spans="1:6">
      <c r="A3408" t="s">
        <v>85</v>
      </c>
      <c r="B3408" t="s">
        <v>1332</v>
      </c>
      <c r="C3408" s="1" t="s">
        <v>1336</v>
      </c>
      <c r="D3408" s="7">
        <v>1544</v>
      </c>
      <c r="E3408" t="s">
        <v>9</v>
      </c>
      <c r="F3408" s="1">
        <v>1.157</v>
      </c>
    </row>
    <row r="3409" spans="1:6">
      <c r="A3409" t="s">
        <v>85</v>
      </c>
      <c r="B3409" t="s">
        <v>1332</v>
      </c>
      <c r="C3409" s="1" t="s">
        <v>1337</v>
      </c>
      <c r="D3409" s="7">
        <v>1550</v>
      </c>
      <c r="E3409" t="s">
        <v>9</v>
      </c>
      <c r="F3409" s="9">
        <v>1.17</v>
      </c>
    </row>
    <row r="3410" spans="1:6">
      <c r="A3410" t="s">
        <v>85</v>
      </c>
      <c r="B3410" t="s">
        <v>1332</v>
      </c>
      <c r="C3410" s="1" t="s">
        <v>1338</v>
      </c>
      <c r="D3410" s="7">
        <v>1556</v>
      </c>
      <c r="E3410" t="s">
        <v>9</v>
      </c>
      <c r="F3410" s="9">
        <v>1.1499999999999999</v>
      </c>
    </row>
    <row r="3411" spans="1:6">
      <c r="A3411" t="s">
        <v>85</v>
      </c>
      <c r="B3411" t="s">
        <v>1332</v>
      </c>
      <c r="C3411" s="1" t="s">
        <v>1339</v>
      </c>
      <c r="D3411" s="7">
        <v>1610</v>
      </c>
      <c r="E3411" t="s">
        <v>9</v>
      </c>
      <c r="F3411" s="1">
        <v>1.127</v>
      </c>
    </row>
    <row r="3412" spans="1:6">
      <c r="A3412" t="s">
        <v>85</v>
      </c>
      <c r="B3412" t="s">
        <v>1332</v>
      </c>
      <c r="C3412" s="1" t="s">
        <v>1340</v>
      </c>
      <c r="D3412" s="7">
        <v>1616</v>
      </c>
      <c r="E3412" t="s">
        <v>9</v>
      </c>
      <c r="F3412" s="1">
        <v>1.1639999999999999</v>
      </c>
    </row>
    <row r="3413" spans="1:6">
      <c r="A3413" t="s">
        <v>85</v>
      </c>
      <c r="B3413" t="s">
        <v>1332</v>
      </c>
      <c r="C3413" s="1" t="s">
        <v>1341</v>
      </c>
      <c r="D3413" s="7">
        <v>1622</v>
      </c>
      <c r="E3413" t="s">
        <v>9</v>
      </c>
      <c r="F3413" s="1">
        <v>1.1619999999999999</v>
      </c>
    </row>
    <row r="3414" spans="1:6">
      <c r="A3414" t="s">
        <v>85</v>
      </c>
      <c r="B3414" t="s">
        <v>1332</v>
      </c>
      <c r="C3414" s="1" t="s">
        <v>1342</v>
      </c>
      <c r="D3414" s="7">
        <v>1628</v>
      </c>
      <c r="E3414" t="s">
        <v>9</v>
      </c>
      <c r="F3414" s="1">
        <v>1.204</v>
      </c>
    </row>
    <row r="3415" spans="1:6">
      <c r="A3415" t="s">
        <v>85</v>
      </c>
      <c r="B3415" t="s">
        <v>1332</v>
      </c>
      <c r="C3415" s="1" t="s">
        <v>1333</v>
      </c>
      <c r="D3415" s="7">
        <v>1527</v>
      </c>
      <c r="E3415" t="s">
        <v>10</v>
      </c>
      <c r="F3415" s="9">
        <v>1.24</v>
      </c>
    </row>
    <row r="3416" spans="1:6">
      <c r="A3416" t="s">
        <v>85</v>
      </c>
      <c r="B3416" t="s">
        <v>1332</v>
      </c>
      <c r="C3416" s="1" t="s">
        <v>1334</v>
      </c>
      <c r="D3416" s="7">
        <v>1533</v>
      </c>
      <c r="E3416" t="s">
        <v>10</v>
      </c>
      <c r="F3416" s="1">
        <v>1.2909999999999999</v>
      </c>
    </row>
    <row r="3417" spans="1:6">
      <c r="A3417" t="s">
        <v>85</v>
      </c>
      <c r="B3417" t="s">
        <v>1332</v>
      </c>
      <c r="C3417" s="1" t="s">
        <v>1335</v>
      </c>
      <c r="D3417" s="7">
        <v>1539</v>
      </c>
      <c r="E3417" t="s">
        <v>10</v>
      </c>
      <c r="F3417" s="1">
        <v>1.294</v>
      </c>
    </row>
    <row r="3418" spans="1:6">
      <c r="A3418" t="s">
        <v>85</v>
      </c>
      <c r="B3418" t="s">
        <v>1332</v>
      </c>
      <c r="C3418" s="1" t="s">
        <v>1336</v>
      </c>
      <c r="D3418" s="7">
        <v>1545</v>
      </c>
      <c r="E3418" t="s">
        <v>10</v>
      </c>
      <c r="F3418" s="1">
        <v>1.3380000000000001</v>
      </c>
    </row>
    <row r="3419" spans="1:6">
      <c r="A3419" t="s">
        <v>85</v>
      </c>
      <c r="B3419" t="s">
        <v>1332</v>
      </c>
      <c r="C3419" s="1" t="s">
        <v>1337</v>
      </c>
      <c r="D3419" s="7">
        <v>1551</v>
      </c>
      <c r="E3419" t="s">
        <v>10</v>
      </c>
      <c r="F3419" s="9">
        <v>1.33</v>
      </c>
    </row>
    <row r="3420" spans="1:6">
      <c r="A3420" t="s">
        <v>85</v>
      </c>
      <c r="B3420" t="s">
        <v>1332</v>
      </c>
      <c r="C3420" s="1" t="s">
        <v>1338</v>
      </c>
      <c r="D3420" s="7">
        <v>1557</v>
      </c>
      <c r="E3420" t="s">
        <v>10</v>
      </c>
      <c r="F3420" s="1">
        <v>1.292</v>
      </c>
    </row>
    <row r="3421" spans="1:6">
      <c r="A3421" t="s">
        <v>85</v>
      </c>
      <c r="B3421" t="s">
        <v>1332</v>
      </c>
      <c r="C3421" s="1" t="s">
        <v>1339</v>
      </c>
      <c r="D3421" s="7">
        <v>1611</v>
      </c>
      <c r="E3421" t="s">
        <v>10</v>
      </c>
      <c r="F3421" s="1">
        <v>1.329</v>
      </c>
    </row>
    <row r="3422" spans="1:6">
      <c r="A3422" t="s">
        <v>85</v>
      </c>
      <c r="B3422" t="s">
        <v>1332</v>
      </c>
      <c r="C3422" s="1" t="s">
        <v>1340</v>
      </c>
      <c r="D3422" s="7">
        <v>1617</v>
      </c>
      <c r="E3422" t="s">
        <v>10</v>
      </c>
      <c r="F3422" s="1">
        <v>1.321</v>
      </c>
    </row>
    <row r="3423" spans="1:6">
      <c r="A3423" t="s">
        <v>85</v>
      </c>
      <c r="B3423" t="s">
        <v>1332</v>
      </c>
      <c r="C3423" s="1" t="s">
        <v>1341</v>
      </c>
      <c r="D3423" s="7">
        <v>1623</v>
      </c>
      <c r="E3423" t="s">
        <v>10</v>
      </c>
      <c r="F3423" s="1">
        <v>1.2609999999999999</v>
      </c>
    </row>
    <row r="3424" spans="1:6">
      <c r="A3424" t="s">
        <v>85</v>
      </c>
      <c r="B3424" t="s">
        <v>1332</v>
      </c>
      <c r="C3424" s="1" t="s">
        <v>1342</v>
      </c>
      <c r="D3424" s="7">
        <v>1629</v>
      </c>
      <c r="E3424" t="s">
        <v>10</v>
      </c>
      <c r="F3424" s="9">
        <v>1.27</v>
      </c>
    </row>
    <row r="3425" spans="1:6">
      <c r="A3425" t="s">
        <v>85</v>
      </c>
      <c r="B3425" t="s">
        <v>1332</v>
      </c>
      <c r="C3425" s="1" t="s">
        <v>1333</v>
      </c>
      <c r="D3425" s="7">
        <v>1525</v>
      </c>
      <c r="E3425" t="s">
        <v>11</v>
      </c>
      <c r="F3425" s="1">
        <v>5.2690000000000001</v>
      </c>
    </row>
    <row r="3426" spans="1:6">
      <c r="A3426" t="s">
        <v>85</v>
      </c>
      <c r="B3426" t="s">
        <v>1332</v>
      </c>
      <c r="C3426" s="1" t="s">
        <v>1334</v>
      </c>
      <c r="D3426" s="7">
        <v>1531</v>
      </c>
      <c r="E3426" t="s">
        <v>11</v>
      </c>
      <c r="F3426" s="1">
        <v>5.3620000000000001</v>
      </c>
    </row>
    <row r="3427" spans="1:6">
      <c r="A3427" t="s">
        <v>85</v>
      </c>
      <c r="B3427" t="s">
        <v>1332</v>
      </c>
      <c r="C3427" s="1" t="s">
        <v>1335</v>
      </c>
      <c r="D3427" s="7">
        <v>1537</v>
      </c>
      <c r="E3427" t="s">
        <v>11</v>
      </c>
      <c r="F3427" s="1">
        <v>5.5839999999999996</v>
      </c>
    </row>
    <row r="3428" spans="1:6">
      <c r="A3428" t="s">
        <v>85</v>
      </c>
      <c r="B3428" t="s">
        <v>1332</v>
      </c>
      <c r="C3428" s="1" t="s">
        <v>1336</v>
      </c>
      <c r="D3428" s="7">
        <v>1543</v>
      </c>
      <c r="E3428" t="s">
        <v>11</v>
      </c>
      <c r="F3428" s="1">
        <v>5.3310000000000004</v>
      </c>
    </row>
    <row r="3429" spans="1:6">
      <c r="A3429" t="s">
        <v>85</v>
      </c>
      <c r="B3429" t="s">
        <v>1332</v>
      </c>
      <c r="C3429" s="1" t="s">
        <v>1337</v>
      </c>
      <c r="D3429" s="7">
        <v>1549</v>
      </c>
      <c r="E3429" t="s">
        <v>11</v>
      </c>
      <c r="F3429" s="1">
        <v>5.2329999999999997</v>
      </c>
    </row>
    <row r="3430" spans="1:6">
      <c r="A3430" t="s">
        <v>85</v>
      </c>
      <c r="B3430" t="s">
        <v>1332</v>
      </c>
      <c r="C3430" s="1" t="s">
        <v>1338</v>
      </c>
      <c r="D3430" s="7">
        <v>1555</v>
      </c>
      <c r="E3430" t="s">
        <v>11</v>
      </c>
      <c r="F3430" s="1">
        <v>5.1769999999999996</v>
      </c>
    </row>
    <row r="3431" spans="1:6">
      <c r="A3431" t="s">
        <v>85</v>
      </c>
      <c r="B3431" t="s">
        <v>1332</v>
      </c>
      <c r="C3431" s="1" t="s">
        <v>1339</v>
      </c>
      <c r="D3431" s="7">
        <v>1609</v>
      </c>
      <c r="E3431" t="s">
        <v>11</v>
      </c>
      <c r="F3431" s="1">
        <v>5.3570000000000002</v>
      </c>
    </row>
    <row r="3432" spans="1:6">
      <c r="A3432" t="s">
        <v>85</v>
      </c>
      <c r="B3432" t="s">
        <v>1332</v>
      </c>
      <c r="C3432" s="1" t="s">
        <v>1340</v>
      </c>
      <c r="D3432" s="7">
        <v>1615</v>
      </c>
      <c r="E3432" t="s">
        <v>11</v>
      </c>
      <c r="F3432" s="1">
        <v>5.0860000000000003</v>
      </c>
    </row>
    <row r="3433" spans="1:6">
      <c r="A3433" t="s">
        <v>85</v>
      </c>
      <c r="B3433" t="s">
        <v>1332</v>
      </c>
      <c r="C3433" s="1" t="s">
        <v>1341</v>
      </c>
      <c r="D3433" s="7">
        <v>1621</v>
      </c>
      <c r="E3433" t="s">
        <v>11</v>
      </c>
      <c r="F3433" s="1">
        <v>5.4589999999999996</v>
      </c>
    </row>
    <row r="3434" spans="1:6">
      <c r="A3434" t="s">
        <v>85</v>
      </c>
      <c r="B3434" t="s">
        <v>1332</v>
      </c>
      <c r="C3434" s="1" t="s">
        <v>1342</v>
      </c>
      <c r="D3434" s="7">
        <v>1627</v>
      </c>
      <c r="E3434" t="s">
        <v>11</v>
      </c>
      <c r="F3434" s="1">
        <v>5.1429999999999998</v>
      </c>
    </row>
    <row r="3435" spans="1:6">
      <c r="A3435" t="s">
        <v>85</v>
      </c>
      <c r="B3435" t="s">
        <v>1332</v>
      </c>
      <c r="C3435" s="3" t="s">
        <v>1343</v>
      </c>
      <c r="D3435" s="7">
        <v>5121</v>
      </c>
      <c r="E3435" t="s">
        <v>12</v>
      </c>
      <c r="F3435" s="10">
        <v>1.89</v>
      </c>
    </row>
    <row r="3436" spans="1:6">
      <c r="A3436" t="s">
        <v>85</v>
      </c>
      <c r="B3436" t="s">
        <v>1332</v>
      </c>
      <c r="C3436" s="3" t="s">
        <v>1344</v>
      </c>
      <c r="D3436" s="7">
        <v>5122</v>
      </c>
      <c r="E3436" t="s">
        <v>12</v>
      </c>
      <c r="F3436" s="10">
        <v>1.91</v>
      </c>
    </row>
    <row r="3437" spans="1:6">
      <c r="A3437" t="s">
        <v>85</v>
      </c>
      <c r="B3437" t="s">
        <v>1332</v>
      </c>
      <c r="C3437" s="3" t="s">
        <v>1345</v>
      </c>
      <c r="D3437" s="7">
        <v>5120</v>
      </c>
      <c r="E3437" t="s">
        <v>12</v>
      </c>
      <c r="F3437" s="10">
        <v>2.02</v>
      </c>
    </row>
    <row r="3438" spans="1:6">
      <c r="A3438" t="s">
        <v>85</v>
      </c>
      <c r="B3438" t="s">
        <v>1346</v>
      </c>
      <c r="C3438" s="1" t="s">
        <v>1347</v>
      </c>
      <c r="D3438" s="7">
        <v>920</v>
      </c>
      <c r="E3438" t="s">
        <v>9</v>
      </c>
      <c r="F3438" s="9">
        <v>0.90400000000000003</v>
      </c>
    </row>
    <row r="3439" spans="1:6">
      <c r="A3439" t="s">
        <v>85</v>
      </c>
      <c r="B3439" t="s">
        <v>1346</v>
      </c>
      <c r="C3439" s="1" t="s">
        <v>1348</v>
      </c>
      <c r="D3439" s="7">
        <v>926</v>
      </c>
      <c r="E3439" t="s">
        <v>9</v>
      </c>
      <c r="F3439" s="9">
        <v>0.90800000000000003</v>
      </c>
    </row>
    <row r="3440" spans="1:6">
      <c r="A3440" t="s">
        <v>85</v>
      </c>
      <c r="B3440" t="s">
        <v>1346</v>
      </c>
      <c r="C3440" s="1" t="s">
        <v>1349</v>
      </c>
      <c r="D3440" s="7">
        <v>932</v>
      </c>
      <c r="E3440" t="s">
        <v>9</v>
      </c>
      <c r="F3440" s="9">
        <v>0.98299999999999998</v>
      </c>
    </row>
    <row r="3441" spans="1:6">
      <c r="A3441" t="s">
        <v>85</v>
      </c>
      <c r="B3441" t="s">
        <v>1346</v>
      </c>
      <c r="C3441" s="1" t="s">
        <v>1350</v>
      </c>
      <c r="D3441" s="7">
        <v>1142</v>
      </c>
      <c r="E3441" t="s">
        <v>9</v>
      </c>
      <c r="F3441" s="9">
        <v>0.92100000000000004</v>
      </c>
    </row>
    <row r="3442" spans="1:6">
      <c r="A3442" t="s">
        <v>85</v>
      </c>
      <c r="B3442" t="s">
        <v>1346</v>
      </c>
      <c r="C3442" s="1" t="s">
        <v>1351</v>
      </c>
      <c r="D3442" s="7">
        <v>1466</v>
      </c>
      <c r="E3442" t="s">
        <v>9</v>
      </c>
      <c r="F3442" s="9">
        <v>0.92200000000000004</v>
      </c>
    </row>
    <row r="3443" spans="1:6">
      <c r="A3443" t="s">
        <v>85</v>
      </c>
      <c r="B3443" t="s">
        <v>1346</v>
      </c>
      <c r="C3443" s="1" t="s">
        <v>1352</v>
      </c>
      <c r="D3443" s="7">
        <v>1472</v>
      </c>
      <c r="E3443" t="s">
        <v>9</v>
      </c>
      <c r="F3443" s="9">
        <v>0.90100000000000002</v>
      </c>
    </row>
    <row r="3444" spans="1:6">
      <c r="A3444" t="s">
        <v>85</v>
      </c>
      <c r="B3444" t="s">
        <v>1346</v>
      </c>
      <c r="C3444" s="1" t="s">
        <v>1353</v>
      </c>
      <c r="D3444" s="7">
        <v>1478</v>
      </c>
      <c r="E3444" t="s">
        <v>9</v>
      </c>
      <c r="F3444" s="9">
        <v>0.88200000000000001</v>
      </c>
    </row>
    <row r="3445" spans="1:6">
      <c r="A3445" t="s">
        <v>85</v>
      </c>
      <c r="B3445" t="s">
        <v>1346</v>
      </c>
      <c r="C3445" s="1" t="s">
        <v>1354</v>
      </c>
      <c r="D3445" s="7">
        <v>1484</v>
      </c>
      <c r="E3445" t="s">
        <v>9</v>
      </c>
      <c r="F3445" s="9">
        <v>0.89</v>
      </c>
    </row>
    <row r="3446" spans="1:6">
      <c r="A3446" t="s">
        <v>85</v>
      </c>
      <c r="B3446" s="2" t="s">
        <v>1346</v>
      </c>
      <c r="C3446" s="3" t="s">
        <v>1355</v>
      </c>
      <c r="D3446" s="7">
        <v>4810</v>
      </c>
      <c r="E3446" t="s">
        <v>9</v>
      </c>
      <c r="F3446" s="10">
        <v>1</v>
      </c>
    </row>
    <row r="3447" spans="1:6">
      <c r="A3447" t="s">
        <v>85</v>
      </c>
      <c r="B3447" t="s">
        <v>1346</v>
      </c>
      <c r="C3447" s="1" t="s">
        <v>1356</v>
      </c>
      <c r="D3447" s="7">
        <v>2652</v>
      </c>
      <c r="E3447" t="s">
        <v>9</v>
      </c>
      <c r="F3447" s="9">
        <v>0.93</v>
      </c>
    </row>
    <row r="3448" spans="1:6">
      <c r="A3448" t="s">
        <v>85</v>
      </c>
      <c r="B3448" t="s">
        <v>1346</v>
      </c>
      <c r="C3448" s="1" t="s">
        <v>1357</v>
      </c>
      <c r="D3448" s="7">
        <v>2658</v>
      </c>
      <c r="E3448" t="s">
        <v>9</v>
      </c>
      <c r="F3448" s="9">
        <v>0.92900000000000005</v>
      </c>
    </row>
    <row r="3449" spans="1:6">
      <c r="A3449" t="s">
        <v>85</v>
      </c>
      <c r="B3449" t="s">
        <v>1346</v>
      </c>
      <c r="C3449" s="1" t="s">
        <v>1347</v>
      </c>
      <c r="D3449" s="7">
        <v>921</v>
      </c>
      <c r="E3449" t="s">
        <v>10</v>
      </c>
      <c r="F3449" s="1">
        <v>1.373</v>
      </c>
    </row>
    <row r="3450" spans="1:6">
      <c r="A3450" t="s">
        <v>85</v>
      </c>
      <c r="B3450" t="s">
        <v>1346</v>
      </c>
      <c r="C3450" s="1" t="s">
        <v>1348</v>
      </c>
      <c r="D3450" s="7">
        <v>927</v>
      </c>
      <c r="E3450" t="s">
        <v>10</v>
      </c>
      <c r="F3450" s="1">
        <v>1.5209999999999999</v>
      </c>
    </row>
    <row r="3451" spans="1:6">
      <c r="A3451" t="s">
        <v>85</v>
      </c>
      <c r="B3451" t="s">
        <v>1346</v>
      </c>
      <c r="C3451" s="1" t="s">
        <v>1349</v>
      </c>
      <c r="D3451" s="7">
        <v>933</v>
      </c>
      <c r="E3451" t="s">
        <v>10</v>
      </c>
      <c r="F3451" s="1">
        <v>1.484</v>
      </c>
    </row>
    <row r="3452" spans="1:6">
      <c r="A3452" t="s">
        <v>85</v>
      </c>
      <c r="B3452" t="s">
        <v>1346</v>
      </c>
      <c r="C3452" s="1" t="s">
        <v>1350</v>
      </c>
      <c r="D3452" s="7">
        <v>1143</v>
      </c>
      <c r="E3452" t="s">
        <v>10</v>
      </c>
      <c r="F3452" s="1">
        <v>1.5169999999999999</v>
      </c>
    </row>
    <row r="3453" spans="1:6">
      <c r="A3453" t="s">
        <v>85</v>
      </c>
      <c r="B3453" t="s">
        <v>1346</v>
      </c>
      <c r="C3453" s="1" t="s">
        <v>1351</v>
      </c>
      <c r="D3453" s="7">
        <v>1467</v>
      </c>
      <c r="E3453" t="s">
        <v>10</v>
      </c>
      <c r="F3453" s="1">
        <v>1.371</v>
      </c>
    </row>
    <row r="3454" spans="1:6">
      <c r="A3454" t="s">
        <v>85</v>
      </c>
      <c r="B3454" t="s">
        <v>1346</v>
      </c>
      <c r="C3454" s="1" t="s">
        <v>1352</v>
      </c>
      <c r="D3454" s="7">
        <v>1473</v>
      </c>
      <c r="E3454" t="s">
        <v>10</v>
      </c>
      <c r="F3454" s="1">
        <v>1.452</v>
      </c>
    </row>
    <row r="3455" spans="1:6">
      <c r="A3455" t="s">
        <v>85</v>
      </c>
      <c r="B3455" t="s">
        <v>1346</v>
      </c>
      <c r="C3455" s="1" t="s">
        <v>1353</v>
      </c>
      <c r="D3455" s="7">
        <v>1479</v>
      </c>
      <c r="E3455" t="s">
        <v>10</v>
      </c>
      <c r="F3455" s="1">
        <v>1.409</v>
      </c>
    </row>
    <row r="3456" spans="1:6">
      <c r="A3456" t="s">
        <v>85</v>
      </c>
      <c r="B3456" t="s">
        <v>1346</v>
      </c>
      <c r="C3456" s="1" t="s">
        <v>1354</v>
      </c>
      <c r="D3456" s="7">
        <v>1485</v>
      </c>
      <c r="E3456" t="s">
        <v>10</v>
      </c>
      <c r="F3456" s="9">
        <v>1.4</v>
      </c>
    </row>
    <row r="3457" spans="1:6">
      <c r="A3457" t="s">
        <v>85</v>
      </c>
      <c r="B3457" t="s">
        <v>1346</v>
      </c>
      <c r="C3457" s="1" t="s">
        <v>1356</v>
      </c>
      <c r="D3457" s="7">
        <v>2653</v>
      </c>
      <c r="E3457" t="s">
        <v>10</v>
      </c>
      <c r="F3457" s="1">
        <v>1.5189999999999999</v>
      </c>
    </row>
    <row r="3458" spans="1:6">
      <c r="A3458" t="s">
        <v>85</v>
      </c>
      <c r="B3458" t="s">
        <v>1346</v>
      </c>
      <c r="C3458" s="1" t="s">
        <v>1357</v>
      </c>
      <c r="D3458" s="7">
        <v>2659</v>
      </c>
      <c r="E3458" t="s">
        <v>10</v>
      </c>
      <c r="F3458" s="1">
        <v>1.589</v>
      </c>
    </row>
    <row r="3459" spans="1:6">
      <c r="A3459" t="s">
        <v>85</v>
      </c>
      <c r="B3459" t="s">
        <v>1346</v>
      </c>
      <c r="C3459" s="1" t="s">
        <v>1347</v>
      </c>
      <c r="D3459" s="7">
        <v>919</v>
      </c>
      <c r="E3459" t="s">
        <v>11</v>
      </c>
      <c r="F3459" s="1">
        <v>3.5529999999999999</v>
      </c>
    </row>
    <row r="3460" spans="1:6">
      <c r="A3460" t="s">
        <v>85</v>
      </c>
      <c r="B3460" t="s">
        <v>1346</v>
      </c>
      <c r="C3460" s="1" t="s">
        <v>1348</v>
      </c>
      <c r="D3460" s="7">
        <v>925</v>
      </c>
      <c r="E3460" t="s">
        <v>11</v>
      </c>
      <c r="F3460" s="1">
        <v>3.5550000000000002</v>
      </c>
    </row>
    <row r="3461" spans="1:6">
      <c r="A3461" t="s">
        <v>85</v>
      </c>
      <c r="B3461" t="s">
        <v>1346</v>
      </c>
      <c r="C3461" s="1" t="s">
        <v>1349</v>
      </c>
      <c r="D3461" s="7">
        <v>931</v>
      </c>
      <c r="E3461" t="s">
        <v>11</v>
      </c>
      <c r="F3461" s="1">
        <v>3.6230000000000002</v>
      </c>
    </row>
    <row r="3462" spans="1:6">
      <c r="A3462" t="s">
        <v>85</v>
      </c>
      <c r="B3462" t="s">
        <v>1346</v>
      </c>
      <c r="C3462" s="1" t="s">
        <v>1350</v>
      </c>
      <c r="D3462" s="7">
        <v>1141</v>
      </c>
      <c r="E3462" t="s">
        <v>11</v>
      </c>
      <c r="F3462" s="9">
        <v>3.66</v>
      </c>
    </row>
    <row r="3463" spans="1:6">
      <c r="A3463" t="s">
        <v>85</v>
      </c>
      <c r="B3463" t="s">
        <v>1346</v>
      </c>
      <c r="C3463" s="1" t="s">
        <v>1351</v>
      </c>
      <c r="D3463" s="7">
        <v>1465</v>
      </c>
      <c r="E3463" t="s">
        <v>11</v>
      </c>
      <c r="F3463" s="1">
        <v>3.5390000000000001</v>
      </c>
    </row>
    <row r="3464" spans="1:6">
      <c r="A3464" t="s">
        <v>85</v>
      </c>
      <c r="B3464" t="s">
        <v>1346</v>
      </c>
      <c r="C3464" s="1" t="s">
        <v>1352</v>
      </c>
      <c r="D3464" s="7">
        <v>1471</v>
      </c>
      <c r="E3464" t="s">
        <v>11</v>
      </c>
      <c r="F3464" s="1">
        <v>3.5859999999999999</v>
      </c>
    </row>
    <row r="3465" spans="1:6">
      <c r="A3465" t="s">
        <v>85</v>
      </c>
      <c r="B3465" t="s">
        <v>1346</v>
      </c>
      <c r="C3465" s="1" t="s">
        <v>1353</v>
      </c>
      <c r="D3465" s="7">
        <v>1477</v>
      </c>
      <c r="E3465" t="s">
        <v>11</v>
      </c>
      <c r="F3465" s="1">
        <v>3.621</v>
      </c>
    </row>
    <row r="3466" spans="1:6">
      <c r="A3466" t="s">
        <v>85</v>
      </c>
      <c r="B3466" t="s">
        <v>1346</v>
      </c>
      <c r="C3466" s="1" t="s">
        <v>1354</v>
      </c>
      <c r="D3466" s="7">
        <v>1483</v>
      </c>
      <c r="E3466" t="s">
        <v>11</v>
      </c>
      <c r="F3466" s="9">
        <v>3.74</v>
      </c>
    </row>
    <row r="3467" spans="1:6">
      <c r="A3467" t="s">
        <v>85</v>
      </c>
      <c r="B3467" s="2" t="s">
        <v>1346</v>
      </c>
      <c r="C3467" s="3" t="s">
        <v>1355</v>
      </c>
      <c r="D3467" s="7">
        <v>4808</v>
      </c>
      <c r="E3467" t="s">
        <v>11</v>
      </c>
      <c r="F3467" s="10">
        <v>3.48</v>
      </c>
    </row>
    <row r="3468" spans="1:6">
      <c r="A3468" t="s">
        <v>85</v>
      </c>
      <c r="B3468" t="s">
        <v>1346</v>
      </c>
      <c r="C3468" s="1" t="s">
        <v>1356</v>
      </c>
      <c r="D3468" s="7">
        <v>2651</v>
      </c>
      <c r="E3468" t="s">
        <v>11</v>
      </c>
      <c r="F3468" s="1">
        <v>3.8210000000000002</v>
      </c>
    </row>
    <row r="3469" spans="1:6">
      <c r="A3469" t="s">
        <v>85</v>
      </c>
      <c r="B3469" t="s">
        <v>1346</v>
      </c>
      <c r="C3469" s="1" t="s">
        <v>1357</v>
      </c>
      <c r="D3469" s="7">
        <v>2657</v>
      </c>
      <c r="E3469" t="s">
        <v>11</v>
      </c>
      <c r="F3469" s="1">
        <v>3.544</v>
      </c>
    </row>
    <row r="3470" spans="1:6">
      <c r="A3470" t="s">
        <v>85</v>
      </c>
      <c r="B3470" t="s">
        <v>1346</v>
      </c>
      <c r="C3470" s="3" t="s">
        <v>1358</v>
      </c>
      <c r="D3470" s="7">
        <v>5126</v>
      </c>
      <c r="E3470" t="s">
        <v>12</v>
      </c>
      <c r="F3470" s="10">
        <v>1.07</v>
      </c>
    </row>
    <row r="3471" spans="1:6">
      <c r="A3471" t="s">
        <v>85</v>
      </c>
      <c r="B3471" t="s">
        <v>1346</v>
      </c>
      <c r="C3471" s="3" t="s">
        <v>1359</v>
      </c>
      <c r="D3471" s="7">
        <v>5127</v>
      </c>
      <c r="E3471" t="s">
        <v>12</v>
      </c>
      <c r="F3471" s="10">
        <v>1.02</v>
      </c>
    </row>
    <row r="3472" spans="1:6">
      <c r="A3472" t="s">
        <v>85</v>
      </c>
      <c r="B3472" t="s">
        <v>1346</v>
      </c>
      <c r="C3472" s="3" t="s">
        <v>1360</v>
      </c>
      <c r="D3472" s="7">
        <v>5128</v>
      </c>
      <c r="E3472" t="s">
        <v>12</v>
      </c>
      <c r="F3472" s="10">
        <v>1.05</v>
      </c>
    </row>
    <row r="3473" spans="1:6">
      <c r="A3473" t="s">
        <v>85</v>
      </c>
      <c r="B3473" s="2" t="s">
        <v>1346</v>
      </c>
      <c r="C3473" s="3" t="s">
        <v>1355</v>
      </c>
      <c r="D3473" s="7">
        <v>4809</v>
      </c>
      <c r="E3473" t="s">
        <v>12</v>
      </c>
      <c r="F3473" s="10">
        <v>1.17</v>
      </c>
    </row>
    <row r="3474" spans="1:6">
      <c r="A3474" t="s">
        <v>85</v>
      </c>
      <c r="B3474" s="2" t="s">
        <v>1361</v>
      </c>
      <c r="C3474" s="1" t="s">
        <v>1362</v>
      </c>
      <c r="D3474" s="7">
        <v>2370</v>
      </c>
      <c r="E3474" t="s">
        <v>9</v>
      </c>
      <c r="F3474" s="1">
        <v>1.018</v>
      </c>
    </row>
    <row r="3475" spans="1:6">
      <c r="A3475" t="s">
        <v>85</v>
      </c>
      <c r="B3475" s="2" t="s">
        <v>1361</v>
      </c>
      <c r="C3475" s="1" t="s">
        <v>1362</v>
      </c>
      <c r="D3475" s="7">
        <v>2371</v>
      </c>
      <c r="E3475" t="s">
        <v>10</v>
      </c>
      <c r="F3475" s="1">
        <v>1.498</v>
      </c>
    </row>
    <row r="3476" spans="1:6">
      <c r="A3476" t="s">
        <v>85</v>
      </c>
      <c r="B3476" s="2" t="s">
        <v>1361</v>
      </c>
      <c r="C3476" s="1" t="s">
        <v>1362</v>
      </c>
      <c r="D3476" s="7">
        <v>2369</v>
      </c>
      <c r="E3476" t="s">
        <v>11</v>
      </c>
      <c r="F3476" s="1">
        <v>4.9640000000000004</v>
      </c>
    </row>
    <row r="3477" spans="1:6">
      <c r="A3477" t="s">
        <v>85</v>
      </c>
      <c r="B3477" s="2" t="s">
        <v>1361</v>
      </c>
      <c r="C3477" s="3" t="s">
        <v>1363</v>
      </c>
      <c r="D3477" s="7">
        <v>4941</v>
      </c>
      <c r="E3477" t="s">
        <v>12</v>
      </c>
      <c r="F3477" s="10">
        <v>1.56</v>
      </c>
    </row>
    <row r="3478" spans="1:6">
      <c r="A3478" t="s">
        <v>85</v>
      </c>
      <c r="B3478" s="2" t="s">
        <v>1361</v>
      </c>
      <c r="C3478" s="3" t="s">
        <v>1364</v>
      </c>
      <c r="D3478" s="7">
        <v>4940</v>
      </c>
      <c r="E3478" t="s">
        <v>12</v>
      </c>
      <c r="F3478" s="10">
        <v>1.7</v>
      </c>
    </row>
    <row r="3479" spans="1:6">
      <c r="A3479" t="s">
        <v>85</v>
      </c>
      <c r="B3479" s="2" t="s">
        <v>1361</v>
      </c>
      <c r="C3479" s="3" t="s">
        <v>1365</v>
      </c>
      <c r="D3479" s="7">
        <v>4939</v>
      </c>
      <c r="E3479" t="s">
        <v>12</v>
      </c>
      <c r="F3479" s="10">
        <v>1.56</v>
      </c>
    </row>
    <row r="3480" spans="1:6">
      <c r="A3480" t="s">
        <v>1366</v>
      </c>
      <c r="B3480" s="2" t="s">
        <v>1367</v>
      </c>
      <c r="C3480" s="3" t="s">
        <v>1368</v>
      </c>
      <c r="D3480" s="7">
        <v>4942</v>
      </c>
      <c r="E3480" t="s">
        <v>9</v>
      </c>
      <c r="F3480" s="10">
        <v>2.36</v>
      </c>
    </row>
    <row r="3481" spans="1:6">
      <c r="A3481" t="s">
        <v>1366</v>
      </c>
      <c r="B3481" s="2" t="s">
        <v>1367</v>
      </c>
      <c r="C3481" s="3" t="s">
        <v>1368</v>
      </c>
      <c r="D3481" s="7">
        <v>4943</v>
      </c>
      <c r="E3481" t="s">
        <v>10</v>
      </c>
      <c r="F3481" s="10">
        <f>3.02+2.01+2.25</f>
        <v>7.2799999999999994</v>
      </c>
    </row>
    <row r="3482" spans="1:6">
      <c r="A3482" t="s">
        <v>1366</v>
      </c>
      <c r="B3482" s="2" t="s">
        <v>1367</v>
      </c>
      <c r="C3482" s="3" t="s">
        <v>1368</v>
      </c>
      <c r="D3482" s="7">
        <v>4944</v>
      </c>
      <c r="E3482" t="s">
        <v>11</v>
      </c>
      <c r="F3482" s="10">
        <v>7.95</v>
      </c>
    </row>
    <row r="3483" spans="1:6">
      <c r="A3483" t="s">
        <v>1366</v>
      </c>
      <c r="B3483" s="2" t="s">
        <v>1367</v>
      </c>
      <c r="C3483" s="3" t="s">
        <v>1368</v>
      </c>
      <c r="D3483" s="7">
        <v>4945</v>
      </c>
      <c r="E3483" t="s">
        <v>12</v>
      </c>
      <c r="F3483" s="10">
        <v>2.4700000000000002</v>
      </c>
    </row>
    <row r="3484" spans="1:6">
      <c r="A3484" t="s">
        <v>85</v>
      </c>
      <c r="B3484" s="13" t="s">
        <v>1369</v>
      </c>
      <c r="C3484" s="3" t="s">
        <v>1370</v>
      </c>
      <c r="D3484" s="7">
        <v>4958</v>
      </c>
      <c r="E3484" t="s">
        <v>9</v>
      </c>
      <c r="F3484" s="10">
        <v>1.48</v>
      </c>
    </row>
    <row r="3485" spans="1:6">
      <c r="A3485" t="s">
        <v>85</v>
      </c>
      <c r="B3485" s="13" t="s">
        <v>1369</v>
      </c>
      <c r="C3485" s="3" t="s">
        <v>1370</v>
      </c>
      <c r="D3485" s="7">
        <v>4959</v>
      </c>
      <c r="E3485" t="s">
        <v>10</v>
      </c>
      <c r="F3485" s="10">
        <f>0.92+0.93</f>
        <v>1.85</v>
      </c>
    </row>
    <row r="3486" spans="1:6">
      <c r="A3486" t="s">
        <v>85</v>
      </c>
      <c r="B3486" s="13" t="s">
        <v>1369</v>
      </c>
      <c r="C3486" s="3" t="s">
        <v>1370</v>
      </c>
      <c r="D3486" s="7">
        <v>4960</v>
      </c>
      <c r="E3486" t="s">
        <v>11</v>
      </c>
      <c r="F3486" s="10">
        <v>5.94</v>
      </c>
    </row>
    <row r="3487" spans="1:6">
      <c r="A3487" t="s">
        <v>85</v>
      </c>
      <c r="B3487" s="13" t="s">
        <v>1369</v>
      </c>
      <c r="C3487" s="3" t="s">
        <v>1370</v>
      </c>
      <c r="D3487" s="7">
        <v>4961</v>
      </c>
      <c r="E3487" t="s">
        <v>12</v>
      </c>
      <c r="F3487" s="10">
        <v>2.19</v>
      </c>
    </row>
    <row r="3488" spans="1:6">
      <c r="A3488" t="s">
        <v>85</v>
      </c>
      <c r="B3488" s="2" t="s">
        <v>1371</v>
      </c>
      <c r="C3488" s="3" t="s">
        <v>1372</v>
      </c>
      <c r="D3488" s="7">
        <v>4820</v>
      </c>
      <c r="E3488" t="s">
        <v>9</v>
      </c>
      <c r="F3488" s="10">
        <v>1.52</v>
      </c>
    </row>
    <row r="3489" spans="1:6">
      <c r="A3489" t="s">
        <v>85</v>
      </c>
      <c r="B3489" s="2" t="s">
        <v>1371</v>
      </c>
      <c r="C3489" s="3" t="s">
        <v>1372</v>
      </c>
      <c r="D3489" s="7">
        <v>4821</v>
      </c>
      <c r="E3489" t="s">
        <v>10</v>
      </c>
      <c r="F3489" s="10">
        <f>1.69+1.15</f>
        <v>2.84</v>
      </c>
    </row>
    <row r="3490" spans="1:6">
      <c r="A3490" t="s">
        <v>85</v>
      </c>
      <c r="B3490" s="2" t="s">
        <v>1371</v>
      </c>
      <c r="C3490" s="3" t="s">
        <v>1372</v>
      </c>
      <c r="D3490" s="7">
        <v>4818</v>
      </c>
      <c r="E3490" t="s">
        <v>11</v>
      </c>
      <c r="F3490" s="10">
        <v>7.17</v>
      </c>
    </row>
    <row r="3491" spans="1:6">
      <c r="A3491" t="s">
        <v>85</v>
      </c>
      <c r="B3491" s="2" t="s">
        <v>1371</v>
      </c>
      <c r="C3491" s="3" t="s">
        <v>1372</v>
      </c>
      <c r="D3491" s="7">
        <v>4819</v>
      </c>
      <c r="E3491" t="s">
        <v>12</v>
      </c>
      <c r="F3491" s="10">
        <v>2.52</v>
      </c>
    </row>
    <row r="3492" spans="1:6">
      <c r="A3492" t="s">
        <v>85</v>
      </c>
      <c r="B3492" t="s">
        <v>1371</v>
      </c>
      <c r="C3492" s="3" t="s">
        <v>1372</v>
      </c>
      <c r="D3492" s="7">
        <v>5170</v>
      </c>
      <c r="E3492" t="s">
        <v>12</v>
      </c>
      <c r="F3492" s="10">
        <v>2.72</v>
      </c>
    </row>
    <row r="3493" spans="1:6">
      <c r="A3493" t="s">
        <v>85</v>
      </c>
      <c r="B3493" t="s">
        <v>1373</v>
      </c>
      <c r="C3493" s="1" t="s">
        <v>1374</v>
      </c>
      <c r="D3493" s="7">
        <v>1694</v>
      </c>
      <c r="E3493" t="s">
        <v>9</v>
      </c>
      <c r="F3493" s="1">
        <v>1.355</v>
      </c>
    </row>
    <row r="3494" spans="1:6">
      <c r="A3494" t="s">
        <v>85</v>
      </c>
      <c r="B3494" t="s">
        <v>1373</v>
      </c>
      <c r="C3494" s="1" t="s">
        <v>1374</v>
      </c>
      <c r="D3494" s="7">
        <v>1695</v>
      </c>
      <c r="E3494" t="s">
        <v>10</v>
      </c>
      <c r="F3494" s="1">
        <v>2.4649999999999999</v>
      </c>
    </row>
    <row r="3495" spans="1:6">
      <c r="A3495" t="s">
        <v>85</v>
      </c>
      <c r="B3495" t="s">
        <v>1373</v>
      </c>
      <c r="C3495" s="1" t="s">
        <v>1374</v>
      </c>
      <c r="D3495" s="7">
        <v>1693</v>
      </c>
      <c r="E3495" t="s">
        <v>11</v>
      </c>
      <c r="F3495" s="1">
        <v>5.3460000000000001</v>
      </c>
    </row>
    <row r="3496" spans="1:6">
      <c r="A3496" t="s">
        <v>85</v>
      </c>
      <c r="B3496" s="2" t="s">
        <v>1373</v>
      </c>
      <c r="C3496" s="3" t="s">
        <v>1375</v>
      </c>
      <c r="D3496" s="7">
        <v>5166</v>
      </c>
      <c r="E3496" t="s">
        <v>12</v>
      </c>
      <c r="F3496" s="10">
        <v>1.85</v>
      </c>
    </row>
    <row r="3497" spans="1:6">
      <c r="A3497" t="s">
        <v>85</v>
      </c>
      <c r="B3497" s="2" t="s">
        <v>1373</v>
      </c>
      <c r="C3497" s="3" t="s">
        <v>1376</v>
      </c>
      <c r="D3497" s="7">
        <v>5165</v>
      </c>
      <c r="E3497" t="s">
        <v>12</v>
      </c>
      <c r="F3497" s="10">
        <v>2.08</v>
      </c>
    </row>
    <row r="3498" spans="1:6">
      <c r="A3498" t="s">
        <v>85</v>
      </c>
      <c r="B3498" s="2" t="s">
        <v>1377</v>
      </c>
      <c r="C3498" s="3" t="s">
        <v>1378</v>
      </c>
      <c r="D3498" s="7">
        <v>4850</v>
      </c>
      <c r="E3498" t="s">
        <v>9</v>
      </c>
      <c r="F3498" s="10">
        <v>1.49</v>
      </c>
    </row>
    <row r="3499" spans="1:6">
      <c r="A3499" t="s">
        <v>85</v>
      </c>
      <c r="B3499" s="2" t="s">
        <v>1377</v>
      </c>
      <c r="C3499" s="3" t="s">
        <v>1379</v>
      </c>
      <c r="D3499" s="7">
        <v>4855</v>
      </c>
      <c r="E3499" t="s">
        <v>9</v>
      </c>
      <c r="F3499" s="10">
        <v>1.51</v>
      </c>
    </row>
    <row r="3500" spans="1:6">
      <c r="A3500" t="s">
        <v>85</v>
      </c>
      <c r="B3500" s="2" t="s">
        <v>1377</v>
      </c>
      <c r="C3500" s="3" t="s">
        <v>1380</v>
      </c>
      <c r="D3500" s="7">
        <v>4860</v>
      </c>
      <c r="E3500" t="s">
        <v>9</v>
      </c>
      <c r="F3500" s="10">
        <v>1.53</v>
      </c>
    </row>
    <row r="3501" spans="1:6">
      <c r="A3501" t="s">
        <v>85</v>
      </c>
      <c r="B3501" s="2" t="s">
        <v>1377</v>
      </c>
      <c r="C3501" s="3" t="s">
        <v>1381</v>
      </c>
      <c r="D3501" s="7">
        <v>4865</v>
      </c>
      <c r="E3501" t="s">
        <v>9</v>
      </c>
      <c r="F3501" s="10">
        <v>1.5</v>
      </c>
    </row>
    <row r="3502" spans="1:6">
      <c r="A3502" t="s">
        <v>85</v>
      </c>
      <c r="B3502" s="2" t="s">
        <v>1377</v>
      </c>
      <c r="C3502" s="3" t="s">
        <v>1382</v>
      </c>
      <c r="D3502" s="7">
        <v>4870</v>
      </c>
      <c r="E3502" t="s">
        <v>9</v>
      </c>
      <c r="F3502" s="10">
        <v>1.56</v>
      </c>
    </row>
    <row r="3503" spans="1:6">
      <c r="A3503" t="s">
        <v>85</v>
      </c>
      <c r="B3503" s="2" t="s">
        <v>1377</v>
      </c>
      <c r="C3503" s="3" t="s">
        <v>1378</v>
      </c>
      <c r="D3503" s="7">
        <v>4851</v>
      </c>
      <c r="E3503" t="s">
        <v>10</v>
      </c>
      <c r="F3503" s="10">
        <f>0.97+1.32</f>
        <v>2.29</v>
      </c>
    </row>
    <row r="3504" spans="1:6">
      <c r="A3504" t="s">
        <v>85</v>
      </c>
      <c r="B3504" s="2" t="s">
        <v>1377</v>
      </c>
      <c r="C3504" s="3" t="s">
        <v>1379</v>
      </c>
      <c r="D3504" s="7">
        <v>4856</v>
      </c>
      <c r="E3504" t="s">
        <v>10</v>
      </c>
      <c r="F3504" s="10">
        <v>2.72</v>
      </c>
    </row>
    <row r="3505" spans="1:6">
      <c r="A3505" t="s">
        <v>85</v>
      </c>
      <c r="B3505" s="2" t="s">
        <v>1377</v>
      </c>
      <c r="C3505" s="3" t="s">
        <v>1380</v>
      </c>
      <c r="D3505" s="7">
        <v>4861</v>
      </c>
      <c r="E3505" t="s">
        <v>10</v>
      </c>
      <c r="F3505" s="10">
        <v>2.74</v>
      </c>
    </row>
    <row r="3506" spans="1:6">
      <c r="A3506" t="s">
        <v>85</v>
      </c>
      <c r="B3506" s="2" t="s">
        <v>1377</v>
      </c>
      <c r="C3506" s="3" t="s">
        <v>1381</v>
      </c>
      <c r="D3506" s="7">
        <v>4866</v>
      </c>
      <c r="E3506" t="s">
        <v>10</v>
      </c>
      <c r="F3506" s="10">
        <f>1.52+1.17</f>
        <v>2.69</v>
      </c>
    </row>
    <row r="3507" spans="1:6">
      <c r="A3507" t="s">
        <v>85</v>
      </c>
      <c r="B3507" s="2" t="s">
        <v>1377</v>
      </c>
      <c r="C3507" s="3" t="s">
        <v>1382</v>
      </c>
      <c r="D3507" s="7">
        <v>4871</v>
      </c>
      <c r="E3507" t="s">
        <v>10</v>
      </c>
      <c r="F3507" s="10">
        <f>1.24+1.52</f>
        <v>2.76</v>
      </c>
    </row>
    <row r="3508" spans="1:6">
      <c r="A3508" t="s">
        <v>85</v>
      </c>
      <c r="B3508" s="2" t="s">
        <v>1377</v>
      </c>
      <c r="C3508" s="3" t="s">
        <v>1378</v>
      </c>
      <c r="D3508" s="7">
        <v>4848</v>
      </c>
      <c r="E3508" t="s">
        <v>11</v>
      </c>
      <c r="F3508" s="10">
        <v>6.41</v>
      </c>
    </row>
    <row r="3509" spans="1:6">
      <c r="A3509" t="s">
        <v>85</v>
      </c>
      <c r="B3509" s="2" t="s">
        <v>1377</v>
      </c>
      <c r="C3509" s="3" t="s">
        <v>1379</v>
      </c>
      <c r="D3509" s="7">
        <v>4853</v>
      </c>
      <c r="E3509" t="s">
        <v>11</v>
      </c>
      <c r="F3509" s="10">
        <v>6.82</v>
      </c>
    </row>
    <row r="3510" spans="1:6">
      <c r="A3510" t="s">
        <v>85</v>
      </c>
      <c r="B3510" s="2" t="s">
        <v>1377</v>
      </c>
      <c r="C3510" s="3" t="s">
        <v>1380</v>
      </c>
      <c r="D3510" s="7">
        <v>4858</v>
      </c>
      <c r="E3510" t="s">
        <v>11</v>
      </c>
      <c r="F3510" s="10">
        <v>6.78</v>
      </c>
    </row>
    <row r="3511" spans="1:6">
      <c r="A3511" t="s">
        <v>85</v>
      </c>
      <c r="B3511" s="2" t="s">
        <v>1377</v>
      </c>
      <c r="C3511" s="3" t="s">
        <v>1381</v>
      </c>
      <c r="D3511" s="7">
        <v>4863</v>
      </c>
      <c r="E3511" t="s">
        <v>11</v>
      </c>
      <c r="F3511" s="10">
        <v>6.65</v>
      </c>
    </row>
    <row r="3512" spans="1:6">
      <c r="A3512" t="s">
        <v>85</v>
      </c>
      <c r="B3512" s="2" t="s">
        <v>1377</v>
      </c>
      <c r="C3512" s="3" t="s">
        <v>1382</v>
      </c>
      <c r="D3512" s="7">
        <v>4868</v>
      </c>
      <c r="E3512" t="s">
        <v>11</v>
      </c>
      <c r="F3512" s="10">
        <v>6.76</v>
      </c>
    </row>
    <row r="3513" spans="1:6">
      <c r="A3513" t="s">
        <v>85</v>
      </c>
      <c r="B3513" s="2" t="s">
        <v>1377</v>
      </c>
      <c r="C3513" s="3" t="s">
        <v>1383</v>
      </c>
      <c r="D3513" s="7">
        <v>5167</v>
      </c>
      <c r="E3513" t="s">
        <v>12</v>
      </c>
      <c r="F3513" s="10">
        <v>2.2200000000000002</v>
      </c>
    </row>
    <row r="3514" spans="1:6">
      <c r="A3514" t="s">
        <v>85</v>
      </c>
      <c r="B3514" s="2" t="s">
        <v>1377</v>
      </c>
      <c r="C3514" s="3" t="s">
        <v>1378</v>
      </c>
      <c r="D3514" s="7">
        <v>4849</v>
      </c>
      <c r="E3514" t="s">
        <v>12</v>
      </c>
      <c r="F3514" s="10">
        <v>2.4</v>
      </c>
    </row>
    <row r="3515" spans="1:6">
      <c r="A3515" t="s">
        <v>85</v>
      </c>
      <c r="B3515" s="2" t="s">
        <v>1377</v>
      </c>
      <c r="C3515" s="3" t="s">
        <v>1379</v>
      </c>
      <c r="D3515" s="7">
        <v>4854</v>
      </c>
      <c r="E3515" t="s">
        <v>12</v>
      </c>
      <c r="F3515" s="10">
        <v>2.4900000000000002</v>
      </c>
    </row>
    <row r="3516" spans="1:6">
      <c r="A3516" t="s">
        <v>85</v>
      </c>
      <c r="B3516" s="2" t="s">
        <v>1377</v>
      </c>
      <c r="C3516" s="3" t="s">
        <v>1380</v>
      </c>
      <c r="D3516" s="7">
        <v>4859</v>
      </c>
      <c r="E3516" t="s">
        <v>12</v>
      </c>
      <c r="F3516" s="10">
        <v>2.19</v>
      </c>
    </row>
    <row r="3517" spans="1:6">
      <c r="A3517" t="s">
        <v>85</v>
      </c>
      <c r="B3517" s="2" t="s">
        <v>1377</v>
      </c>
      <c r="C3517" s="3" t="s">
        <v>1381</v>
      </c>
      <c r="D3517" s="7">
        <v>4864</v>
      </c>
      <c r="E3517" t="s">
        <v>12</v>
      </c>
      <c r="F3517" s="10">
        <v>2.37</v>
      </c>
    </row>
    <row r="3518" spans="1:6">
      <c r="A3518" t="s">
        <v>85</v>
      </c>
      <c r="B3518" s="2" t="s">
        <v>1377</v>
      </c>
      <c r="C3518" s="3" t="s">
        <v>1382</v>
      </c>
      <c r="D3518" s="7">
        <v>4869</v>
      </c>
      <c r="E3518" t="s">
        <v>12</v>
      </c>
      <c r="F3518" s="10">
        <v>2.2599999999999998</v>
      </c>
    </row>
    <row r="3519" spans="1:6">
      <c r="A3519" t="s">
        <v>85</v>
      </c>
      <c r="B3519" s="2" t="s">
        <v>1377</v>
      </c>
      <c r="C3519" s="3" t="s">
        <v>1384</v>
      </c>
      <c r="D3519" s="7">
        <v>5169</v>
      </c>
      <c r="E3519" t="s">
        <v>12</v>
      </c>
      <c r="F3519" s="10">
        <v>2.35</v>
      </c>
    </row>
    <row r="3520" spans="1:6">
      <c r="A3520" t="s">
        <v>85</v>
      </c>
      <c r="B3520" s="2" t="s">
        <v>1377</v>
      </c>
      <c r="C3520" s="3" t="s">
        <v>1385</v>
      </c>
      <c r="D3520" s="7">
        <v>5168</v>
      </c>
      <c r="E3520" t="s">
        <v>12</v>
      </c>
      <c r="F3520" s="10">
        <v>2.5099999999999998</v>
      </c>
    </row>
    <row r="3521" spans="1:6">
      <c r="A3521" t="s">
        <v>85</v>
      </c>
      <c r="B3521" t="s">
        <v>1386</v>
      </c>
      <c r="C3521" s="1" t="s">
        <v>1387</v>
      </c>
      <c r="D3521" s="7">
        <v>1016</v>
      </c>
      <c r="E3521" t="s">
        <v>9</v>
      </c>
      <c r="F3521" s="1">
        <v>1.2969999999999999</v>
      </c>
    </row>
    <row r="3522" spans="1:6">
      <c r="A3522" t="s">
        <v>85</v>
      </c>
      <c r="B3522" t="s">
        <v>1386</v>
      </c>
      <c r="C3522" s="1" t="s">
        <v>1388</v>
      </c>
      <c r="D3522" s="7">
        <v>1022</v>
      </c>
      <c r="E3522" t="s">
        <v>9</v>
      </c>
      <c r="F3522" s="1">
        <v>1.393</v>
      </c>
    </row>
    <row r="3523" spans="1:6">
      <c r="A3523" t="s">
        <v>85</v>
      </c>
      <c r="B3523" t="s">
        <v>1386</v>
      </c>
      <c r="C3523" s="1" t="s">
        <v>1389</v>
      </c>
      <c r="D3523" s="7">
        <v>1028</v>
      </c>
      <c r="E3523" t="s">
        <v>9</v>
      </c>
      <c r="F3523" s="1">
        <v>1.3129999999999999</v>
      </c>
    </row>
    <row r="3524" spans="1:6">
      <c r="A3524" t="s">
        <v>85</v>
      </c>
      <c r="B3524" t="s">
        <v>1386</v>
      </c>
      <c r="C3524" s="1" t="s">
        <v>1390</v>
      </c>
      <c r="D3524" s="7">
        <v>1034</v>
      </c>
      <c r="E3524" t="s">
        <v>9</v>
      </c>
      <c r="F3524" s="1">
        <v>1.3540000000000001</v>
      </c>
    </row>
    <row r="3525" spans="1:6">
      <c r="A3525" t="s">
        <v>85</v>
      </c>
      <c r="B3525" t="s">
        <v>1386</v>
      </c>
      <c r="C3525" s="1" t="s">
        <v>1391</v>
      </c>
      <c r="D3525" s="7">
        <v>1058</v>
      </c>
      <c r="E3525" t="s">
        <v>9</v>
      </c>
      <c r="F3525" s="1">
        <v>1.379</v>
      </c>
    </row>
    <row r="3526" spans="1:6">
      <c r="A3526" t="s">
        <v>85</v>
      </c>
      <c r="B3526" t="s">
        <v>1386</v>
      </c>
      <c r="C3526" s="1" t="s">
        <v>1392</v>
      </c>
      <c r="D3526" s="7">
        <v>1064</v>
      </c>
      <c r="E3526" t="s">
        <v>9</v>
      </c>
      <c r="F3526" s="1">
        <v>1.4059999999999999</v>
      </c>
    </row>
    <row r="3527" spans="1:6">
      <c r="A3527" t="s">
        <v>85</v>
      </c>
      <c r="B3527" t="s">
        <v>1386</v>
      </c>
      <c r="C3527" s="1" t="s">
        <v>1393</v>
      </c>
      <c r="D3527" s="7">
        <v>1070</v>
      </c>
      <c r="E3527" t="s">
        <v>9</v>
      </c>
      <c r="F3527" s="1">
        <v>1.367</v>
      </c>
    </row>
    <row r="3528" spans="1:6">
      <c r="A3528" t="s">
        <v>85</v>
      </c>
      <c r="B3528" t="s">
        <v>1386</v>
      </c>
      <c r="C3528" s="1" t="s">
        <v>1394</v>
      </c>
      <c r="D3528" s="7">
        <v>1076</v>
      </c>
      <c r="E3528" t="s">
        <v>9</v>
      </c>
      <c r="F3528" s="1">
        <v>1.4039999999999999</v>
      </c>
    </row>
    <row r="3529" spans="1:6">
      <c r="A3529" t="s">
        <v>85</v>
      </c>
      <c r="B3529" t="s">
        <v>1386</v>
      </c>
      <c r="C3529" s="1" t="s">
        <v>1395</v>
      </c>
      <c r="D3529" s="7">
        <v>1598</v>
      </c>
      <c r="E3529" t="s">
        <v>9</v>
      </c>
      <c r="F3529" s="1">
        <v>1.3640000000000001</v>
      </c>
    </row>
    <row r="3530" spans="1:6">
      <c r="A3530" t="s">
        <v>85</v>
      </c>
      <c r="B3530" t="s">
        <v>1386</v>
      </c>
      <c r="C3530" s="1" t="s">
        <v>1396</v>
      </c>
      <c r="D3530" s="7">
        <v>1604</v>
      </c>
      <c r="E3530" t="s">
        <v>9</v>
      </c>
      <c r="F3530" s="1">
        <v>1.351</v>
      </c>
    </row>
    <row r="3531" spans="1:6">
      <c r="A3531" t="s">
        <v>85</v>
      </c>
      <c r="B3531" t="s">
        <v>1386</v>
      </c>
      <c r="C3531" s="1" t="s">
        <v>1387</v>
      </c>
      <c r="D3531" s="7">
        <v>1017</v>
      </c>
      <c r="E3531" t="s">
        <v>10</v>
      </c>
      <c r="F3531" s="1">
        <v>2.669</v>
      </c>
    </row>
    <row r="3532" spans="1:6">
      <c r="A3532" t="s">
        <v>85</v>
      </c>
      <c r="B3532" t="s">
        <v>1386</v>
      </c>
      <c r="C3532" s="1" t="s">
        <v>1388</v>
      </c>
      <c r="D3532" s="7">
        <v>1023</v>
      </c>
      <c r="E3532" t="s">
        <v>10</v>
      </c>
      <c r="F3532" s="1">
        <v>2.8010000000000002</v>
      </c>
    </row>
    <row r="3533" spans="1:6">
      <c r="A3533" t="s">
        <v>85</v>
      </c>
      <c r="B3533" t="s">
        <v>1386</v>
      </c>
      <c r="C3533" s="1" t="s">
        <v>1389</v>
      </c>
      <c r="D3533" s="7">
        <v>1029</v>
      </c>
      <c r="E3533" t="s">
        <v>10</v>
      </c>
      <c r="F3533" s="1">
        <v>2.548</v>
      </c>
    </row>
    <row r="3534" spans="1:6">
      <c r="A3534" t="s">
        <v>85</v>
      </c>
      <c r="B3534" t="s">
        <v>1386</v>
      </c>
      <c r="C3534" s="1" t="s">
        <v>1390</v>
      </c>
      <c r="D3534" s="7">
        <v>1035</v>
      </c>
      <c r="E3534" t="s">
        <v>10</v>
      </c>
      <c r="F3534" s="1">
        <v>2.7949999999999999</v>
      </c>
    </row>
    <row r="3535" spans="1:6">
      <c r="A3535" t="s">
        <v>85</v>
      </c>
      <c r="B3535" t="s">
        <v>1386</v>
      </c>
      <c r="C3535" s="1" t="s">
        <v>1391</v>
      </c>
      <c r="D3535" s="7">
        <v>1059</v>
      </c>
      <c r="E3535" t="s">
        <v>10</v>
      </c>
      <c r="F3535" s="1">
        <v>2.7639999999999998</v>
      </c>
    </row>
    <row r="3536" spans="1:6">
      <c r="A3536" t="s">
        <v>85</v>
      </c>
      <c r="B3536" t="s">
        <v>1386</v>
      </c>
      <c r="C3536" s="1" t="s">
        <v>1392</v>
      </c>
      <c r="D3536" s="7">
        <v>1065</v>
      </c>
      <c r="E3536" t="s">
        <v>10</v>
      </c>
      <c r="F3536" s="1">
        <v>2.8380000000000001</v>
      </c>
    </row>
    <row r="3537" spans="1:6">
      <c r="A3537" t="s">
        <v>85</v>
      </c>
      <c r="B3537" t="s">
        <v>1386</v>
      </c>
      <c r="C3537" s="1" t="s">
        <v>1393</v>
      </c>
      <c r="D3537" s="7">
        <v>1071</v>
      </c>
      <c r="E3537" t="s">
        <v>10</v>
      </c>
      <c r="F3537" s="1">
        <v>2.6739999999999999</v>
      </c>
    </row>
    <row r="3538" spans="1:6">
      <c r="A3538" t="s">
        <v>85</v>
      </c>
      <c r="B3538" t="s">
        <v>1386</v>
      </c>
      <c r="C3538" s="1" t="s">
        <v>1394</v>
      </c>
      <c r="D3538" s="7">
        <v>1077</v>
      </c>
      <c r="E3538" t="s">
        <v>10</v>
      </c>
      <c r="F3538" s="1">
        <v>2.7549999999999999</v>
      </c>
    </row>
    <row r="3539" spans="1:6">
      <c r="A3539" t="s">
        <v>85</v>
      </c>
      <c r="B3539" t="s">
        <v>1386</v>
      </c>
      <c r="C3539" s="1" t="s">
        <v>1395</v>
      </c>
      <c r="D3539" s="7">
        <v>1599</v>
      </c>
      <c r="E3539" t="s">
        <v>10</v>
      </c>
      <c r="F3539" s="1">
        <v>2.645</v>
      </c>
    </row>
    <row r="3540" spans="1:6">
      <c r="A3540" t="s">
        <v>85</v>
      </c>
      <c r="B3540" t="s">
        <v>1386</v>
      </c>
      <c r="C3540" s="1" t="s">
        <v>1396</v>
      </c>
      <c r="D3540" s="7">
        <v>1605</v>
      </c>
      <c r="E3540" t="s">
        <v>10</v>
      </c>
      <c r="F3540" s="1">
        <v>2.694</v>
      </c>
    </row>
    <row r="3541" spans="1:6">
      <c r="A3541" t="s">
        <v>85</v>
      </c>
      <c r="B3541" t="s">
        <v>1386</v>
      </c>
      <c r="C3541" s="1" t="s">
        <v>1387</v>
      </c>
      <c r="D3541" s="7">
        <v>1015</v>
      </c>
      <c r="E3541" t="s">
        <v>11</v>
      </c>
      <c r="F3541" s="1">
        <v>5.7279999999999998</v>
      </c>
    </row>
    <row r="3542" spans="1:6">
      <c r="A3542" t="s">
        <v>85</v>
      </c>
      <c r="B3542" t="s">
        <v>1386</v>
      </c>
      <c r="C3542" s="1" t="s">
        <v>1388</v>
      </c>
      <c r="D3542" s="7">
        <v>1021</v>
      </c>
      <c r="E3542" t="s">
        <v>11</v>
      </c>
      <c r="F3542" s="1">
        <v>5.9989999999999997</v>
      </c>
    </row>
    <row r="3543" spans="1:6">
      <c r="A3543" t="s">
        <v>85</v>
      </c>
      <c r="B3543" t="s">
        <v>1386</v>
      </c>
      <c r="C3543" s="1" t="s">
        <v>1389</v>
      </c>
      <c r="D3543" s="7">
        <v>1027</v>
      </c>
      <c r="E3543" t="s">
        <v>11</v>
      </c>
      <c r="F3543" s="1">
        <v>5.5369999999999999</v>
      </c>
    </row>
    <row r="3544" spans="1:6">
      <c r="A3544" t="s">
        <v>85</v>
      </c>
      <c r="B3544" t="s">
        <v>1386</v>
      </c>
      <c r="C3544" s="1" t="s">
        <v>1390</v>
      </c>
      <c r="D3544" s="7">
        <v>1033</v>
      </c>
      <c r="E3544" t="s">
        <v>11</v>
      </c>
      <c r="F3544" s="9">
        <v>6.09</v>
      </c>
    </row>
    <row r="3545" spans="1:6">
      <c r="A3545" t="s">
        <v>85</v>
      </c>
      <c r="B3545" t="s">
        <v>1386</v>
      </c>
      <c r="C3545" s="1" t="s">
        <v>1391</v>
      </c>
      <c r="D3545" s="7">
        <v>1057</v>
      </c>
      <c r="E3545" t="s">
        <v>11</v>
      </c>
      <c r="F3545" s="1">
        <v>6.1349999999999998</v>
      </c>
    </row>
    <row r="3546" spans="1:6">
      <c r="A3546" t="s">
        <v>85</v>
      </c>
      <c r="B3546" t="s">
        <v>1386</v>
      </c>
      <c r="C3546" s="1" t="s">
        <v>1392</v>
      </c>
      <c r="D3546" s="7">
        <v>1063</v>
      </c>
      <c r="E3546" t="s">
        <v>11</v>
      </c>
      <c r="F3546" s="1">
        <v>6.133</v>
      </c>
    </row>
    <row r="3547" spans="1:6">
      <c r="A3547" t="s">
        <v>85</v>
      </c>
      <c r="B3547" t="s">
        <v>1386</v>
      </c>
      <c r="C3547" s="1" t="s">
        <v>1393</v>
      </c>
      <c r="D3547" s="7">
        <v>1069</v>
      </c>
      <c r="E3547" t="s">
        <v>11</v>
      </c>
      <c r="F3547" s="1">
        <v>5.9809999999999999</v>
      </c>
    </row>
    <row r="3548" spans="1:6">
      <c r="A3548" t="s">
        <v>85</v>
      </c>
      <c r="B3548" t="s">
        <v>1386</v>
      </c>
      <c r="C3548" s="1" t="s">
        <v>1394</v>
      </c>
      <c r="D3548" s="7">
        <v>1075</v>
      </c>
      <c r="E3548" t="s">
        <v>11</v>
      </c>
      <c r="F3548" s="1">
        <v>6.0919999999999996</v>
      </c>
    </row>
    <row r="3549" spans="1:6">
      <c r="A3549" t="s">
        <v>85</v>
      </c>
      <c r="B3549" t="s">
        <v>1386</v>
      </c>
      <c r="C3549" s="1" t="s">
        <v>1395</v>
      </c>
      <c r="D3549" s="7">
        <v>1597</v>
      </c>
      <c r="E3549" t="s">
        <v>11</v>
      </c>
      <c r="F3549" s="1">
        <v>5.9089999999999998</v>
      </c>
    </row>
    <row r="3550" spans="1:6">
      <c r="A3550" t="s">
        <v>85</v>
      </c>
      <c r="B3550" t="s">
        <v>1386</v>
      </c>
      <c r="C3550" s="1" t="s">
        <v>1396</v>
      </c>
      <c r="D3550" s="7">
        <v>1603</v>
      </c>
      <c r="E3550" t="s">
        <v>11</v>
      </c>
      <c r="F3550" s="1">
        <v>5.9480000000000004</v>
      </c>
    </row>
    <row r="3551" spans="1:6">
      <c r="A3551" t="s">
        <v>85</v>
      </c>
      <c r="B3551" t="s">
        <v>1386</v>
      </c>
      <c r="C3551" s="3" t="s">
        <v>1397</v>
      </c>
      <c r="D3551" s="7">
        <v>5175</v>
      </c>
      <c r="E3551" t="s">
        <v>12</v>
      </c>
      <c r="F3551" s="10">
        <v>2.23</v>
      </c>
    </row>
    <row r="3552" spans="1:6">
      <c r="A3552" t="s">
        <v>85</v>
      </c>
      <c r="B3552" t="s">
        <v>1386</v>
      </c>
      <c r="C3552" s="3" t="s">
        <v>1398</v>
      </c>
      <c r="D3552" s="7">
        <v>5174</v>
      </c>
      <c r="E3552" t="s">
        <v>12</v>
      </c>
      <c r="F3552" s="10">
        <v>2.2200000000000002</v>
      </c>
    </row>
    <row r="3553" spans="1:6">
      <c r="A3553" t="s">
        <v>85</v>
      </c>
      <c r="B3553" t="s">
        <v>1386</v>
      </c>
      <c r="C3553" s="3" t="s">
        <v>1399</v>
      </c>
      <c r="D3553" s="7">
        <v>5176</v>
      </c>
      <c r="E3553" t="s">
        <v>12</v>
      </c>
      <c r="F3553" s="10">
        <v>2.19</v>
      </c>
    </row>
    <row r="3554" spans="1:6">
      <c r="A3554" t="s">
        <v>85</v>
      </c>
      <c r="B3554" t="s">
        <v>1400</v>
      </c>
      <c r="C3554" s="1" t="s">
        <v>1401</v>
      </c>
      <c r="D3554" s="7">
        <v>2538</v>
      </c>
      <c r="E3554" t="s">
        <v>9</v>
      </c>
      <c r="F3554" s="1">
        <v>1.3979999999999999</v>
      </c>
    </row>
    <row r="3555" spans="1:6">
      <c r="A3555" t="s">
        <v>85</v>
      </c>
      <c r="B3555" t="s">
        <v>1400</v>
      </c>
      <c r="C3555" s="1" t="s">
        <v>1402</v>
      </c>
      <c r="D3555" s="7">
        <v>2544</v>
      </c>
      <c r="E3555" t="s">
        <v>9</v>
      </c>
      <c r="F3555" s="1">
        <v>1.3819999999999999</v>
      </c>
    </row>
    <row r="3556" spans="1:6">
      <c r="A3556" t="s">
        <v>85</v>
      </c>
      <c r="B3556" t="s">
        <v>1400</v>
      </c>
      <c r="C3556" s="1" t="s">
        <v>1403</v>
      </c>
      <c r="D3556" s="7">
        <v>2550</v>
      </c>
      <c r="E3556" t="s">
        <v>9</v>
      </c>
      <c r="F3556" s="1">
        <v>1.403</v>
      </c>
    </row>
    <row r="3557" spans="1:6">
      <c r="A3557" t="s">
        <v>85</v>
      </c>
      <c r="B3557" t="s">
        <v>1400</v>
      </c>
      <c r="C3557" s="1" t="s">
        <v>1404</v>
      </c>
      <c r="D3557" s="7">
        <v>2556</v>
      </c>
      <c r="E3557" t="s">
        <v>9</v>
      </c>
      <c r="F3557" s="1">
        <v>1.4139999999999999</v>
      </c>
    </row>
    <row r="3558" spans="1:6">
      <c r="A3558" t="s">
        <v>85</v>
      </c>
      <c r="B3558" t="s">
        <v>1400</v>
      </c>
      <c r="C3558" s="1" t="s">
        <v>1405</v>
      </c>
      <c r="D3558" s="7">
        <v>2562</v>
      </c>
      <c r="E3558" t="s">
        <v>9</v>
      </c>
      <c r="F3558" s="1">
        <v>1.458</v>
      </c>
    </row>
    <row r="3559" spans="1:6">
      <c r="A3559" t="s">
        <v>85</v>
      </c>
      <c r="B3559" t="s">
        <v>1400</v>
      </c>
      <c r="C3559" s="1" t="s">
        <v>1406</v>
      </c>
      <c r="D3559" s="7">
        <v>2568</v>
      </c>
      <c r="E3559" t="s">
        <v>9</v>
      </c>
      <c r="F3559" s="1">
        <v>1.4379999999999999</v>
      </c>
    </row>
    <row r="3560" spans="1:6">
      <c r="A3560" t="s">
        <v>85</v>
      </c>
      <c r="B3560" t="s">
        <v>1400</v>
      </c>
      <c r="C3560" s="1" t="s">
        <v>1407</v>
      </c>
      <c r="D3560" s="7">
        <v>2574</v>
      </c>
      <c r="E3560" t="s">
        <v>9</v>
      </c>
      <c r="F3560" s="9">
        <v>1.44</v>
      </c>
    </row>
    <row r="3561" spans="1:6">
      <c r="A3561" t="s">
        <v>85</v>
      </c>
      <c r="B3561" t="s">
        <v>1400</v>
      </c>
      <c r="C3561" s="1" t="s">
        <v>1408</v>
      </c>
      <c r="D3561" s="7">
        <v>2580</v>
      </c>
      <c r="E3561" t="s">
        <v>9</v>
      </c>
      <c r="F3561" s="1">
        <v>1.454</v>
      </c>
    </row>
    <row r="3562" spans="1:6">
      <c r="A3562" t="s">
        <v>85</v>
      </c>
      <c r="B3562" t="s">
        <v>1400</v>
      </c>
      <c r="C3562" s="1" t="s">
        <v>1409</v>
      </c>
      <c r="D3562" s="7">
        <v>2586</v>
      </c>
      <c r="E3562" t="s">
        <v>9</v>
      </c>
      <c r="F3562" s="1">
        <v>1.462</v>
      </c>
    </row>
    <row r="3563" spans="1:6">
      <c r="A3563" t="s">
        <v>85</v>
      </c>
      <c r="B3563" t="s">
        <v>1400</v>
      </c>
      <c r="C3563" s="1" t="s">
        <v>1401</v>
      </c>
      <c r="D3563" s="7">
        <v>2539</v>
      </c>
      <c r="E3563" t="s">
        <v>10</v>
      </c>
      <c r="F3563" s="1">
        <v>3.206</v>
      </c>
    </row>
    <row r="3564" spans="1:6">
      <c r="A3564" t="s">
        <v>85</v>
      </c>
      <c r="B3564" t="s">
        <v>1400</v>
      </c>
      <c r="C3564" s="1" t="s">
        <v>1402</v>
      </c>
      <c r="D3564" s="7">
        <v>2545</v>
      </c>
      <c r="E3564" t="s">
        <v>10</v>
      </c>
      <c r="F3564" s="1">
        <v>3.617</v>
      </c>
    </row>
    <row r="3565" spans="1:6">
      <c r="A3565" t="s">
        <v>85</v>
      </c>
      <c r="B3565" t="s">
        <v>1400</v>
      </c>
      <c r="C3565" s="1" t="s">
        <v>1403</v>
      </c>
      <c r="D3565" s="7">
        <v>2551</v>
      </c>
      <c r="E3565" t="s">
        <v>10</v>
      </c>
      <c r="F3565" s="1">
        <v>3.2330000000000001</v>
      </c>
    </row>
    <row r="3566" spans="1:6">
      <c r="A3566" t="s">
        <v>85</v>
      </c>
      <c r="B3566" t="s">
        <v>1400</v>
      </c>
      <c r="C3566" s="1" t="s">
        <v>1404</v>
      </c>
      <c r="D3566" s="7">
        <v>2557</v>
      </c>
      <c r="E3566" t="s">
        <v>10</v>
      </c>
      <c r="F3566" s="1">
        <v>3.335</v>
      </c>
    </row>
    <row r="3567" spans="1:6">
      <c r="A3567" t="s">
        <v>85</v>
      </c>
      <c r="B3567" t="s">
        <v>1400</v>
      </c>
      <c r="C3567" s="1" t="s">
        <v>1405</v>
      </c>
      <c r="D3567" s="7">
        <v>2563</v>
      </c>
      <c r="E3567" t="s">
        <v>10</v>
      </c>
      <c r="F3567" s="1">
        <v>3.3919999999999999</v>
      </c>
    </row>
    <row r="3568" spans="1:6">
      <c r="A3568" t="s">
        <v>85</v>
      </c>
      <c r="B3568" t="s">
        <v>1400</v>
      </c>
      <c r="C3568" s="1" t="s">
        <v>1406</v>
      </c>
      <c r="D3568" s="7">
        <v>2569</v>
      </c>
      <c r="E3568" t="s">
        <v>10</v>
      </c>
      <c r="F3568" s="1">
        <v>3.2090000000000001</v>
      </c>
    </row>
    <row r="3569" spans="1:6">
      <c r="A3569" t="s">
        <v>85</v>
      </c>
      <c r="B3569" t="s">
        <v>1400</v>
      </c>
      <c r="C3569" s="1" t="s">
        <v>1407</v>
      </c>
      <c r="D3569" s="7">
        <v>2575</v>
      </c>
      <c r="E3569" t="s">
        <v>10</v>
      </c>
      <c r="F3569" s="9">
        <v>3.37</v>
      </c>
    </row>
    <row r="3570" spans="1:6">
      <c r="A3570" t="s">
        <v>85</v>
      </c>
      <c r="B3570" t="s">
        <v>1400</v>
      </c>
      <c r="C3570" s="1" t="s">
        <v>1408</v>
      </c>
      <c r="D3570" s="7">
        <v>2581</v>
      </c>
      <c r="E3570" t="s">
        <v>10</v>
      </c>
      <c r="F3570" s="1">
        <v>3.3610000000000002</v>
      </c>
    </row>
    <row r="3571" spans="1:6">
      <c r="A3571" t="s">
        <v>85</v>
      </c>
      <c r="B3571" t="s">
        <v>1400</v>
      </c>
      <c r="C3571" s="1" t="s">
        <v>1409</v>
      </c>
      <c r="D3571" s="7">
        <v>2587</v>
      </c>
      <c r="E3571" t="s">
        <v>10</v>
      </c>
      <c r="F3571" s="1">
        <v>3.464</v>
      </c>
    </row>
    <row r="3572" spans="1:6">
      <c r="A3572" t="s">
        <v>85</v>
      </c>
      <c r="B3572" t="s">
        <v>1400</v>
      </c>
      <c r="C3572" s="1" t="s">
        <v>1401</v>
      </c>
      <c r="D3572" s="7">
        <v>2537</v>
      </c>
      <c r="E3572" t="s">
        <v>11</v>
      </c>
      <c r="F3572" s="1">
        <v>7.0359999999999996</v>
      </c>
    </row>
    <row r="3573" spans="1:6">
      <c r="A3573" t="s">
        <v>85</v>
      </c>
      <c r="B3573" t="s">
        <v>1400</v>
      </c>
      <c r="C3573" s="1" t="s">
        <v>1402</v>
      </c>
      <c r="D3573" s="7">
        <v>2543</v>
      </c>
      <c r="E3573" t="s">
        <v>11</v>
      </c>
      <c r="F3573" s="1">
        <v>7.0510000000000002</v>
      </c>
    </row>
    <row r="3574" spans="1:6">
      <c r="A3574" t="s">
        <v>85</v>
      </c>
      <c r="B3574" t="s">
        <v>1400</v>
      </c>
      <c r="C3574" s="1" t="s">
        <v>1403</v>
      </c>
      <c r="D3574" s="7">
        <v>2549</v>
      </c>
      <c r="E3574" t="s">
        <v>11</v>
      </c>
      <c r="F3574" s="1">
        <v>6.8639999999999999</v>
      </c>
    </row>
    <row r="3575" spans="1:6">
      <c r="A3575" t="s">
        <v>85</v>
      </c>
      <c r="B3575" t="s">
        <v>1400</v>
      </c>
      <c r="C3575" s="1" t="s">
        <v>1404</v>
      </c>
      <c r="D3575" s="7">
        <v>2555</v>
      </c>
      <c r="E3575" t="s">
        <v>11</v>
      </c>
      <c r="F3575" s="9">
        <v>7.05</v>
      </c>
    </row>
    <row r="3576" spans="1:6">
      <c r="A3576" t="s">
        <v>85</v>
      </c>
      <c r="B3576" t="s">
        <v>1400</v>
      </c>
      <c r="C3576" s="1" t="s">
        <v>1405</v>
      </c>
      <c r="D3576" s="7">
        <v>2561</v>
      </c>
      <c r="E3576" t="s">
        <v>11</v>
      </c>
      <c r="F3576" s="1">
        <v>7.1909999999999998</v>
      </c>
    </row>
    <row r="3577" spans="1:6">
      <c r="A3577" t="s">
        <v>85</v>
      </c>
      <c r="B3577" t="s">
        <v>1400</v>
      </c>
      <c r="C3577" s="1" t="s">
        <v>1406</v>
      </c>
      <c r="D3577" s="7">
        <v>2567</v>
      </c>
      <c r="E3577" t="s">
        <v>11</v>
      </c>
      <c r="F3577" s="1">
        <v>6.6310000000000002</v>
      </c>
    </row>
    <row r="3578" spans="1:6">
      <c r="A3578" t="s">
        <v>85</v>
      </c>
      <c r="B3578" t="s">
        <v>1400</v>
      </c>
      <c r="C3578" s="1" t="s">
        <v>1407</v>
      </c>
      <c r="D3578" s="7">
        <v>2573</v>
      </c>
      <c r="E3578" t="s">
        <v>11</v>
      </c>
      <c r="F3578" s="1">
        <v>6.9260000000000002</v>
      </c>
    </row>
    <row r="3579" spans="1:6">
      <c r="A3579" t="s">
        <v>85</v>
      </c>
      <c r="B3579" t="s">
        <v>1400</v>
      </c>
      <c r="C3579" s="1" t="s">
        <v>1408</v>
      </c>
      <c r="D3579" s="7">
        <v>2579</v>
      </c>
      <c r="E3579" t="s">
        <v>11</v>
      </c>
      <c r="F3579" s="1">
        <v>7.0579999999999998</v>
      </c>
    </row>
    <row r="3580" spans="1:6">
      <c r="A3580" t="s">
        <v>85</v>
      </c>
      <c r="B3580" t="s">
        <v>1400</v>
      </c>
      <c r="C3580" s="1" t="s">
        <v>1409</v>
      </c>
      <c r="D3580" s="7">
        <v>2585</v>
      </c>
      <c r="E3580" t="s">
        <v>11</v>
      </c>
      <c r="F3580" s="1">
        <v>7.1260000000000003</v>
      </c>
    </row>
    <row r="3581" spans="1:6">
      <c r="A3581" t="s">
        <v>85</v>
      </c>
      <c r="B3581" t="s">
        <v>1400</v>
      </c>
      <c r="C3581" s="3" t="s">
        <v>1410</v>
      </c>
      <c r="D3581" s="7">
        <v>5178</v>
      </c>
      <c r="E3581" t="s">
        <v>12</v>
      </c>
      <c r="F3581" s="10">
        <v>2.41</v>
      </c>
    </row>
    <row r="3582" spans="1:6">
      <c r="A3582" t="s">
        <v>85</v>
      </c>
      <c r="B3582" t="s">
        <v>1400</v>
      </c>
      <c r="C3582" s="3" t="s">
        <v>40</v>
      </c>
      <c r="D3582" s="7">
        <v>5177</v>
      </c>
      <c r="E3582" t="s">
        <v>12</v>
      </c>
      <c r="F3582" s="10">
        <v>2.54</v>
      </c>
    </row>
    <row r="3583" spans="1:6">
      <c r="A3583" t="s">
        <v>85</v>
      </c>
      <c r="B3583" t="s">
        <v>1411</v>
      </c>
      <c r="C3583" s="1" t="s">
        <v>1412</v>
      </c>
      <c r="D3583" s="7">
        <v>1082</v>
      </c>
      <c r="E3583" t="s">
        <v>9</v>
      </c>
      <c r="F3583" s="1">
        <v>1.4259999999999999</v>
      </c>
    </row>
    <row r="3584" spans="1:6">
      <c r="A3584" t="s">
        <v>85</v>
      </c>
      <c r="B3584" t="s">
        <v>1411</v>
      </c>
      <c r="C3584" s="1" t="s">
        <v>1413</v>
      </c>
      <c r="D3584" s="7">
        <v>1736</v>
      </c>
      <c r="E3584" t="s">
        <v>9</v>
      </c>
      <c r="F3584" s="1">
        <v>1.4319999999999999</v>
      </c>
    </row>
    <row r="3585" spans="1:6">
      <c r="A3585" t="s">
        <v>85</v>
      </c>
      <c r="B3585" t="s">
        <v>1411</v>
      </c>
      <c r="C3585" s="1" t="s">
        <v>1414</v>
      </c>
      <c r="D3585" s="7">
        <v>1742</v>
      </c>
      <c r="E3585" t="s">
        <v>9</v>
      </c>
      <c r="F3585" s="1">
        <v>1.4650000000000001</v>
      </c>
    </row>
    <row r="3586" spans="1:6">
      <c r="A3586" t="s">
        <v>85</v>
      </c>
      <c r="B3586" t="s">
        <v>1411</v>
      </c>
      <c r="C3586" s="1" t="s">
        <v>1415</v>
      </c>
      <c r="D3586" s="7">
        <v>2592</v>
      </c>
      <c r="E3586" t="s">
        <v>9</v>
      </c>
      <c r="F3586" s="1">
        <v>1.393</v>
      </c>
    </row>
    <row r="3587" spans="1:6">
      <c r="A3587" t="s">
        <v>85</v>
      </c>
      <c r="B3587" t="s">
        <v>1411</v>
      </c>
      <c r="C3587" s="1" t="s">
        <v>1416</v>
      </c>
      <c r="D3587" s="7">
        <v>2622</v>
      </c>
      <c r="E3587" t="s">
        <v>9</v>
      </c>
      <c r="F3587" s="1">
        <v>1.4019999999999999</v>
      </c>
    </row>
    <row r="3588" spans="1:6">
      <c r="A3588" t="s">
        <v>85</v>
      </c>
      <c r="B3588" t="s">
        <v>1411</v>
      </c>
      <c r="C3588" s="1" t="s">
        <v>1417</v>
      </c>
      <c r="D3588" s="7">
        <v>2628</v>
      </c>
      <c r="E3588" t="s">
        <v>9</v>
      </c>
      <c r="F3588" s="9">
        <v>1.33</v>
      </c>
    </row>
    <row r="3589" spans="1:6">
      <c r="A3589" t="s">
        <v>85</v>
      </c>
      <c r="B3589" t="s">
        <v>1411</v>
      </c>
      <c r="C3589" s="1" t="s">
        <v>1418</v>
      </c>
      <c r="D3589" s="7">
        <v>2634</v>
      </c>
      <c r="E3589" t="s">
        <v>9</v>
      </c>
      <c r="F3589" s="1">
        <v>1.369</v>
      </c>
    </row>
    <row r="3590" spans="1:6">
      <c r="A3590" t="s">
        <v>85</v>
      </c>
      <c r="B3590" t="s">
        <v>1411</v>
      </c>
      <c r="C3590" s="1" t="s">
        <v>1419</v>
      </c>
      <c r="D3590" s="7">
        <v>2616</v>
      </c>
      <c r="E3590" t="s">
        <v>9</v>
      </c>
      <c r="F3590" s="1">
        <v>1.4350000000000001</v>
      </c>
    </row>
    <row r="3591" spans="1:6">
      <c r="A3591" t="s">
        <v>85</v>
      </c>
      <c r="B3591" t="s">
        <v>1411</v>
      </c>
      <c r="C3591" s="1" t="s">
        <v>1420</v>
      </c>
      <c r="D3591" s="7">
        <v>2640</v>
      </c>
      <c r="E3591" t="s">
        <v>9</v>
      </c>
      <c r="F3591" s="1">
        <v>1.425</v>
      </c>
    </row>
    <row r="3592" spans="1:6">
      <c r="A3592" t="s">
        <v>85</v>
      </c>
      <c r="B3592" t="s">
        <v>1411</v>
      </c>
      <c r="C3592" s="1" t="s">
        <v>1421</v>
      </c>
      <c r="D3592" s="7">
        <v>2646</v>
      </c>
      <c r="E3592" t="s">
        <v>9</v>
      </c>
      <c r="F3592" s="1">
        <v>1.468</v>
      </c>
    </row>
    <row r="3593" spans="1:6">
      <c r="A3593" t="s">
        <v>85</v>
      </c>
      <c r="B3593" t="s">
        <v>1411</v>
      </c>
      <c r="C3593" s="1" t="s">
        <v>1412</v>
      </c>
      <c r="D3593" s="7">
        <v>1083</v>
      </c>
      <c r="E3593" t="s">
        <v>10</v>
      </c>
      <c r="F3593" s="1">
        <v>1.6259999999999999</v>
      </c>
    </row>
    <row r="3594" spans="1:6">
      <c r="A3594" t="s">
        <v>85</v>
      </c>
      <c r="B3594" t="s">
        <v>1411</v>
      </c>
      <c r="C3594" s="1" t="s">
        <v>1413</v>
      </c>
      <c r="D3594" s="7">
        <v>1737</v>
      </c>
      <c r="E3594" t="s">
        <v>10</v>
      </c>
      <c r="F3594" s="1">
        <v>1.6879999999999999</v>
      </c>
    </row>
    <row r="3595" spans="1:6">
      <c r="A3595" t="s">
        <v>85</v>
      </c>
      <c r="B3595" t="s">
        <v>1411</v>
      </c>
      <c r="C3595" s="1" t="s">
        <v>1414</v>
      </c>
      <c r="D3595" s="7">
        <v>1743</v>
      </c>
      <c r="E3595" t="s">
        <v>10</v>
      </c>
      <c r="F3595" s="1">
        <v>1.591</v>
      </c>
    </row>
    <row r="3596" spans="1:6">
      <c r="A3596" t="s">
        <v>85</v>
      </c>
      <c r="B3596" t="s">
        <v>1411</v>
      </c>
      <c r="C3596" s="1" t="s">
        <v>1415</v>
      </c>
      <c r="D3596" s="7">
        <v>2593</v>
      </c>
      <c r="E3596" t="s">
        <v>10</v>
      </c>
      <c r="F3596" s="1">
        <v>1.8089999999999999</v>
      </c>
    </row>
    <row r="3597" spans="1:6">
      <c r="A3597" t="s">
        <v>85</v>
      </c>
      <c r="B3597" t="s">
        <v>1411</v>
      </c>
      <c r="C3597" s="1" t="s">
        <v>1416</v>
      </c>
      <c r="D3597" s="7">
        <v>2623</v>
      </c>
      <c r="E3597" t="s">
        <v>10</v>
      </c>
      <c r="F3597" s="1">
        <v>1.7769999999999999</v>
      </c>
    </row>
    <row r="3598" spans="1:6">
      <c r="A3598" t="s">
        <v>85</v>
      </c>
      <c r="B3598" t="s">
        <v>1411</v>
      </c>
      <c r="C3598" s="1" t="s">
        <v>1417</v>
      </c>
      <c r="D3598" s="7">
        <v>2629</v>
      </c>
      <c r="E3598" t="s">
        <v>10</v>
      </c>
      <c r="F3598" s="1">
        <v>1.758</v>
      </c>
    </row>
    <row r="3599" spans="1:6">
      <c r="A3599" t="s">
        <v>85</v>
      </c>
      <c r="B3599" t="s">
        <v>1411</v>
      </c>
      <c r="C3599" s="1" t="s">
        <v>1418</v>
      </c>
      <c r="D3599" s="7">
        <v>2635</v>
      </c>
      <c r="E3599" t="s">
        <v>10</v>
      </c>
      <c r="F3599" s="1">
        <v>1.5960000000000001</v>
      </c>
    </row>
    <row r="3600" spans="1:6">
      <c r="A3600" t="s">
        <v>85</v>
      </c>
      <c r="B3600" t="s">
        <v>1411</v>
      </c>
      <c r="C3600" s="1" t="s">
        <v>1419</v>
      </c>
      <c r="D3600" s="7">
        <v>2617</v>
      </c>
      <c r="E3600" t="s">
        <v>10</v>
      </c>
      <c r="F3600" s="1">
        <v>1.7629999999999999</v>
      </c>
    </row>
    <row r="3601" spans="1:6">
      <c r="A3601" t="s">
        <v>85</v>
      </c>
      <c r="B3601" t="s">
        <v>1411</v>
      </c>
      <c r="C3601" s="1" t="s">
        <v>1420</v>
      </c>
      <c r="D3601" s="7">
        <v>2641</v>
      </c>
      <c r="E3601" t="s">
        <v>10</v>
      </c>
      <c r="F3601" s="1">
        <v>1.742</v>
      </c>
    </row>
    <row r="3602" spans="1:6">
      <c r="A3602" t="s">
        <v>85</v>
      </c>
      <c r="B3602" t="s">
        <v>1411</v>
      </c>
      <c r="C3602" s="1" t="s">
        <v>1421</v>
      </c>
      <c r="D3602" s="7">
        <v>2647</v>
      </c>
      <c r="E3602" t="s">
        <v>10</v>
      </c>
      <c r="F3602" s="1">
        <v>1.7549999999999999</v>
      </c>
    </row>
    <row r="3603" spans="1:6">
      <c r="A3603" t="s">
        <v>85</v>
      </c>
      <c r="B3603" t="s">
        <v>1411</v>
      </c>
      <c r="C3603" s="1" t="s">
        <v>1412</v>
      </c>
      <c r="D3603" s="7">
        <v>1081</v>
      </c>
      <c r="E3603" t="s">
        <v>11</v>
      </c>
      <c r="F3603" s="1">
        <v>5.5179999999999998</v>
      </c>
    </row>
    <row r="3604" spans="1:6">
      <c r="A3604" t="s">
        <v>85</v>
      </c>
      <c r="B3604" t="s">
        <v>1411</v>
      </c>
      <c r="C3604" s="1" t="s">
        <v>1413</v>
      </c>
      <c r="D3604" s="7">
        <v>1735</v>
      </c>
      <c r="E3604" t="s">
        <v>11</v>
      </c>
      <c r="F3604" s="1">
        <v>5.5519999999999996</v>
      </c>
    </row>
    <row r="3605" spans="1:6">
      <c r="A3605" t="s">
        <v>85</v>
      </c>
      <c r="B3605" t="s">
        <v>1411</v>
      </c>
      <c r="C3605" s="1" t="s">
        <v>1414</v>
      </c>
      <c r="D3605" s="7">
        <v>1741</v>
      </c>
      <c r="E3605" t="s">
        <v>11</v>
      </c>
      <c r="F3605" s="1">
        <v>5.4560000000000004</v>
      </c>
    </row>
    <row r="3606" spans="1:6">
      <c r="A3606" t="s">
        <v>85</v>
      </c>
      <c r="B3606" t="s">
        <v>1411</v>
      </c>
      <c r="C3606" s="1" t="s">
        <v>1415</v>
      </c>
      <c r="D3606" s="7">
        <v>2591</v>
      </c>
      <c r="E3606" t="s">
        <v>11</v>
      </c>
      <c r="F3606" s="1">
        <v>5.5810000000000004</v>
      </c>
    </row>
    <row r="3607" spans="1:6">
      <c r="A3607" t="s">
        <v>85</v>
      </c>
      <c r="B3607" t="s">
        <v>1411</v>
      </c>
      <c r="C3607" s="1" t="s">
        <v>1416</v>
      </c>
      <c r="D3607" s="7">
        <v>2621</v>
      </c>
      <c r="E3607" t="s">
        <v>11</v>
      </c>
      <c r="F3607" s="1">
        <v>5.891</v>
      </c>
    </row>
    <row r="3608" spans="1:6">
      <c r="A3608" t="s">
        <v>85</v>
      </c>
      <c r="B3608" t="s">
        <v>1411</v>
      </c>
      <c r="C3608" s="1" t="s">
        <v>1417</v>
      </c>
      <c r="D3608" s="7">
        <v>2627</v>
      </c>
      <c r="E3608" t="s">
        <v>11</v>
      </c>
      <c r="F3608" s="1">
        <v>5.5839999999999996</v>
      </c>
    </row>
    <row r="3609" spans="1:6">
      <c r="A3609" t="s">
        <v>85</v>
      </c>
      <c r="B3609" t="s">
        <v>1411</v>
      </c>
      <c r="C3609" s="1" t="s">
        <v>1418</v>
      </c>
      <c r="D3609" s="7">
        <v>2633</v>
      </c>
      <c r="E3609" t="s">
        <v>11</v>
      </c>
      <c r="F3609" s="1">
        <v>5.673</v>
      </c>
    </row>
    <row r="3610" spans="1:6">
      <c r="A3610" t="s">
        <v>85</v>
      </c>
      <c r="B3610" t="s">
        <v>1411</v>
      </c>
      <c r="C3610" s="1" t="s">
        <v>1419</v>
      </c>
      <c r="D3610" s="7">
        <v>2615</v>
      </c>
      <c r="E3610" t="s">
        <v>11</v>
      </c>
      <c r="F3610" s="1">
        <v>5.5519999999999996</v>
      </c>
    </row>
    <row r="3611" spans="1:6">
      <c r="A3611" t="s">
        <v>85</v>
      </c>
      <c r="B3611" t="s">
        <v>1411</v>
      </c>
      <c r="C3611" s="1" t="s">
        <v>1420</v>
      </c>
      <c r="D3611" s="7">
        <v>2639</v>
      </c>
      <c r="E3611" t="s">
        <v>11</v>
      </c>
      <c r="F3611" s="1">
        <v>5.8019999999999996</v>
      </c>
    </row>
    <row r="3612" spans="1:6">
      <c r="A3612" t="s">
        <v>85</v>
      </c>
      <c r="B3612" t="s">
        <v>1411</v>
      </c>
      <c r="C3612" s="1" t="s">
        <v>1421</v>
      </c>
      <c r="D3612" s="7">
        <v>2645</v>
      </c>
      <c r="E3612" t="s">
        <v>11</v>
      </c>
      <c r="F3612" s="1">
        <v>5.8049999999999997</v>
      </c>
    </row>
    <row r="3613" spans="1:6">
      <c r="A3613" t="s">
        <v>85</v>
      </c>
      <c r="B3613" t="s">
        <v>1411</v>
      </c>
      <c r="C3613" s="3" t="s">
        <v>1412</v>
      </c>
      <c r="D3613" s="7">
        <v>5159</v>
      </c>
      <c r="E3613" t="s">
        <v>12</v>
      </c>
      <c r="F3613" s="10">
        <v>1.84</v>
      </c>
    </row>
    <row r="3614" spans="1:6">
      <c r="A3614" t="s">
        <v>85</v>
      </c>
      <c r="B3614" t="s">
        <v>1411</v>
      </c>
      <c r="C3614" s="3" t="s">
        <v>1422</v>
      </c>
      <c r="D3614" s="7">
        <v>5160</v>
      </c>
      <c r="E3614" t="s">
        <v>12</v>
      </c>
      <c r="F3614" s="10">
        <v>1.91</v>
      </c>
    </row>
    <row r="3615" spans="1:6">
      <c r="A3615" t="s">
        <v>85</v>
      </c>
      <c r="B3615" t="s">
        <v>1411</v>
      </c>
      <c r="C3615" s="3" t="s">
        <v>1423</v>
      </c>
      <c r="D3615" s="7">
        <v>5161</v>
      </c>
      <c r="E3615" t="s">
        <v>12</v>
      </c>
      <c r="F3615" s="10">
        <v>1.94</v>
      </c>
    </row>
    <row r="3616" spans="1:6">
      <c r="A3616" t="s">
        <v>85</v>
      </c>
      <c r="B3616" t="s">
        <v>1424</v>
      </c>
      <c r="C3616" s="1" t="s">
        <v>1425</v>
      </c>
      <c r="D3616" s="7">
        <v>962</v>
      </c>
      <c r="E3616" t="s">
        <v>9</v>
      </c>
      <c r="F3616" s="1">
        <v>1.5489999999999999</v>
      </c>
    </row>
    <row r="3617" spans="1:6">
      <c r="A3617" t="s">
        <v>85</v>
      </c>
      <c r="B3617" t="s">
        <v>1424</v>
      </c>
      <c r="C3617" s="1" t="s">
        <v>1426</v>
      </c>
      <c r="D3617" s="7">
        <v>968</v>
      </c>
      <c r="E3617" t="s">
        <v>9</v>
      </c>
      <c r="F3617" s="9">
        <v>1.48</v>
      </c>
    </row>
    <row r="3618" spans="1:6">
      <c r="A3618" t="s">
        <v>85</v>
      </c>
      <c r="B3618" t="s">
        <v>1424</v>
      </c>
      <c r="C3618" s="1" t="s">
        <v>1427</v>
      </c>
      <c r="D3618" s="7">
        <v>1088</v>
      </c>
      <c r="E3618" t="s">
        <v>9</v>
      </c>
      <c r="F3618" s="1">
        <v>1.4870000000000001</v>
      </c>
    </row>
    <row r="3619" spans="1:6">
      <c r="A3619" t="s">
        <v>85</v>
      </c>
      <c r="B3619" t="s">
        <v>1424</v>
      </c>
      <c r="C3619" s="1" t="s">
        <v>1428</v>
      </c>
      <c r="D3619" s="7">
        <v>1334</v>
      </c>
      <c r="E3619" t="s">
        <v>9</v>
      </c>
      <c r="F3619" s="1">
        <v>1.4890000000000001</v>
      </c>
    </row>
    <row r="3620" spans="1:6">
      <c r="A3620" t="s">
        <v>85</v>
      </c>
      <c r="B3620" t="s">
        <v>1424</v>
      </c>
      <c r="C3620" s="1" t="s">
        <v>1429</v>
      </c>
      <c r="D3620" s="7">
        <v>1562</v>
      </c>
      <c r="E3620" t="s">
        <v>9</v>
      </c>
      <c r="F3620" s="1">
        <v>1.5169999999999999</v>
      </c>
    </row>
    <row r="3621" spans="1:6">
      <c r="A3621" t="s">
        <v>85</v>
      </c>
      <c r="B3621" t="s">
        <v>1424</v>
      </c>
      <c r="C3621" s="1" t="s">
        <v>1430</v>
      </c>
      <c r="D3621" s="7">
        <v>1568</v>
      </c>
      <c r="E3621" t="s">
        <v>9</v>
      </c>
      <c r="F3621" s="1">
        <v>1.4750000000000001</v>
      </c>
    </row>
    <row r="3622" spans="1:6">
      <c r="A3622" t="s">
        <v>85</v>
      </c>
      <c r="B3622" t="s">
        <v>1424</v>
      </c>
      <c r="C3622" s="1" t="s">
        <v>1431</v>
      </c>
      <c r="D3622" s="7">
        <v>1574</v>
      </c>
      <c r="E3622" t="s">
        <v>9</v>
      </c>
      <c r="F3622" s="1">
        <v>1.381</v>
      </c>
    </row>
    <row r="3623" spans="1:6">
      <c r="A3623" t="s">
        <v>85</v>
      </c>
      <c r="B3623" t="s">
        <v>1424</v>
      </c>
      <c r="C3623" s="1" t="s">
        <v>1432</v>
      </c>
      <c r="D3623" s="7">
        <v>1580</v>
      </c>
      <c r="E3623" t="s">
        <v>9</v>
      </c>
      <c r="F3623" s="1">
        <v>1.5580000000000001</v>
      </c>
    </row>
    <row r="3624" spans="1:6">
      <c r="A3624" t="s">
        <v>85</v>
      </c>
      <c r="B3624" t="s">
        <v>1424</v>
      </c>
      <c r="C3624" s="1" t="s">
        <v>1433</v>
      </c>
      <c r="D3624" s="7">
        <v>1862</v>
      </c>
      <c r="E3624" t="s">
        <v>9</v>
      </c>
      <c r="F3624" s="1">
        <v>1.536</v>
      </c>
    </row>
    <row r="3625" spans="1:6">
      <c r="A3625" t="s">
        <v>85</v>
      </c>
      <c r="B3625" t="s">
        <v>1424</v>
      </c>
      <c r="C3625" s="1" t="s">
        <v>1434</v>
      </c>
      <c r="D3625" s="7">
        <v>1868</v>
      </c>
      <c r="E3625" t="s">
        <v>9</v>
      </c>
      <c r="F3625" s="1">
        <v>1.4670000000000001</v>
      </c>
    </row>
    <row r="3626" spans="1:6">
      <c r="A3626" t="s">
        <v>85</v>
      </c>
      <c r="B3626" t="s">
        <v>1424</v>
      </c>
      <c r="C3626" s="1" t="s">
        <v>1435</v>
      </c>
      <c r="D3626" s="7">
        <v>1874</v>
      </c>
      <c r="E3626" t="s">
        <v>9</v>
      </c>
      <c r="F3626" s="1">
        <v>1.448</v>
      </c>
    </row>
    <row r="3627" spans="1:6">
      <c r="A3627" t="s">
        <v>85</v>
      </c>
      <c r="B3627" t="s">
        <v>1424</v>
      </c>
      <c r="C3627" s="1" t="s">
        <v>1378</v>
      </c>
      <c r="D3627" s="7">
        <v>2598</v>
      </c>
      <c r="E3627" t="s">
        <v>9</v>
      </c>
      <c r="F3627" s="1">
        <v>1.4750000000000001</v>
      </c>
    </row>
    <row r="3628" spans="1:6">
      <c r="A3628" t="s">
        <v>85</v>
      </c>
      <c r="B3628" t="s">
        <v>1424</v>
      </c>
      <c r="C3628" s="1" t="s">
        <v>1379</v>
      </c>
      <c r="D3628" s="7">
        <v>2604</v>
      </c>
      <c r="E3628" t="s">
        <v>9</v>
      </c>
      <c r="F3628" s="1">
        <v>1.454</v>
      </c>
    </row>
    <row r="3629" spans="1:6">
      <c r="A3629" t="s">
        <v>85</v>
      </c>
      <c r="B3629" t="s">
        <v>1424</v>
      </c>
      <c r="C3629" s="1" t="s">
        <v>1380</v>
      </c>
      <c r="D3629" s="7">
        <v>2610</v>
      </c>
      <c r="E3629" t="s">
        <v>9</v>
      </c>
      <c r="F3629" s="1">
        <v>1.5169999999999999</v>
      </c>
    </row>
    <row r="3630" spans="1:6">
      <c r="A3630" t="s">
        <v>85</v>
      </c>
      <c r="B3630" t="s">
        <v>1424</v>
      </c>
      <c r="C3630" s="1" t="s">
        <v>1425</v>
      </c>
      <c r="D3630" s="7">
        <v>963</v>
      </c>
      <c r="E3630" t="s">
        <v>10</v>
      </c>
      <c r="F3630" s="1">
        <v>2.976</v>
      </c>
    </row>
    <row r="3631" spans="1:6">
      <c r="A3631" t="s">
        <v>85</v>
      </c>
      <c r="B3631" t="s">
        <v>1424</v>
      </c>
      <c r="C3631" s="1" t="s">
        <v>1426</v>
      </c>
      <c r="D3631" s="7">
        <v>969</v>
      </c>
      <c r="E3631" t="s">
        <v>10</v>
      </c>
      <c r="F3631" s="1">
        <v>3.1970000000000001</v>
      </c>
    </row>
    <row r="3632" spans="1:6">
      <c r="A3632" t="s">
        <v>85</v>
      </c>
      <c r="B3632" t="s">
        <v>1424</v>
      </c>
      <c r="C3632" s="1" t="s">
        <v>1427</v>
      </c>
      <c r="D3632" s="7">
        <v>1089</v>
      </c>
      <c r="E3632" t="s">
        <v>10</v>
      </c>
      <c r="F3632" s="1">
        <v>3.117</v>
      </c>
    </row>
    <row r="3633" spans="1:6">
      <c r="A3633" t="s">
        <v>85</v>
      </c>
      <c r="B3633" t="s">
        <v>1424</v>
      </c>
      <c r="C3633" s="1" t="s">
        <v>1428</v>
      </c>
      <c r="D3633" s="7">
        <v>1335</v>
      </c>
      <c r="E3633" t="s">
        <v>10</v>
      </c>
      <c r="F3633" s="9">
        <v>3.19</v>
      </c>
    </row>
    <row r="3634" spans="1:6">
      <c r="A3634" t="s">
        <v>85</v>
      </c>
      <c r="B3634" t="s">
        <v>1424</v>
      </c>
      <c r="C3634" s="1" t="s">
        <v>1429</v>
      </c>
      <c r="D3634" s="7">
        <v>1563</v>
      </c>
      <c r="E3634" t="s">
        <v>10</v>
      </c>
      <c r="F3634" s="1">
        <v>3.125</v>
      </c>
    </row>
    <row r="3635" spans="1:6">
      <c r="A3635" t="s">
        <v>85</v>
      </c>
      <c r="B3635" t="s">
        <v>1424</v>
      </c>
      <c r="C3635" s="1" t="s">
        <v>1430</v>
      </c>
      <c r="D3635" s="7">
        <v>1569</v>
      </c>
      <c r="E3635" t="s">
        <v>10</v>
      </c>
      <c r="F3635" s="1">
        <v>3.238</v>
      </c>
    </row>
    <row r="3636" spans="1:6">
      <c r="A3636" t="s">
        <v>85</v>
      </c>
      <c r="B3636" t="s">
        <v>1424</v>
      </c>
      <c r="C3636" s="1" t="s">
        <v>1431</v>
      </c>
      <c r="D3636" s="7">
        <v>1575</v>
      </c>
      <c r="E3636" t="s">
        <v>10</v>
      </c>
      <c r="F3636" s="1">
        <v>2.8980000000000001</v>
      </c>
    </row>
    <row r="3637" spans="1:6">
      <c r="A3637" t="s">
        <v>85</v>
      </c>
      <c r="B3637" t="s">
        <v>1424</v>
      </c>
      <c r="C3637" s="1" t="s">
        <v>1432</v>
      </c>
      <c r="D3637" s="7">
        <v>1581</v>
      </c>
      <c r="E3637" t="s">
        <v>10</v>
      </c>
      <c r="F3637" s="1">
        <v>2.0539999999999998</v>
      </c>
    </row>
    <row r="3638" spans="1:6">
      <c r="A3638" t="s">
        <v>85</v>
      </c>
      <c r="B3638" t="s">
        <v>1424</v>
      </c>
      <c r="C3638" s="1" t="s">
        <v>1433</v>
      </c>
      <c r="D3638" s="7">
        <v>1863</v>
      </c>
      <c r="E3638" t="s">
        <v>10</v>
      </c>
      <c r="F3638" s="1">
        <v>3.1819999999999999</v>
      </c>
    </row>
    <row r="3639" spans="1:6">
      <c r="A3639" t="s">
        <v>85</v>
      </c>
      <c r="B3639" t="s">
        <v>1424</v>
      </c>
      <c r="C3639" s="1" t="s">
        <v>1434</v>
      </c>
      <c r="D3639" s="7">
        <v>1869</v>
      </c>
      <c r="E3639" t="s">
        <v>10</v>
      </c>
      <c r="F3639" s="1">
        <v>3.0680000000000001</v>
      </c>
    </row>
    <row r="3640" spans="1:6">
      <c r="A3640" t="s">
        <v>85</v>
      </c>
      <c r="B3640" t="s">
        <v>1424</v>
      </c>
      <c r="C3640" s="1" t="s">
        <v>1435</v>
      </c>
      <c r="D3640" s="7">
        <v>1875</v>
      </c>
      <c r="E3640" t="s">
        <v>10</v>
      </c>
      <c r="F3640" s="1">
        <v>3.202</v>
      </c>
    </row>
    <row r="3641" spans="1:6">
      <c r="A3641" t="s">
        <v>85</v>
      </c>
      <c r="B3641" t="s">
        <v>1424</v>
      </c>
      <c r="C3641" s="1" t="s">
        <v>1378</v>
      </c>
      <c r="D3641" s="7">
        <v>2599</v>
      </c>
      <c r="E3641" t="s">
        <v>10</v>
      </c>
      <c r="F3641" s="1">
        <v>3.3239999999999998</v>
      </c>
    </row>
    <row r="3642" spans="1:6">
      <c r="A3642" t="s">
        <v>85</v>
      </c>
      <c r="B3642" t="s">
        <v>1424</v>
      </c>
      <c r="C3642" s="1" t="s">
        <v>1379</v>
      </c>
      <c r="D3642" s="7">
        <v>2605</v>
      </c>
      <c r="E3642" t="s">
        <v>10</v>
      </c>
      <c r="F3642" s="1">
        <v>3.056</v>
      </c>
    </row>
    <row r="3643" spans="1:6">
      <c r="A3643" t="s">
        <v>85</v>
      </c>
      <c r="B3643" t="s">
        <v>1424</v>
      </c>
      <c r="C3643" s="1" t="s">
        <v>1380</v>
      </c>
      <c r="D3643" s="7">
        <v>2611</v>
      </c>
      <c r="E3643" t="s">
        <v>10</v>
      </c>
      <c r="F3643" s="1">
        <v>3.3439999999999999</v>
      </c>
    </row>
    <row r="3644" spans="1:6">
      <c r="A3644" t="s">
        <v>85</v>
      </c>
      <c r="B3644" t="s">
        <v>1424</v>
      </c>
      <c r="C3644" s="1" t="s">
        <v>1425</v>
      </c>
      <c r="D3644" s="7">
        <v>961</v>
      </c>
      <c r="E3644" t="s">
        <v>11</v>
      </c>
      <c r="F3644" s="1">
        <v>6.6790000000000003</v>
      </c>
    </row>
    <row r="3645" spans="1:6">
      <c r="A3645" t="s">
        <v>85</v>
      </c>
      <c r="B3645" t="s">
        <v>1424</v>
      </c>
      <c r="C3645" s="1" t="s">
        <v>1426</v>
      </c>
      <c r="D3645" s="7">
        <v>967</v>
      </c>
      <c r="E3645" t="s">
        <v>11</v>
      </c>
      <c r="F3645" s="9">
        <v>7.02</v>
      </c>
    </row>
    <row r="3646" spans="1:6">
      <c r="A3646" t="s">
        <v>85</v>
      </c>
      <c r="B3646" t="s">
        <v>1424</v>
      </c>
      <c r="C3646" s="1" t="s">
        <v>1427</v>
      </c>
      <c r="D3646" s="7">
        <v>1087</v>
      </c>
      <c r="E3646" t="s">
        <v>11</v>
      </c>
      <c r="F3646" s="1">
        <v>7.1719999999999997</v>
      </c>
    </row>
    <row r="3647" spans="1:6">
      <c r="A3647" t="s">
        <v>85</v>
      </c>
      <c r="B3647" t="s">
        <v>1424</v>
      </c>
      <c r="C3647" s="1" t="s">
        <v>1428</v>
      </c>
      <c r="D3647" s="7">
        <v>1333</v>
      </c>
      <c r="E3647" t="s">
        <v>11</v>
      </c>
      <c r="F3647" s="9">
        <v>6.55</v>
      </c>
    </row>
    <row r="3648" spans="1:6">
      <c r="A3648" t="s">
        <v>85</v>
      </c>
      <c r="B3648" t="s">
        <v>1424</v>
      </c>
      <c r="C3648" s="1" t="s">
        <v>1429</v>
      </c>
      <c r="D3648" s="7">
        <v>1561</v>
      </c>
      <c r="E3648" t="s">
        <v>11</v>
      </c>
      <c r="F3648" s="1">
        <v>6.9119999999999999</v>
      </c>
    </row>
    <row r="3649" spans="1:6">
      <c r="A3649" t="s">
        <v>85</v>
      </c>
      <c r="B3649" t="s">
        <v>1424</v>
      </c>
      <c r="C3649" s="1" t="s">
        <v>1430</v>
      </c>
      <c r="D3649" s="7">
        <v>1567</v>
      </c>
      <c r="E3649" t="s">
        <v>11</v>
      </c>
      <c r="F3649" s="1">
        <v>6.7750000000000004</v>
      </c>
    </row>
    <row r="3650" spans="1:6">
      <c r="A3650" t="s">
        <v>85</v>
      </c>
      <c r="B3650" t="s">
        <v>1424</v>
      </c>
      <c r="C3650" s="1" t="s">
        <v>1431</v>
      </c>
      <c r="D3650" s="7">
        <v>1573</v>
      </c>
      <c r="E3650" t="s">
        <v>11</v>
      </c>
      <c r="F3650" s="9">
        <v>6.7</v>
      </c>
    </row>
    <row r="3651" spans="1:6">
      <c r="A3651" t="s">
        <v>85</v>
      </c>
      <c r="B3651" t="s">
        <v>1424</v>
      </c>
      <c r="C3651" s="1" t="s">
        <v>1432</v>
      </c>
      <c r="D3651" s="7">
        <v>1579</v>
      </c>
      <c r="E3651" t="s">
        <v>11</v>
      </c>
      <c r="F3651" s="1">
        <v>6.0129999999999999</v>
      </c>
    </row>
    <row r="3652" spans="1:6">
      <c r="A3652" t="s">
        <v>85</v>
      </c>
      <c r="B3652" t="s">
        <v>1424</v>
      </c>
      <c r="C3652" s="1" t="s">
        <v>1433</v>
      </c>
      <c r="D3652" s="7">
        <v>1861</v>
      </c>
      <c r="E3652" t="s">
        <v>11</v>
      </c>
      <c r="F3652" s="1">
        <v>6.8109999999999999</v>
      </c>
    </row>
    <row r="3653" spans="1:6">
      <c r="A3653" t="s">
        <v>85</v>
      </c>
      <c r="B3653" t="s">
        <v>1424</v>
      </c>
      <c r="C3653" s="1" t="s">
        <v>1434</v>
      </c>
      <c r="D3653" s="7">
        <v>1867</v>
      </c>
      <c r="E3653" t="s">
        <v>11</v>
      </c>
      <c r="F3653" s="1">
        <v>6.8540000000000001</v>
      </c>
    </row>
    <row r="3654" spans="1:6">
      <c r="A3654" t="s">
        <v>85</v>
      </c>
      <c r="B3654" t="s">
        <v>1424</v>
      </c>
      <c r="C3654" s="1" t="s">
        <v>1435</v>
      </c>
      <c r="D3654" s="7">
        <v>1873</v>
      </c>
      <c r="E3654" t="s">
        <v>11</v>
      </c>
      <c r="F3654" s="9">
        <v>7</v>
      </c>
    </row>
    <row r="3655" spans="1:6">
      <c r="A3655" t="s">
        <v>85</v>
      </c>
      <c r="B3655" t="s">
        <v>1424</v>
      </c>
      <c r="C3655" s="1" t="s">
        <v>1378</v>
      </c>
      <c r="D3655" s="7">
        <v>2597</v>
      </c>
      <c r="E3655" t="s">
        <v>11</v>
      </c>
      <c r="F3655" s="1">
        <v>6.625</v>
      </c>
    </row>
    <row r="3656" spans="1:6">
      <c r="A3656" t="s">
        <v>85</v>
      </c>
      <c r="B3656" t="s">
        <v>1424</v>
      </c>
      <c r="C3656" s="1" t="s">
        <v>1379</v>
      </c>
      <c r="D3656" s="7">
        <v>2603</v>
      </c>
      <c r="E3656" t="s">
        <v>11</v>
      </c>
      <c r="F3656" s="9">
        <v>6.92</v>
      </c>
    </row>
    <row r="3657" spans="1:6">
      <c r="A3657" t="s">
        <v>85</v>
      </c>
      <c r="B3657" t="s">
        <v>1424</v>
      </c>
      <c r="C3657" s="1" t="s">
        <v>1380</v>
      </c>
      <c r="D3657" s="7">
        <v>2609</v>
      </c>
      <c r="E3657" t="s">
        <v>11</v>
      </c>
      <c r="F3657" s="1">
        <v>7.0049999999999999</v>
      </c>
    </row>
    <row r="3658" spans="1:6">
      <c r="A3658" t="s">
        <v>85</v>
      </c>
      <c r="B3658" t="s">
        <v>1424</v>
      </c>
      <c r="C3658" s="3" t="s">
        <v>1436</v>
      </c>
      <c r="D3658" s="7">
        <v>5163</v>
      </c>
      <c r="E3658" t="s">
        <v>12</v>
      </c>
      <c r="F3658" s="10">
        <v>2.31</v>
      </c>
    </row>
    <row r="3659" spans="1:6">
      <c r="A3659" t="s">
        <v>85</v>
      </c>
      <c r="B3659" t="s">
        <v>1424</v>
      </c>
      <c r="C3659" s="3" t="s">
        <v>1437</v>
      </c>
      <c r="D3659" s="7">
        <v>5164</v>
      </c>
      <c r="E3659" t="s">
        <v>12</v>
      </c>
      <c r="F3659" s="10">
        <v>2.41</v>
      </c>
    </row>
    <row r="3660" spans="1:6">
      <c r="A3660" t="s">
        <v>85</v>
      </c>
      <c r="B3660" t="s">
        <v>1424</v>
      </c>
      <c r="C3660" s="3" t="s">
        <v>1438</v>
      </c>
      <c r="D3660" s="7">
        <v>5162</v>
      </c>
      <c r="E3660" t="s">
        <v>12</v>
      </c>
      <c r="F3660" s="10">
        <v>2.4300000000000002</v>
      </c>
    </row>
    <row r="3661" spans="1:6">
      <c r="A3661" t="s">
        <v>85</v>
      </c>
      <c r="B3661" s="2" t="s">
        <v>1439</v>
      </c>
      <c r="C3661" s="3" t="s">
        <v>1440</v>
      </c>
      <c r="D3661" s="7">
        <v>4825</v>
      </c>
      <c r="E3661" t="s">
        <v>9</v>
      </c>
      <c r="F3661" s="10">
        <v>1.3</v>
      </c>
    </row>
    <row r="3662" spans="1:6">
      <c r="A3662" t="s">
        <v>85</v>
      </c>
      <c r="B3662" s="2" t="s">
        <v>1439</v>
      </c>
      <c r="C3662" s="3" t="s">
        <v>1441</v>
      </c>
      <c r="D3662" s="7">
        <v>4830</v>
      </c>
      <c r="E3662" t="s">
        <v>9</v>
      </c>
      <c r="F3662" s="10">
        <v>1.3</v>
      </c>
    </row>
    <row r="3663" spans="1:6">
      <c r="A3663" t="s">
        <v>85</v>
      </c>
      <c r="B3663" s="2" t="s">
        <v>1439</v>
      </c>
      <c r="C3663" s="3" t="s">
        <v>1442</v>
      </c>
      <c r="D3663" s="7">
        <v>4835</v>
      </c>
      <c r="E3663" t="s">
        <v>9</v>
      </c>
      <c r="F3663" s="10">
        <v>1.34</v>
      </c>
    </row>
    <row r="3664" spans="1:6">
      <c r="A3664" t="s">
        <v>85</v>
      </c>
      <c r="B3664" s="2" t="s">
        <v>1439</v>
      </c>
      <c r="C3664" s="3" t="s">
        <v>1443</v>
      </c>
      <c r="D3664" s="7">
        <v>4840</v>
      </c>
      <c r="E3664" t="s">
        <v>9</v>
      </c>
      <c r="F3664" s="10">
        <v>1.35</v>
      </c>
    </row>
    <row r="3665" spans="1:6">
      <c r="A3665" t="s">
        <v>85</v>
      </c>
      <c r="B3665" s="2" t="s">
        <v>1439</v>
      </c>
      <c r="C3665" s="3" t="s">
        <v>1440</v>
      </c>
      <c r="D3665" s="7">
        <v>4823</v>
      </c>
      <c r="E3665" t="s">
        <v>11</v>
      </c>
      <c r="F3665" s="10">
        <v>5.49</v>
      </c>
    </row>
    <row r="3666" spans="1:6">
      <c r="A3666" t="s">
        <v>85</v>
      </c>
      <c r="B3666" s="2" t="s">
        <v>1439</v>
      </c>
      <c r="C3666" s="3" t="s">
        <v>1441</v>
      </c>
      <c r="D3666" s="7">
        <v>4828</v>
      </c>
      <c r="E3666" t="s">
        <v>11</v>
      </c>
      <c r="F3666" s="10">
        <v>5.19</v>
      </c>
    </row>
    <row r="3667" spans="1:6">
      <c r="A3667" t="s">
        <v>85</v>
      </c>
      <c r="B3667" s="2" t="s">
        <v>1439</v>
      </c>
      <c r="C3667" s="3" t="s">
        <v>1442</v>
      </c>
      <c r="D3667" s="7">
        <v>4833</v>
      </c>
      <c r="E3667" t="s">
        <v>11</v>
      </c>
      <c r="F3667" s="10">
        <v>5.9</v>
      </c>
    </row>
    <row r="3668" spans="1:6">
      <c r="A3668" t="s">
        <v>85</v>
      </c>
      <c r="B3668" s="2" t="s">
        <v>1439</v>
      </c>
      <c r="C3668" s="3" t="s">
        <v>1443</v>
      </c>
      <c r="D3668" s="7">
        <v>4838</v>
      </c>
      <c r="E3668" t="s">
        <v>11</v>
      </c>
      <c r="F3668" s="10">
        <v>5.28</v>
      </c>
    </row>
    <row r="3669" spans="1:6">
      <c r="A3669" t="s">
        <v>85</v>
      </c>
      <c r="B3669" s="2" t="s">
        <v>1439</v>
      </c>
      <c r="C3669" s="3" t="s">
        <v>1440</v>
      </c>
      <c r="D3669" s="7">
        <v>4824</v>
      </c>
      <c r="E3669" t="s">
        <v>12</v>
      </c>
      <c r="F3669" s="10">
        <v>2.0099999999999998</v>
      </c>
    </row>
    <row r="3670" spans="1:6">
      <c r="A3670" t="s">
        <v>85</v>
      </c>
      <c r="B3670" s="2" t="s">
        <v>1439</v>
      </c>
      <c r="C3670" s="3" t="s">
        <v>1441</v>
      </c>
      <c r="D3670" s="7">
        <v>4829</v>
      </c>
      <c r="E3670" t="s">
        <v>12</v>
      </c>
      <c r="F3670" s="10">
        <v>1.91</v>
      </c>
    </row>
    <row r="3671" spans="1:6">
      <c r="A3671" t="s">
        <v>85</v>
      </c>
      <c r="B3671" s="2" t="s">
        <v>1439</v>
      </c>
      <c r="C3671" s="3" t="s">
        <v>1442</v>
      </c>
      <c r="D3671" s="7">
        <v>4834</v>
      </c>
      <c r="E3671" t="s">
        <v>12</v>
      </c>
      <c r="F3671" s="10">
        <v>1.95</v>
      </c>
    </row>
    <row r="3672" spans="1:6">
      <c r="A3672" t="s">
        <v>85</v>
      </c>
      <c r="B3672" s="2" t="s">
        <v>1439</v>
      </c>
      <c r="C3672" s="3" t="s">
        <v>1443</v>
      </c>
      <c r="D3672" s="7">
        <v>4839</v>
      </c>
      <c r="E3672" t="s">
        <v>12</v>
      </c>
      <c r="F3672" s="10">
        <v>2.14</v>
      </c>
    </row>
    <row r="3673" spans="1:6">
      <c r="A3673" t="s">
        <v>85</v>
      </c>
      <c r="B3673" t="s">
        <v>1444</v>
      </c>
      <c r="C3673" s="1" t="s">
        <v>1445</v>
      </c>
      <c r="D3673" s="7">
        <v>541</v>
      </c>
      <c r="E3673" t="s">
        <v>9</v>
      </c>
      <c r="F3673" s="1">
        <v>1.7090000000000001</v>
      </c>
    </row>
    <row r="3674" spans="1:6">
      <c r="A3674" t="s">
        <v>85</v>
      </c>
      <c r="B3674" t="s">
        <v>1444</v>
      </c>
      <c r="C3674" s="1" t="s">
        <v>1446</v>
      </c>
      <c r="D3674" s="7">
        <v>547</v>
      </c>
      <c r="E3674" t="s">
        <v>9</v>
      </c>
      <c r="F3674" s="1">
        <v>1.724</v>
      </c>
    </row>
    <row r="3675" spans="1:6">
      <c r="A3675" t="s">
        <v>85</v>
      </c>
      <c r="B3675" t="s">
        <v>1444</v>
      </c>
      <c r="C3675" s="1" t="s">
        <v>1447</v>
      </c>
      <c r="D3675" s="7">
        <v>553</v>
      </c>
      <c r="E3675" t="s">
        <v>9</v>
      </c>
      <c r="F3675" s="1">
        <v>1.794</v>
      </c>
    </row>
    <row r="3676" spans="1:6">
      <c r="A3676" t="s">
        <v>85</v>
      </c>
      <c r="B3676" t="s">
        <v>1444</v>
      </c>
      <c r="C3676" s="1" t="s">
        <v>1448</v>
      </c>
      <c r="D3676" s="7">
        <v>559</v>
      </c>
      <c r="E3676" t="s">
        <v>9</v>
      </c>
      <c r="F3676" s="1">
        <v>1.736</v>
      </c>
    </row>
    <row r="3677" spans="1:6">
      <c r="A3677" t="s">
        <v>85</v>
      </c>
      <c r="B3677" t="s">
        <v>1444</v>
      </c>
      <c r="C3677" s="1" t="s">
        <v>1449</v>
      </c>
      <c r="D3677" s="7">
        <v>565</v>
      </c>
      <c r="E3677" t="s">
        <v>9</v>
      </c>
      <c r="F3677" s="1">
        <v>1.7549999999999999</v>
      </c>
    </row>
    <row r="3678" spans="1:6">
      <c r="A3678" t="s">
        <v>85</v>
      </c>
      <c r="B3678" t="s">
        <v>1444</v>
      </c>
      <c r="C3678" s="1" t="s">
        <v>1450</v>
      </c>
      <c r="D3678" s="7">
        <v>571</v>
      </c>
      <c r="E3678" t="s">
        <v>9</v>
      </c>
      <c r="F3678" s="1">
        <v>1.7330000000000001</v>
      </c>
    </row>
    <row r="3679" spans="1:6">
      <c r="A3679" t="s">
        <v>85</v>
      </c>
      <c r="B3679" t="s">
        <v>1444</v>
      </c>
      <c r="C3679" s="1" t="s">
        <v>1451</v>
      </c>
      <c r="D3679" s="7">
        <v>577</v>
      </c>
      <c r="E3679" t="s">
        <v>9</v>
      </c>
      <c r="F3679" s="1">
        <v>1.661</v>
      </c>
    </row>
    <row r="3680" spans="1:6">
      <c r="A3680" t="s">
        <v>85</v>
      </c>
      <c r="B3680" t="s">
        <v>1444</v>
      </c>
      <c r="C3680" s="1" t="s">
        <v>1452</v>
      </c>
      <c r="D3680" s="7">
        <v>896</v>
      </c>
      <c r="E3680" t="s">
        <v>9</v>
      </c>
      <c r="F3680" s="1">
        <v>1.639</v>
      </c>
    </row>
    <row r="3681" spans="1:6">
      <c r="A3681" t="s">
        <v>85</v>
      </c>
      <c r="B3681" t="s">
        <v>1444</v>
      </c>
      <c r="C3681" s="1" t="s">
        <v>1453</v>
      </c>
      <c r="D3681" s="7">
        <v>902</v>
      </c>
      <c r="E3681" t="s">
        <v>9</v>
      </c>
      <c r="F3681" s="1">
        <v>1.4590000000000001</v>
      </c>
    </row>
    <row r="3682" spans="1:6">
      <c r="A3682" t="s">
        <v>85</v>
      </c>
      <c r="B3682" t="s">
        <v>1444</v>
      </c>
      <c r="C3682" s="1" t="s">
        <v>1454</v>
      </c>
      <c r="D3682" s="7">
        <v>1394</v>
      </c>
      <c r="E3682" t="s">
        <v>9</v>
      </c>
      <c r="F3682" s="1">
        <v>1.706</v>
      </c>
    </row>
    <row r="3683" spans="1:6">
      <c r="A3683" t="s">
        <v>85</v>
      </c>
      <c r="B3683" t="s">
        <v>1444</v>
      </c>
      <c r="C3683" s="1" t="s">
        <v>1455</v>
      </c>
      <c r="D3683" s="7">
        <v>2754</v>
      </c>
      <c r="E3683" t="s">
        <v>9</v>
      </c>
      <c r="F3683" s="1">
        <v>1.5580000000000001</v>
      </c>
    </row>
    <row r="3684" spans="1:6">
      <c r="A3684" t="s">
        <v>85</v>
      </c>
      <c r="B3684" t="s">
        <v>1444</v>
      </c>
      <c r="C3684" s="1" t="s">
        <v>1456</v>
      </c>
      <c r="D3684" s="7">
        <v>2760</v>
      </c>
      <c r="E3684" t="s">
        <v>9</v>
      </c>
      <c r="F3684" s="1">
        <v>1.591</v>
      </c>
    </row>
    <row r="3685" spans="1:6">
      <c r="A3685" t="s">
        <v>85</v>
      </c>
      <c r="B3685" t="s">
        <v>1444</v>
      </c>
      <c r="C3685" s="1" t="s">
        <v>1457</v>
      </c>
      <c r="D3685" s="7">
        <v>2766</v>
      </c>
      <c r="E3685" t="s">
        <v>9</v>
      </c>
      <c r="F3685" s="9">
        <v>1.6</v>
      </c>
    </row>
    <row r="3686" spans="1:6">
      <c r="A3686" t="s">
        <v>85</v>
      </c>
      <c r="B3686" t="s">
        <v>1444</v>
      </c>
      <c r="C3686" s="1" t="s">
        <v>1458</v>
      </c>
      <c r="D3686" s="7">
        <v>2772</v>
      </c>
      <c r="E3686" t="s">
        <v>9</v>
      </c>
      <c r="F3686" s="1">
        <v>1.6060000000000001</v>
      </c>
    </row>
    <row r="3687" spans="1:6">
      <c r="A3687" t="s">
        <v>85</v>
      </c>
      <c r="B3687" t="s">
        <v>1444</v>
      </c>
      <c r="C3687" s="1" t="s">
        <v>1459</v>
      </c>
      <c r="D3687" s="7">
        <v>2778</v>
      </c>
      <c r="E3687" t="s">
        <v>9</v>
      </c>
      <c r="F3687" s="1">
        <v>1.5820000000000001</v>
      </c>
    </row>
    <row r="3688" spans="1:6">
      <c r="A3688" t="s">
        <v>85</v>
      </c>
      <c r="B3688" t="s">
        <v>1444</v>
      </c>
      <c r="C3688" s="1" t="s">
        <v>1460</v>
      </c>
      <c r="D3688" s="7">
        <v>2784</v>
      </c>
      <c r="E3688" t="s">
        <v>9</v>
      </c>
      <c r="F3688" s="1">
        <v>1.651</v>
      </c>
    </row>
    <row r="3689" spans="1:6">
      <c r="A3689" t="s">
        <v>85</v>
      </c>
      <c r="B3689" t="s">
        <v>1444</v>
      </c>
      <c r="C3689" s="1" t="s">
        <v>1445</v>
      </c>
      <c r="D3689" s="7">
        <v>542</v>
      </c>
      <c r="E3689" t="s">
        <v>10</v>
      </c>
      <c r="F3689" s="1">
        <v>2.3570000000000002</v>
      </c>
    </row>
    <row r="3690" spans="1:6">
      <c r="A3690" t="s">
        <v>85</v>
      </c>
      <c r="B3690" t="s">
        <v>1444</v>
      </c>
      <c r="C3690" s="1" t="s">
        <v>1446</v>
      </c>
      <c r="D3690" s="7">
        <v>548</v>
      </c>
      <c r="E3690" t="s">
        <v>10</v>
      </c>
      <c r="F3690" s="9">
        <v>2.34</v>
      </c>
    </row>
    <row r="3691" spans="1:6">
      <c r="A3691" t="s">
        <v>85</v>
      </c>
      <c r="B3691" t="s">
        <v>1444</v>
      </c>
      <c r="C3691" s="1" t="s">
        <v>1447</v>
      </c>
      <c r="D3691" s="7">
        <v>554</v>
      </c>
      <c r="E3691" t="s">
        <v>10</v>
      </c>
      <c r="F3691" s="1">
        <v>2.3439999999999999</v>
      </c>
    </row>
    <row r="3692" spans="1:6">
      <c r="A3692" t="s">
        <v>85</v>
      </c>
      <c r="B3692" t="s">
        <v>1444</v>
      </c>
      <c r="C3692" s="1" t="s">
        <v>1448</v>
      </c>
      <c r="D3692" s="7">
        <v>560</v>
      </c>
      <c r="E3692" t="s">
        <v>10</v>
      </c>
      <c r="F3692" s="1">
        <v>2.3359999999999999</v>
      </c>
    </row>
    <row r="3693" spans="1:6">
      <c r="A3693" t="s">
        <v>85</v>
      </c>
      <c r="B3693" t="s">
        <v>1444</v>
      </c>
      <c r="C3693" s="1" t="s">
        <v>1449</v>
      </c>
      <c r="D3693" s="7">
        <v>566</v>
      </c>
      <c r="E3693" t="s">
        <v>10</v>
      </c>
      <c r="F3693" s="1">
        <v>2.359</v>
      </c>
    </row>
    <row r="3694" spans="1:6">
      <c r="A3694" t="s">
        <v>85</v>
      </c>
      <c r="B3694" t="s">
        <v>1444</v>
      </c>
      <c r="C3694" s="1" t="s">
        <v>1450</v>
      </c>
      <c r="D3694" s="7">
        <v>572</v>
      </c>
      <c r="E3694" t="s">
        <v>10</v>
      </c>
      <c r="F3694" s="1">
        <v>2.3879999999999999</v>
      </c>
    </row>
    <row r="3695" spans="1:6">
      <c r="A3695" t="s">
        <v>85</v>
      </c>
      <c r="B3695" t="s">
        <v>1444</v>
      </c>
      <c r="C3695" s="1" t="s">
        <v>1451</v>
      </c>
      <c r="D3695" s="7">
        <v>578</v>
      </c>
      <c r="E3695" t="s">
        <v>10</v>
      </c>
      <c r="F3695" s="9">
        <v>2.38</v>
      </c>
    </row>
    <row r="3696" spans="1:6">
      <c r="A3696" t="s">
        <v>85</v>
      </c>
      <c r="B3696" t="s">
        <v>1444</v>
      </c>
      <c r="C3696" s="1" t="s">
        <v>1452</v>
      </c>
      <c r="D3696" s="7">
        <v>897</v>
      </c>
      <c r="E3696" t="s">
        <v>10</v>
      </c>
      <c r="F3696" s="1">
        <v>2.3109999999999999</v>
      </c>
    </row>
    <row r="3697" spans="1:6">
      <c r="A3697" t="s">
        <v>85</v>
      </c>
      <c r="B3697" t="s">
        <v>1444</v>
      </c>
      <c r="C3697" s="1" t="s">
        <v>1453</v>
      </c>
      <c r="D3697" s="7">
        <v>903</v>
      </c>
      <c r="E3697" t="s">
        <v>10</v>
      </c>
      <c r="F3697" s="1">
        <v>2.6379999999999999</v>
      </c>
    </row>
    <row r="3698" spans="1:6">
      <c r="A3698" t="s">
        <v>85</v>
      </c>
      <c r="B3698" t="s">
        <v>1444</v>
      </c>
      <c r="C3698" s="1" t="s">
        <v>1454</v>
      </c>
      <c r="D3698" s="7">
        <v>1395</v>
      </c>
      <c r="E3698" t="s">
        <v>10</v>
      </c>
      <c r="F3698" s="1">
        <v>2.5249999999999999</v>
      </c>
    </row>
    <row r="3699" spans="1:6">
      <c r="A3699" t="s">
        <v>85</v>
      </c>
      <c r="B3699" t="s">
        <v>1444</v>
      </c>
      <c r="C3699" s="1" t="s">
        <v>1455</v>
      </c>
      <c r="D3699" s="7">
        <v>2755</v>
      </c>
      <c r="E3699" t="s">
        <v>10</v>
      </c>
      <c r="F3699" s="9">
        <v>2.58</v>
      </c>
    </row>
    <row r="3700" spans="1:6">
      <c r="A3700" t="s">
        <v>85</v>
      </c>
      <c r="B3700" t="s">
        <v>1444</v>
      </c>
      <c r="C3700" s="1" t="s">
        <v>1456</v>
      </c>
      <c r="D3700" s="7">
        <v>2761</v>
      </c>
      <c r="E3700" t="s">
        <v>10</v>
      </c>
      <c r="F3700" s="1">
        <v>2.548</v>
      </c>
    </row>
    <row r="3701" spans="1:6">
      <c r="A3701" t="s">
        <v>85</v>
      </c>
      <c r="B3701" t="s">
        <v>1444</v>
      </c>
      <c r="C3701" s="1" t="s">
        <v>1457</v>
      </c>
      <c r="D3701" s="7">
        <v>2767</v>
      </c>
      <c r="E3701" t="s">
        <v>10</v>
      </c>
      <c r="F3701" s="1">
        <v>2.4849999999999999</v>
      </c>
    </row>
    <row r="3702" spans="1:6">
      <c r="A3702" t="s">
        <v>85</v>
      </c>
      <c r="B3702" t="s">
        <v>1444</v>
      </c>
      <c r="C3702" s="1" t="s">
        <v>1458</v>
      </c>
      <c r="D3702" s="7">
        <v>2773</v>
      </c>
      <c r="E3702" t="s">
        <v>10</v>
      </c>
      <c r="F3702" s="9">
        <v>2.59</v>
      </c>
    </row>
    <row r="3703" spans="1:6">
      <c r="A3703" t="s">
        <v>85</v>
      </c>
      <c r="B3703" t="s">
        <v>1444</v>
      </c>
      <c r="C3703" s="1" t="s">
        <v>1459</v>
      </c>
      <c r="D3703" s="7">
        <v>2779</v>
      </c>
      <c r="E3703" t="s">
        <v>10</v>
      </c>
      <c r="F3703" s="1">
        <v>2.5459999999999998</v>
      </c>
    </row>
    <row r="3704" spans="1:6">
      <c r="A3704" t="s">
        <v>85</v>
      </c>
      <c r="B3704" t="s">
        <v>1444</v>
      </c>
      <c r="C3704" s="1" t="s">
        <v>1460</v>
      </c>
      <c r="D3704" s="7">
        <v>2785</v>
      </c>
      <c r="E3704" t="s">
        <v>10</v>
      </c>
      <c r="F3704" s="1">
        <v>2.6080000000000001</v>
      </c>
    </row>
    <row r="3705" spans="1:6">
      <c r="A3705" t="s">
        <v>85</v>
      </c>
      <c r="B3705" t="s">
        <v>1444</v>
      </c>
      <c r="C3705" s="1" t="s">
        <v>1445</v>
      </c>
      <c r="D3705" s="7">
        <v>540</v>
      </c>
      <c r="E3705" t="s">
        <v>11</v>
      </c>
      <c r="F3705" s="1">
        <v>7.7160000000000002</v>
      </c>
    </row>
    <row r="3706" spans="1:6">
      <c r="A3706" t="s">
        <v>85</v>
      </c>
      <c r="B3706" t="s">
        <v>1444</v>
      </c>
      <c r="C3706" s="1" t="s">
        <v>1446</v>
      </c>
      <c r="D3706" s="7">
        <v>546</v>
      </c>
      <c r="E3706" t="s">
        <v>11</v>
      </c>
      <c r="F3706" s="1">
        <v>7.5439999999999996</v>
      </c>
    </row>
    <row r="3707" spans="1:6">
      <c r="A3707" t="s">
        <v>85</v>
      </c>
      <c r="B3707" t="s">
        <v>1444</v>
      </c>
      <c r="C3707" s="1" t="s">
        <v>1447</v>
      </c>
      <c r="D3707" s="7">
        <v>552</v>
      </c>
      <c r="E3707" t="s">
        <v>11</v>
      </c>
      <c r="F3707" s="1">
        <v>7.3339999999999996</v>
      </c>
    </row>
    <row r="3708" spans="1:6">
      <c r="A3708" t="s">
        <v>85</v>
      </c>
      <c r="B3708" t="s">
        <v>1444</v>
      </c>
      <c r="C3708" s="1" t="s">
        <v>1448</v>
      </c>
      <c r="D3708" s="7">
        <v>558</v>
      </c>
      <c r="E3708" t="s">
        <v>11</v>
      </c>
      <c r="F3708" s="1">
        <v>7.952</v>
      </c>
    </row>
    <row r="3709" spans="1:6">
      <c r="A3709" t="s">
        <v>85</v>
      </c>
      <c r="B3709" t="s">
        <v>1444</v>
      </c>
      <c r="C3709" s="1" t="s">
        <v>1449</v>
      </c>
      <c r="D3709" s="7">
        <v>564</v>
      </c>
      <c r="E3709" t="s">
        <v>11</v>
      </c>
      <c r="F3709" s="1">
        <v>7.7110000000000003</v>
      </c>
    </row>
    <row r="3710" spans="1:6">
      <c r="A3710" t="s">
        <v>85</v>
      </c>
      <c r="B3710" t="s">
        <v>1444</v>
      </c>
      <c r="C3710" s="1" t="s">
        <v>1450</v>
      </c>
      <c r="D3710" s="7">
        <v>570</v>
      </c>
      <c r="E3710" t="s">
        <v>11</v>
      </c>
      <c r="F3710" s="1">
        <v>7.524</v>
      </c>
    </row>
    <row r="3711" spans="1:6">
      <c r="A3711" t="s">
        <v>85</v>
      </c>
      <c r="B3711" t="s">
        <v>1444</v>
      </c>
      <c r="C3711" s="1" t="s">
        <v>1451</v>
      </c>
      <c r="D3711" s="7">
        <v>576</v>
      </c>
      <c r="E3711" t="s">
        <v>11</v>
      </c>
      <c r="F3711" s="1">
        <v>7.3940000000000001</v>
      </c>
    </row>
    <row r="3712" spans="1:6">
      <c r="A3712" t="s">
        <v>85</v>
      </c>
      <c r="B3712" t="s">
        <v>1444</v>
      </c>
      <c r="C3712" s="1" t="s">
        <v>1452</v>
      </c>
      <c r="D3712" s="7">
        <v>895</v>
      </c>
      <c r="E3712" t="s">
        <v>11</v>
      </c>
      <c r="F3712" s="1">
        <v>8.3789999999999996</v>
      </c>
    </row>
    <row r="3713" spans="1:6">
      <c r="A3713" t="s">
        <v>85</v>
      </c>
      <c r="B3713" t="s">
        <v>1444</v>
      </c>
      <c r="C3713" s="1" t="s">
        <v>1453</v>
      </c>
      <c r="D3713" s="7">
        <v>901</v>
      </c>
      <c r="E3713" t="s">
        <v>11</v>
      </c>
      <c r="F3713" s="1">
        <v>7.3390000000000004</v>
      </c>
    </row>
    <row r="3714" spans="1:6">
      <c r="A3714" t="s">
        <v>85</v>
      </c>
      <c r="B3714" t="s">
        <v>1444</v>
      </c>
      <c r="C3714" s="1" t="s">
        <v>1454</v>
      </c>
      <c r="D3714" s="7">
        <v>1393</v>
      </c>
      <c r="E3714" t="s">
        <v>11</v>
      </c>
      <c r="F3714" s="1">
        <v>7.8890000000000002</v>
      </c>
    </row>
    <row r="3715" spans="1:6">
      <c r="A3715" t="s">
        <v>85</v>
      </c>
      <c r="B3715" t="s">
        <v>1444</v>
      </c>
      <c r="C3715" s="1" t="s">
        <v>1455</v>
      </c>
      <c r="D3715" s="7">
        <v>2753</v>
      </c>
      <c r="E3715" t="s">
        <v>11</v>
      </c>
      <c r="F3715" s="1">
        <v>7.9560000000000004</v>
      </c>
    </row>
    <row r="3716" spans="1:6">
      <c r="A3716" t="s">
        <v>85</v>
      </c>
      <c r="B3716" t="s">
        <v>1444</v>
      </c>
      <c r="C3716" s="1" t="s">
        <v>1456</v>
      </c>
      <c r="D3716" s="7">
        <v>2759</v>
      </c>
      <c r="E3716" t="s">
        <v>11</v>
      </c>
      <c r="F3716" s="1">
        <v>8.4890000000000008</v>
      </c>
    </row>
    <row r="3717" spans="1:6">
      <c r="A3717" t="s">
        <v>85</v>
      </c>
      <c r="B3717" t="s">
        <v>1444</v>
      </c>
      <c r="C3717" s="1" t="s">
        <v>1457</v>
      </c>
      <c r="D3717" s="7">
        <v>2765</v>
      </c>
      <c r="E3717" t="s">
        <v>11</v>
      </c>
      <c r="F3717" s="1">
        <v>8.3149999999999995</v>
      </c>
    </row>
    <row r="3718" spans="1:6">
      <c r="A3718" t="s">
        <v>85</v>
      </c>
      <c r="B3718" t="s">
        <v>1444</v>
      </c>
      <c r="C3718" s="1" t="s">
        <v>1458</v>
      </c>
      <c r="D3718" s="7">
        <v>2771</v>
      </c>
      <c r="E3718" t="s">
        <v>11</v>
      </c>
      <c r="F3718" s="1">
        <v>7.6230000000000002</v>
      </c>
    </row>
    <row r="3719" spans="1:6">
      <c r="A3719" t="s">
        <v>85</v>
      </c>
      <c r="B3719" t="s">
        <v>1444</v>
      </c>
      <c r="C3719" s="1" t="s">
        <v>1459</v>
      </c>
      <c r="D3719" s="7">
        <v>2777</v>
      </c>
      <c r="E3719" t="s">
        <v>11</v>
      </c>
      <c r="F3719" s="1">
        <v>7.7060000000000004</v>
      </c>
    </row>
    <row r="3720" spans="1:6">
      <c r="A3720" t="s">
        <v>85</v>
      </c>
      <c r="B3720" t="s">
        <v>1444</v>
      </c>
      <c r="C3720" s="1" t="s">
        <v>1460</v>
      </c>
      <c r="D3720" s="7">
        <v>2783</v>
      </c>
      <c r="E3720" t="s">
        <v>11</v>
      </c>
      <c r="F3720" s="1">
        <v>8.2560000000000002</v>
      </c>
    </row>
    <row r="3721" spans="1:6">
      <c r="A3721" t="s">
        <v>85</v>
      </c>
      <c r="B3721" t="s">
        <v>1444</v>
      </c>
      <c r="C3721" s="3" t="s">
        <v>1461</v>
      </c>
      <c r="D3721" s="7">
        <v>5157</v>
      </c>
      <c r="E3721" t="s">
        <v>12</v>
      </c>
      <c r="F3721" s="10">
        <v>2.85</v>
      </c>
    </row>
    <row r="3722" spans="1:6">
      <c r="A3722" t="s">
        <v>85</v>
      </c>
      <c r="B3722" t="s">
        <v>1444</v>
      </c>
      <c r="C3722" s="3" t="s">
        <v>1448</v>
      </c>
      <c r="D3722" s="7">
        <v>5156</v>
      </c>
      <c r="E3722" t="s">
        <v>12</v>
      </c>
      <c r="F3722" s="10">
        <v>2.63</v>
      </c>
    </row>
    <row r="3723" spans="1:6">
      <c r="A3723" t="s">
        <v>85</v>
      </c>
      <c r="B3723" t="s">
        <v>1444</v>
      </c>
      <c r="C3723" s="3" t="s">
        <v>1449</v>
      </c>
      <c r="D3723" s="7">
        <v>5155</v>
      </c>
      <c r="E3723" t="s">
        <v>12</v>
      </c>
      <c r="F3723" s="10">
        <v>2.54</v>
      </c>
    </row>
    <row r="3724" spans="1:6">
      <c r="A3724" t="s">
        <v>85</v>
      </c>
      <c r="B3724" t="s">
        <v>1444</v>
      </c>
      <c r="C3724" s="3" t="s">
        <v>1460</v>
      </c>
      <c r="D3724" s="7">
        <v>5158</v>
      </c>
      <c r="E3724" t="s">
        <v>12</v>
      </c>
      <c r="F3724" s="10">
        <v>2.64</v>
      </c>
    </row>
    <row r="3725" spans="1:6">
      <c r="A3725" t="s">
        <v>85</v>
      </c>
      <c r="B3725" t="s">
        <v>1462</v>
      </c>
      <c r="C3725" s="1" t="s">
        <v>1463</v>
      </c>
      <c r="D3725" s="7">
        <v>1676</v>
      </c>
      <c r="E3725" t="s">
        <v>9</v>
      </c>
      <c r="F3725" s="1">
        <v>1.4119999999999999</v>
      </c>
    </row>
    <row r="3726" spans="1:6">
      <c r="A3726" t="s">
        <v>85</v>
      </c>
      <c r="B3726" t="s">
        <v>1462</v>
      </c>
      <c r="C3726" s="1" t="s">
        <v>1464</v>
      </c>
      <c r="D3726" s="7">
        <v>1682</v>
      </c>
      <c r="E3726" t="s">
        <v>9</v>
      </c>
      <c r="F3726" s="1">
        <v>1.4139999999999999</v>
      </c>
    </row>
    <row r="3727" spans="1:6">
      <c r="A3727" t="s">
        <v>85</v>
      </c>
      <c r="B3727" t="s">
        <v>1462</v>
      </c>
      <c r="C3727" s="1" t="s">
        <v>1465</v>
      </c>
      <c r="D3727" s="7">
        <v>1688</v>
      </c>
      <c r="E3727" t="s">
        <v>9</v>
      </c>
      <c r="F3727" s="1">
        <v>1.3720000000000001</v>
      </c>
    </row>
    <row r="3728" spans="1:6">
      <c r="A3728" t="s">
        <v>85</v>
      </c>
      <c r="B3728" t="s">
        <v>1462</v>
      </c>
      <c r="C3728" s="1" t="s">
        <v>1466</v>
      </c>
      <c r="D3728" s="7">
        <v>1748</v>
      </c>
      <c r="E3728" t="s">
        <v>9</v>
      </c>
      <c r="F3728" s="1">
        <v>1.3979999999999999</v>
      </c>
    </row>
    <row r="3729" spans="1:6">
      <c r="A3729" t="s">
        <v>85</v>
      </c>
      <c r="B3729" t="s">
        <v>1462</v>
      </c>
      <c r="C3729" s="1" t="s">
        <v>1467</v>
      </c>
      <c r="D3729" s="7">
        <v>1754</v>
      </c>
      <c r="E3729" t="s">
        <v>9</v>
      </c>
      <c r="F3729" s="9">
        <v>0.90600000000000003</v>
      </c>
    </row>
    <row r="3730" spans="1:6">
      <c r="A3730" t="s">
        <v>85</v>
      </c>
      <c r="B3730" t="s">
        <v>1462</v>
      </c>
      <c r="C3730" s="1" t="s">
        <v>1468</v>
      </c>
      <c r="D3730" s="7">
        <v>1760</v>
      </c>
      <c r="E3730" t="s">
        <v>9</v>
      </c>
      <c r="F3730" s="1">
        <v>1.012</v>
      </c>
    </row>
    <row r="3731" spans="1:6">
      <c r="A3731" t="s">
        <v>85</v>
      </c>
      <c r="B3731" t="s">
        <v>1462</v>
      </c>
      <c r="C3731" s="1" t="s">
        <v>1469</v>
      </c>
      <c r="D3731" s="7">
        <v>1766</v>
      </c>
      <c r="E3731" t="s">
        <v>9</v>
      </c>
      <c r="F3731" s="9">
        <v>0.99399999999999999</v>
      </c>
    </row>
    <row r="3732" spans="1:6">
      <c r="A3732" t="s">
        <v>85</v>
      </c>
      <c r="B3732" t="s">
        <v>1462</v>
      </c>
      <c r="C3732" s="1" t="s">
        <v>1470</v>
      </c>
      <c r="D3732" s="7">
        <v>1772</v>
      </c>
      <c r="E3732" t="s">
        <v>9</v>
      </c>
      <c r="F3732" s="9">
        <v>0.98099999999999998</v>
      </c>
    </row>
    <row r="3733" spans="1:6">
      <c r="A3733" t="s">
        <v>85</v>
      </c>
      <c r="B3733" t="s">
        <v>1462</v>
      </c>
      <c r="C3733" s="1" t="s">
        <v>1471</v>
      </c>
      <c r="D3733" s="7">
        <v>1778</v>
      </c>
      <c r="E3733" t="s">
        <v>9</v>
      </c>
      <c r="F3733" s="9">
        <v>0.98899999999999999</v>
      </c>
    </row>
    <row r="3734" spans="1:6">
      <c r="A3734" t="s">
        <v>85</v>
      </c>
      <c r="B3734" t="s">
        <v>1462</v>
      </c>
      <c r="C3734" s="1" t="s">
        <v>1472</v>
      </c>
      <c r="D3734" s="7">
        <v>1784</v>
      </c>
      <c r="E3734" t="s">
        <v>9</v>
      </c>
      <c r="F3734" s="9">
        <v>0.97299999999999998</v>
      </c>
    </row>
    <row r="3735" spans="1:6">
      <c r="A3735" t="s">
        <v>85</v>
      </c>
      <c r="B3735" t="s">
        <v>1462</v>
      </c>
      <c r="C3735" s="1" t="s">
        <v>1473</v>
      </c>
      <c r="D3735" s="7">
        <v>1790</v>
      </c>
      <c r="E3735" t="s">
        <v>9</v>
      </c>
      <c r="F3735" s="9">
        <v>0.98499999999999999</v>
      </c>
    </row>
    <row r="3736" spans="1:6">
      <c r="A3736" t="s">
        <v>85</v>
      </c>
      <c r="B3736" t="s">
        <v>1462</v>
      </c>
      <c r="C3736" s="1" t="s">
        <v>1474</v>
      </c>
      <c r="D3736" s="7">
        <v>1796</v>
      </c>
      <c r="E3736" t="s">
        <v>9</v>
      </c>
      <c r="F3736" s="9">
        <v>0.95499999999999996</v>
      </c>
    </row>
    <row r="3737" spans="1:6">
      <c r="A3737" t="s">
        <v>85</v>
      </c>
      <c r="B3737" t="s">
        <v>1462</v>
      </c>
      <c r="C3737" s="1" t="s">
        <v>1475</v>
      </c>
      <c r="D3737" s="7">
        <v>1802</v>
      </c>
      <c r="E3737" t="s">
        <v>9</v>
      </c>
      <c r="F3737" s="9">
        <v>0.97199999999999998</v>
      </c>
    </row>
    <row r="3738" spans="1:6">
      <c r="A3738" t="s">
        <v>85</v>
      </c>
      <c r="B3738" t="s">
        <v>1462</v>
      </c>
      <c r="C3738" s="1" t="s">
        <v>1463</v>
      </c>
      <c r="D3738" s="7">
        <v>1677</v>
      </c>
      <c r="E3738" t="s">
        <v>10</v>
      </c>
      <c r="F3738" s="1">
        <v>2.0939999999999999</v>
      </c>
    </row>
    <row r="3739" spans="1:6">
      <c r="A3739" t="s">
        <v>85</v>
      </c>
      <c r="B3739" t="s">
        <v>1462</v>
      </c>
      <c r="C3739" s="1" t="s">
        <v>1464</v>
      </c>
      <c r="D3739" s="7">
        <v>1683</v>
      </c>
      <c r="E3739" t="s">
        <v>10</v>
      </c>
      <c r="F3739" s="1">
        <v>2.1269999999999998</v>
      </c>
    </row>
    <row r="3740" spans="1:6">
      <c r="A3740" t="s">
        <v>85</v>
      </c>
      <c r="B3740" t="s">
        <v>1462</v>
      </c>
      <c r="C3740" s="1" t="s">
        <v>1465</v>
      </c>
      <c r="D3740" s="7">
        <v>1689</v>
      </c>
      <c r="E3740" t="s">
        <v>10</v>
      </c>
      <c r="F3740" s="1">
        <v>2.0329999999999999</v>
      </c>
    </row>
    <row r="3741" spans="1:6">
      <c r="A3741" t="s">
        <v>85</v>
      </c>
      <c r="B3741" t="s">
        <v>1462</v>
      </c>
      <c r="C3741" s="1" t="s">
        <v>1466</v>
      </c>
      <c r="D3741" s="7">
        <v>1749</v>
      </c>
      <c r="E3741" t="s">
        <v>10</v>
      </c>
      <c r="F3741" s="1">
        <v>1.8380000000000001</v>
      </c>
    </row>
    <row r="3742" spans="1:6">
      <c r="A3742" t="s">
        <v>85</v>
      </c>
      <c r="B3742" t="s">
        <v>1462</v>
      </c>
      <c r="C3742" s="1" t="s">
        <v>1467</v>
      </c>
      <c r="D3742" s="7">
        <v>1755</v>
      </c>
      <c r="E3742" t="s">
        <v>10</v>
      </c>
      <c r="F3742" s="1">
        <v>1.4319999999999999</v>
      </c>
    </row>
    <row r="3743" spans="1:6">
      <c r="A3743" t="s">
        <v>85</v>
      </c>
      <c r="B3743" t="s">
        <v>1462</v>
      </c>
      <c r="C3743" s="1" t="s">
        <v>1468</v>
      </c>
      <c r="D3743" s="7">
        <v>1761</v>
      </c>
      <c r="E3743" t="s">
        <v>10</v>
      </c>
      <c r="F3743" s="1">
        <v>1.238</v>
      </c>
    </row>
    <row r="3744" spans="1:6">
      <c r="A3744" t="s">
        <v>85</v>
      </c>
      <c r="B3744" t="s">
        <v>1462</v>
      </c>
      <c r="C3744" s="1" t="s">
        <v>1469</v>
      </c>
      <c r="D3744" s="7">
        <v>1767</v>
      </c>
      <c r="E3744" t="s">
        <v>10</v>
      </c>
      <c r="F3744" s="1">
        <v>1.224</v>
      </c>
    </row>
    <row r="3745" spans="1:6">
      <c r="A3745" t="s">
        <v>85</v>
      </c>
      <c r="B3745" t="s">
        <v>1462</v>
      </c>
      <c r="C3745" s="1" t="s">
        <v>1470</v>
      </c>
      <c r="D3745" s="7">
        <v>1773</v>
      </c>
      <c r="E3745" t="s">
        <v>10</v>
      </c>
      <c r="F3745" s="1">
        <v>1.347</v>
      </c>
    </row>
    <row r="3746" spans="1:6">
      <c r="A3746" t="s">
        <v>85</v>
      </c>
      <c r="B3746" t="s">
        <v>1462</v>
      </c>
      <c r="C3746" s="1" t="s">
        <v>1471</v>
      </c>
      <c r="D3746" s="7">
        <v>1779</v>
      </c>
      <c r="E3746" t="s">
        <v>10</v>
      </c>
      <c r="F3746" s="1">
        <v>1.3640000000000001</v>
      </c>
    </row>
    <row r="3747" spans="1:6">
      <c r="A3747" t="s">
        <v>85</v>
      </c>
      <c r="B3747" t="s">
        <v>1462</v>
      </c>
      <c r="C3747" s="1" t="s">
        <v>1472</v>
      </c>
      <c r="D3747" s="7">
        <v>1785</v>
      </c>
      <c r="E3747" t="s">
        <v>10</v>
      </c>
      <c r="F3747" s="1">
        <v>1.1930000000000001</v>
      </c>
    </row>
    <row r="3748" spans="1:6">
      <c r="A3748" t="s">
        <v>85</v>
      </c>
      <c r="B3748" t="s">
        <v>1462</v>
      </c>
      <c r="C3748" s="1" t="s">
        <v>1473</v>
      </c>
      <c r="D3748" s="7">
        <v>1791</v>
      </c>
      <c r="E3748" t="s">
        <v>10</v>
      </c>
      <c r="F3748" s="1">
        <v>1.2769999999999999</v>
      </c>
    </row>
    <row r="3749" spans="1:6">
      <c r="A3749" t="s">
        <v>85</v>
      </c>
      <c r="B3749" t="s">
        <v>1462</v>
      </c>
      <c r="C3749" s="1" t="s">
        <v>1474</v>
      </c>
      <c r="D3749" s="7">
        <v>1797</v>
      </c>
      <c r="E3749" t="s">
        <v>10</v>
      </c>
      <c r="F3749" s="1">
        <v>1.421</v>
      </c>
    </row>
    <row r="3750" spans="1:6">
      <c r="A3750" t="s">
        <v>85</v>
      </c>
      <c r="B3750" t="s">
        <v>1462</v>
      </c>
      <c r="C3750" s="1" t="s">
        <v>1475</v>
      </c>
      <c r="D3750" s="7">
        <v>1803</v>
      </c>
      <c r="E3750" t="s">
        <v>10</v>
      </c>
      <c r="F3750" s="1">
        <v>1.2130000000000001</v>
      </c>
    </row>
    <row r="3751" spans="1:6">
      <c r="A3751" t="s">
        <v>85</v>
      </c>
      <c r="B3751" t="s">
        <v>1462</v>
      </c>
      <c r="C3751" s="1" t="s">
        <v>1463</v>
      </c>
      <c r="D3751" s="7">
        <v>1675</v>
      </c>
      <c r="E3751" t="s">
        <v>11</v>
      </c>
      <c r="F3751" s="1">
        <v>6.0510000000000002</v>
      </c>
    </row>
    <row r="3752" spans="1:6">
      <c r="A3752" t="s">
        <v>85</v>
      </c>
      <c r="B3752" t="s">
        <v>1462</v>
      </c>
      <c r="C3752" s="1" t="s">
        <v>1464</v>
      </c>
      <c r="D3752" s="7">
        <v>1681</v>
      </c>
      <c r="E3752" t="s">
        <v>11</v>
      </c>
      <c r="F3752" s="1">
        <v>5.9340000000000002</v>
      </c>
    </row>
    <row r="3753" spans="1:6">
      <c r="A3753" t="s">
        <v>85</v>
      </c>
      <c r="B3753" t="s">
        <v>1462</v>
      </c>
      <c r="C3753" s="1" t="s">
        <v>1465</v>
      </c>
      <c r="D3753" s="7">
        <v>1687</v>
      </c>
      <c r="E3753" t="s">
        <v>11</v>
      </c>
      <c r="F3753" s="1">
        <v>6.0179999999999998</v>
      </c>
    </row>
    <row r="3754" spans="1:6">
      <c r="A3754" t="s">
        <v>85</v>
      </c>
      <c r="B3754" t="s">
        <v>1462</v>
      </c>
      <c r="C3754" s="1" t="s">
        <v>1466</v>
      </c>
      <c r="D3754" s="7">
        <v>1747</v>
      </c>
      <c r="E3754" t="s">
        <v>11</v>
      </c>
      <c r="F3754" s="1">
        <v>6.5519999999999996</v>
      </c>
    </row>
    <row r="3755" spans="1:6">
      <c r="A3755" t="s">
        <v>85</v>
      </c>
      <c r="B3755" t="s">
        <v>1462</v>
      </c>
      <c r="C3755" s="1" t="s">
        <v>1467</v>
      </c>
      <c r="D3755" s="7">
        <v>1753</v>
      </c>
      <c r="E3755" t="s">
        <v>11</v>
      </c>
      <c r="F3755" s="1">
        <v>2.9049999999999998</v>
      </c>
    </row>
    <row r="3756" spans="1:6">
      <c r="A3756" t="s">
        <v>85</v>
      </c>
      <c r="B3756" t="s">
        <v>1462</v>
      </c>
      <c r="C3756" s="1" t="s">
        <v>1468</v>
      </c>
      <c r="D3756" s="7">
        <v>1759</v>
      </c>
      <c r="E3756" t="s">
        <v>11</v>
      </c>
      <c r="F3756" s="1">
        <v>2.996</v>
      </c>
    </row>
    <row r="3757" spans="1:6">
      <c r="A3757" t="s">
        <v>85</v>
      </c>
      <c r="B3757" t="s">
        <v>1462</v>
      </c>
      <c r="C3757" s="1" t="s">
        <v>1469</v>
      </c>
      <c r="D3757" s="7">
        <v>1765</v>
      </c>
      <c r="E3757" t="s">
        <v>11</v>
      </c>
      <c r="F3757" s="1">
        <v>2.8809999999999998</v>
      </c>
    </row>
    <row r="3758" spans="1:6">
      <c r="A3758" t="s">
        <v>85</v>
      </c>
      <c r="B3758" t="s">
        <v>1462</v>
      </c>
      <c r="C3758" s="1" t="s">
        <v>1470</v>
      </c>
      <c r="D3758" s="7">
        <v>1771</v>
      </c>
      <c r="E3758" t="s">
        <v>11</v>
      </c>
      <c r="F3758" s="1">
        <v>3.0230000000000001</v>
      </c>
    </row>
    <row r="3759" spans="1:6">
      <c r="A3759" t="s">
        <v>85</v>
      </c>
      <c r="B3759" t="s">
        <v>1462</v>
      </c>
      <c r="C3759" s="1" t="s">
        <v>1471</v>
      </c>
      <c r="D3759" s="7">
        <v>1777</v>
      </c>
      <c r="E3759" t="s">
        <v>11</v>
      </c>
      <c r="F3759" s="1">
        <v>3.0870000000000002</v>
      </c>
    </row>
    <row r="3760" spans="1:6">
      <c r="A3760" t="s">
        <v>85</v>
      </c>
      <c r="B3760" t="s">
        <v>1462</v>
      </c>
      <c r="C3760" s="1" t="s">
        <v>1472</v>
      </c>
      <c r="D3760" s="7">
        <v>1783</v>
      </c>
      <c r="E3760" t="s">
        <v>11</v>
      </c>
      <c r="F3760" s="1">
        <v>3.0449999999999999</v>
      </c>
    </row>
    <row r="3761" spans="1:6">
      <c r="A3761" t="s">
        <v>85</v>
      </c>
      <c r="B3761" t="s">
        <v>1462</v>
      </c>
      <c r="C3761" s="1" t="s">
        <v>1473</v>
      </c>
      <c r="D3761" s="7">
        <v>1789</v>
      </c>
      <c r="E3761" t="s">
        <v>11</v>
      </c>
      <c r="F3761" s="1">
        <v>2.9460000000000002</v>
      </c>
    </row>
    <row r="3762" spans="1:6">
      <c r="A3762" t="s">
        <v>85</v>
      </c>
      <c r="B3762" t="s">
        <v>1462</v>
      </c>
      <c r="C3762" s="1" t="s">
        <v>1474</v>
      </c>
      <c r="D3762" s="7">
        <v>1795</v>
      </c>
      <c r="E3762" t="s">
        <v>11</v>
      </c>
      <c r="F3762" s="1">
        <v>2.992</v>
      </c>
    </row>
    <row r="3763" spans="1:6">
      <c r="A3763" t="s">
        <v>85</v>
      </c>
      <c r="B3763" t="s">
        <v>1462</v>
      </c>
      <c r="C3763" s="1" t="s">
        <v>1475</v>
      </c>
      <c r="D3763" s="7">
        <v>1801</v>
      </c>
      <c r="E3763" t="s">
        <v>11</v>
      </c>
      <c r="F3763" s="1">
        <v>2.9910000000000001</v>
      </c>
    </row>
    <row r="3764" spans="1:6">
      <c r="A3764" t="s">
        <v>85</v>
      </c>
      <c r="B3764" t="s">
        <v>1462</v>
      </c>
      <c r="C3764" s="3" t="s">
        <v>1476</v>
      </c>
      <c r="D3764" s="7">
        <v>5171</v>
      </c>
      <c r="E3764" t="s">
        <v>12</v>
      </c>
      <c r="F3764" s="10">
        <v>2.11</v>
      </c>
    </row>
    <row r="3765" spans="1:6">
      <c r="A3765" t="s">
        <v>85</v>
      </c>
      <c r="B3765" t="s">
        <v>1462</v>
      </c>
      <c r="C3765" s="3" t="s">
        <v>1477</v>
      </c>
      <c r="D3765" s="7">
        <v>5173</v>
      </c>
      <c r="E3765" t="s">
        <v>12</v>
      </c>
      <c r="F3765" s="10">
        <v>1.98</v>
      </c>
    </row>
    <row r="3766" spans="1:6">
      <c r="A3766" t="s">
        <v>85</v>
      </c>
      <c r="B3766" t="s">
        <v>1462</v>
      </c>
      <c r="C3766" s="3" t="s">
        <v>1478</v>
      </c>
      <c r="D3766" s="7">
        <v>5172</v>
      </c>
      <c r="E3766" t="s">
        <v>12</v>
      </c>
      <c r="F3766" s="10">
        <v>2</v>
      </c>
    </row>
    <row r="3767" spans="1:6">
      <c r="A3767" t="s">
        <v>85</v>
      </c>
      <c r="B3767" t="s">
        <v>1479</v>
      </c>
      <c r="C3767" s="1" t="s">
        <v>1480</v>
      </c>
      <c r="D3767" s="7">
        <v>1340</v>
      </c>
      <c r="E3767" t="s">
        <v>9</v>
      </c>
      <c r="F3767" s="1">
        <v>2.0960000000000001</v>
      </c>
    </row>
    <row r="3768" spans="1:6">
      <c r="A3768" t="s">
        <v>85</v>
      </c>
      <c r="B3768" t="s">
        <v>1479</v>
      </c>
      <c r="C3768" s="1" t="s">
        <v>1481</v>
      </c>
      <c r="D3768" s="7">
        <v>1346</v>
      </c>
      <c r="E3768" t="s">
        <v>9</v>
      </c>
      <c r="F3768" s="1">
        <v>2.073</v>
      </c>
    </row>
    <row r="3769" spans="1:6">
      <c r="A3769" t="s">
        <v>85</v>
      </c>
      <c r="B3769" t="s">
        <v>1479</v>
      </c>
      <c r="C3769" s="1" t="s">
        <v>1482</v>
      </c>
      <c r="D3769" s="7">
        <v>1352</v>
      </c>
      <c r="E3769" t="s">
        <v>9</v>
      </c>
      <c r="F3769" s="1">
        <v>2.1059999999999999</v>
      </c>
    </row>
    <row r="3770" spans="1:6">
      <c r="A3770" t="s">
        <v>85</v>
      </c>
      <c r="B3770" t="s">
        <v>1479</v>
      </c>
      <c r="C3770" s="1" t="s">
        <v>1483</v>
      </c>
      <c r="D3770" s="7">
        <v>1358</v>
      </c>
      <c r="E3770" t="s">
        <v>9</v>
      </c>
      <c r="F3770" s="1">
        <v>2.1219999999999999</v>
      </c>
    </row>
    <row r="3771" spans="1:6">
      <c r="A3771" t="s">
        <v>85</v>
      </c>
      <c r="B3771" t="s">
        <v>1479</v>
      </c>
      <c r="C3771" s="1" t="s">
        <v>1484</v>
      </c>
      <c r="D3771" s="7">
        <v>1664</v>
      </c>
      <c r="E3771" t="s">
        <v>9</v>
      </c>
      <c r="F3771" s="1">
        <v>2.097</v>
      </c>
    </row>
    <row r="3772" spans="1:6">
      <c r="A3772" t="s">
        <v>85</v>
      </c>
      <c r="B3772" t="s">
        <v>1479</v>
      </c>
      <c r="C3772" s="1" t="s">
        <v>1485</v>
      </c>
      <c r="D3772" s="7">
        <v>1670</v>
      </c>
      <c r="E3772" t="s">
        <v>9</v>
      </c>
      <c r="F3772" s="1">
        <v>2.0640000000000001</v>
      </c>
    </row>
    <row r="3773" spans="1:6">
      <c r="A3773" t="s">
        <v>85</v>
      </c>
      <c r="B3773" t="s">
        <v>1479</v>
      </c>
      <c r="C3773" s="1" t="s">
        <v>1486</v>
      </c>
      <c r="D3773" s="7">
        <v>1838</v>
      </c>
      <c r="E3773" t="s">
        <v>9</v>
      </c>
      <c r="F3773" s="1">
        <v>1.974</v>
      </c>
    </row>
    <row r="3774" spans="1:6">
      <c r="A3774" t="s">
        <v>85</v>
      </c>
      <c r="B3774" t="s">
        <v>1479</v>
      </c>
      <c r="C3774" s="1" t="s">
        <v>1487</v>
      </c>
      <c r="D3774" s="7">
        <v>1844</v>
      </c>
      <c r="E3774" t="s">
        <v>9</v>
      </c>
      <c r="F3774" s="1">
        <v>2.0779999999999998</v>
      </c>
    </row>
    <row r="3775" spans="1:6">
      <c r="A3775" t="s">
        <v>85</v>
      </c>
      <c r="B3775" t="s">
        <v>1479</v>
      </c>
      <c r="C3775" s="1" t="s">
        <v>1488</v>
      </c>
      <c r="D3775" s="7">
        <v>1850</v>
      </c>
      <c r="E3775" t="s">
        <v>9</v>
      </c>
      <c r="F3775" s="1">
        <v>2.0409999999999999</v>
      </c>
    </row>
    <row r="3776" spans="1:6">
      <c r="A3776" t="s">
        <v>85</v>
      </c>
      <c r="B3776" t="s">
        <v>1479</v>
      </c>
      <c r="C3776" s="1" t="s">
        <v>1489</v>
      </c>
      <c r="D3776" s="7">
        <v>1856</v>
      </c>
      <c r="E3776" t="s">
        <v>9</v>
      </c>
      <c r="F3776" s="1">
        <v>2.0609999999999999</v>
      </c>
    </row>
    <row r="3777" spans="1:6">
      <c r="A3777" t="s">
        <v>85</v>
      </c>
      <c r="B3777" t="s">
        <v>1479</v>
      </c>
      <c r="C3777" s="1" t="s">
        <v>1480</v>
      </c>
      <c r="D3777" s="7">
        <v>1341</v>
      </c>
      <c r="E3777" t="s">
        <v>10</v>
      </c>
      <c r="F3777" s="1">
        <v>2.8809999999999998</v>
      </c>
    </row>
    <row r="3778" spans="1:6">
      <c r="A3778" t="s">
        <v>85</v>
      </c>
      <c r="B3778" t="s">
        <v>1479</v>
      </c>
      <c r="C3778" s="1" t="s">
        <v>1481</v>
      </c>
      <c r="D3778" s="7">
        <v>1347</v>
      </c>
      <c r="E3778" t="s">
        <v>10</v>
      </c>
      <c r="F3778" s="1">
        <v>2.8079999999999998</v>
      </c>
    </row>
    <row r="3779" spans="1:6">
      <c r="A3779" t="s">
        <v>85</v>
      </c>
      <c r="B3779" t="s">
        <v>1479</v>
      </c>
      <c r="C3779" s="1" t="s">
        <v>1482</v>
      </c>
      <c r="D3779" s="7">
        <v>1353</v>
      </c>
      <c r="E3779" t="s">
        <v>10</v>
      </c>
      <c r="F3779" s="1">
        <v>3.2759999999999998</v>
      </c>
    </row>
    <row r="3780" spans="1:6">
      <c r="A3780" t="s">
        <v>85</v>
      </c>
      <c r="B3780" t="s">
        <v>1479</v>
      </c>
      <c r="C3780" s="1" t="s">
        <v>1483</v>
      </c>
      <c r="D3780" s="7">
        <v>1359</v>
      </c>
      <c r="E3780" t="s">
        <v>10</v>
      </c>
      <c r="F3780" s="1">
        <v>2.806</v>
      </c>
    </row>
    <row r="3781" spans="1:6">
      <c r="A3781" t="s">
        <v>85</v>
      </c>
      <c r="B3781" t="s">
        <v>1479</v>
      </c>
      <c r="C3781" s="1" t="s">
        <v>1484</v>
      </c>
      <c r="D3781" s="7">
        <v>1665</v>
      </c>
      <c r="E3781" t="s">
        <v>10</v>
      </c>
      <c r="F3781" s="9">
        <v>2.84</v>
      </c>
    </row>
    <row r="3782" spans="1:6">
      <c r="A3782" t="s">
        <v>85</v>
      </c>
      <c r="B3782" t="s">
        <v>1479</v>
      </c>
      <c r="C3782" s="1" t="s">
        <v>1485</v>
      </c>
      <c r="D3782" s="7">
        <v>1671</v>
      </c>
      <c r="E3782" t="s">
        <v>10</v>
      </c>
      <c r="F3782" s="1">
        <v>2.9140000000000001</v>
      </c>
    </row>
    <row r="3783" spans="1:6">
      <c r="A3783" t="s">
        <v>85</v>
      </c>
      <c r="B3783" t="s">
        <v>1479</v>
      </c>
      <c r="C3783" s="1" t="s">
        <v>1486</v>
      </c>
      <c r="D3783" s="7">
        <v>1839</v>
      </c>
      <c r="E3783" t="s">
        <v>10</v>
      </c>
      <c r="F3783" s="1">
        <v>2.9420000000000002</v>
      </c>
    </row>
    <row r="3784" spans="1:6">
      <c r="A3784" t="s">
        <v>85</v>
      </c>
      <c r="B3784" t="s">
        <v>1479</v>
      </c>
      <c r="C3784" s="1" t="s">
        <v>1487</v>
      </c>
      <c r="D3784" s="7">
        <v>1845</v>
      </c>
      <c r="E3784" t="s">
        <v>10</v>
      </c>
      <c r="F3784" s="1">
        <v>2.798</v>
      </c>
    </row>
    <row r="3785" spans="1:6">
      <c r="A3785" t="s">
        <v>85</v>
      </c>
      <c r="B3785" t="s">
        <v>1479</v>
      </c>
      <c r="C3785" s="1" t="s">
        <v>1488</v>
      </c>
      <c r="D3785" s="7">
        <v>1851</v>
      </c>
      <c r="E3785" t="s">
        <v>10</v>
      </c>
      <c r="F3785" s="1">
        <v>3.2250000000000001</v>
      </c>
    </row>
    <row r="3786" spans="1:6">
      <c r="A3786" t="s">
        <v>85</v>
      </c>
      <c r="B3786" t="s">
        <v>1479</v>
      </c>
      <c r="C3786" s="1" t="s">
        <v>1489</v>
      </c>
      <c r="D3786" s="7">
        <v>1857</v>
      </c>
      <c r="E3786" t="s">
        <v>10</v>
      </c>
      <c r="F3786" s="1">
        <v>2.8130000000000002</v>
      </c>
    </row>
    <row r="3787" spans="1:6">
      <c r="A3787" t="s">
        <v>85</v>
      </c>
      <c r="B3787" t="s">
        <v>1479</v>
      </c>
      <c r="C3787" s="1" t="s">
        <v>1480</v>
      </c>
      <c r="D3787" s="7">
        <v>1339</v>
      </c>
      <c r="E3787" t="s">
        <v>11</v>
      </c>
      <c r="F3787" s="1">
        <v>8.8719999999999999</v>
      </c>
    </row>
    <row r="3788" spans="1:6">
      <c r="A3788" t="s">
        <v>85</v>
      </c>
      <c r="B3788" t="s">
        <v>1479</v>
      </c>
      <c r="C3788" s="1" t="s">
        <v>1481</v>
      </c>
      <c r="D3788" s="7">
        <v>1345</v>
      </c>
      <c r="E3788" t="s">
        <v>11</v>
      </c>
      <c r="F3788" s="9">
        <v>8.86</v>
      </c>
    </row>
    <row r="3789" spans="1:6">
      <c r="A3789" t="s">
        <v>85</v>
      </c>
      <c r="B3789" t="s">
        <v>1479</v>
      </c>
      <c r="C3789" s="1" t="s">
        <v>1482</v>
      </c>
      <c r="D3789" s="7">
        <v>1351</v>
      </c>
      <c r="E3789" t="s">
        <v>11</v>
      </c>
      <c r="F3789" s="1">
        <v>8.7249999999999996</v>
      </c>
    </row>
    <row r="3790" spans="1:6">
      <c r="A3790" t="s">
        <v>85</v>
      </c>
      <c r="B3790" t="s">
        <v>1479</v>
      </c>
      <c r="C3790" s="1" t="s">
        <v>1483</v>
      </c>
      <c r="D3790" s="7">
        <v>1357</v>
      </c>
      <c r="E3790" t="s">
        <v>11</v>
      </c>
      <c r="F3790" s="1">
        <v>8.7059999999999995</v>
      </c>
    </row>
    <row r="3791" spans="1:6">
      <c r="A3791" t="s">
        <v>85</v>
      </c>
      <c r="B3791" t="s">
        <v>1479</v>
      </c>
      <c r="C3791" s="1" t="s">
        <v>1484</v>
      </c>
      <c r="D3791" s="7">
        <v>1663</v>
      </c>
      <c r="E3791" t="s">
        <v>11</v>
      </c>
      <c r="F3791" s="1">
        <v>8.8569999999999993</v>
      </c>
    </row>
    <row r="3792" spans="1:6">
      <c r="A3792" t="s">
        <v>85</v>
      </c>
      <c r="B3792" t="s">
        <v>1479</v>
      </c>
      <c r="C3792" s="1" t="s">
        <v>1485</v>
      </c>
      <c r="D3792" s="7">
        <v>1669</v>
      </c>
      <c r="E3792" t="s">
        <v>11</v>
      </c>
      <c r="F3792" s="1">
        <v>8.9540000000000006</v>
      </c>
    </row>
    <row r="3793" spans="1:6">
      <c r="A3793" t="s">
        <v>85</v>
      </c>
      <c r="B3793" t="s">
        <v>1479</v>
      </c>
      <c r="C3793" s="1" t="s">
        <v>1486</v>
      </c>
      <c r="D3793" s="7">
        <v>1837</v>
      </c>
      <c r="E3793" t="s">
        <v>11</v>
      </c>
      <c r="F3793" s="1">
        <v>8.3140000000000001</v>
      </c>
    </row>
    <row r="3794" spans="1:6">
      <c r="A3794" t="s">
        <v>85</v>
      </c>
      <c r="B3794" t="s">
        <v>1479</v>
      </c>
      <c r="C3794" s="1" t="s">
        <v>1487</v>
      </c>
      <c r="D3794" s="7">
        <v>1843</v>
      </c>
      <c r="E3794" t="s">
        <v>11</v>
      </c>
      <c r="F3794" s="1">
        <v>8.8030000000000008</v>
      </c>
    </row>
    <row r="3795" spans="1:6">
      <c r="A3795" t="s">
        <v>85</v>
      </c>
      <c r="B3795" t="s">
        <v>1479</v>
      </c>
      <c r="C3795" s="1" t="s">
        <v>1488</v>
      </c>
      <c r="D3795" s="7">
        <v>1849</v>
      </c>
      <c r="E3795" t="s">
        <v>11</v>
      </c>
      <c r="F3795" s="9">
        <v>8.94</v>
      </c>
    </row>
    <row r="3796" spans="1:6">
      <c r="A3796" t="s">
        <v>85</v>
      </c>
      <c r="B3796" t="s">
        <v>1479</v>
      </c>
      <c r="C3796" s="1" t="s">
        <v>1489</v>
      </c>
      <c r="D3796" s="7">
        <v>1855</v>
      </c>
      <c r="E3796" t="s">
        <v>11</v>
      </c>
      <c r="F3796" s="1">
        <v>8.5879999999999992</v>
      </c>
    </row>
    <row r="3797" spans="1:6">
      <c r="A3797" t="s">
        <v>85</v>
      </c>
      <c r="B3797" t="s">
        <v>1479</v>
      </c>
      <c r="C3797" s="3" t="s">
        <v>1490</v>
      </c>
      <c r="D3797" s="7">
        <v>5154</v>
      </c>
      <c r="E3797" t="s">
        <v>12</v>
      </c>
      <c r="F3797" s="10">
        <v>3.39</v>
      </c>
    </row>
    <row r="3798" spans="1:6">
      <c r="A3798" t="s">
        <v>85</v>
      </c>
      <c r="B3798" t="s">
        <v>1479</v>
      </c>
      <c r="C3798" s="3" t="s">
        <v>1491</v>
      </c>
      <c r="D3798" s="7">
        <v>5153</v>
      </c>
      <c r="E3798" t="s">
        <v>12</v>
      </c>
      <c r="F3798" s="10">
        <v>3.17</v>
      </c>
    </row>
    <row r="3799" spans="1:6">
      <c r="A3799" t="s">
        <v>85</v>
      </c>
      <c r="B3799" t="s">
        <v>1479</v>
      </c>
      <c r="C3799" s="3" t="s">
        <v>1492</v>
      </c>
      <c r="D3799" s="7">
        <v>5152</v>
      </c>
      <c r="E3799" t="s">
        <v>12</v>
      </c>
      <c r="F3799" s="10">
        <v>3.21</v>
      </c>
    </row>
    <row r="3800" spans="1:6">
      <c r="A3800" t="s">
        <v>85</v>
      </c>
      <c r="B3800" s="2" t="s">
        <v>1493</v>
      </c>
      <c r="C3800" s="1" t="s">
        <v>1494</v>
      </c>
      <c r="D3800" s="7">
        <v>613</v>
      </c>
      <c r="E3800" t="s">
        <v>9</v>
      </c>
      <c r="F3800" s="9">
        <v>0.751</v>
      </c>
    </row>
    <row r="3801" spans="1:6">
      <c r="A3801" t="s">
        <v>85</v>
      </c>
      <c r="B3801" s="2" t="s">
        <v>1493</v>
      </c>
      <c r="C3801" s="1" t="s">
        <v>1495</v>
      </c>
      <c r="D3801" s="7">
        <v>619</v>
      </c>
      <c r="E3801" t="s">
        <v>9</v>
      </c>
      <c r="F3801" s="9">
        <v>0.77800000000000002</v>
      </c>
    </row>
    <row r="3802" spans="1:6">
      <c r="A3802" t="s">
        <v>85</v>
      </c>
      <c r="B3802" s="2" t="s">
        <v>1493</v>
      </c>
      <c r="C3802" s="1" t="s">
        <v>1496</v>
      </c>
      <c r="D3802" s="7">
        <v>625</v>
      </c>
      <c r="E3802" t="s">
        <v>9</v>
      </c>
      <c r="F3802" s="9">
        <v>0.75900000000000001</v>
      </c>
    </row>
    <row r="3803" spans="1:6">
      <c r="A3803" t="s">
        <v>85</v>
      </c>
      <c r="B3803" s="2" t="s">
        <v>1493</v>
      </c>
      <c r="C3803" s="1" t="s">
        <v>1497</v>
      </c>
      <c r="D3803" s="7">
        <v>631</v>
      </c>
      <c r="E3803" t="s">
        <v>9</v>
      </c>
      <c r="F3803" s="9">
        <v>0.76100000000000001</v>
      </c>
    </row>
    <row r="3804" spans="1:6">
      <c r="A3804" t="s">
        <v>85</v>
      </c>
      <c r="B3804" s="2" t="s">
        <v>1493</v>
      </c>
      <c r="C3804" s="1" t="s">
        <v>1498</v>
      </c>
      <c r="D3804" s="7">
        <v>637</v>
      </c>
      <c r="E3804" t="s">
        <v>9</v>
      </c>
      <c r="F3804" s="9">
        <v>0.753</v>
      </c>
    </row>
    <row r="3805" spans="1:6">
      <c r="A3805" t="s">
        <v>85</v>
      </c>
      <c r="B3805" s="2" t="s">
        <v>1493</v>
      </c>
      <c r="C3805" s="1" t="s">
        <v>1499</v>
      </c>
      <c r="D3805" s="7">
        <v>643</v>
      </c>
      <c r="E3805" t="s">
        <v>9</v>
      </c>
      <c r="F3805" s="9">
        <v>0.69499999999999995</v>
      </c>
    </row>
    <row r="3806" spans="1:6">
      <c r="A3806" t="s">
        <v>85</v>
      </c>
      <c r="B3806" s="2" t="s">
        <v>1493</v>
      </c>
      <c r="C3806" s="1" t="s">
        <v>1500</v>
      </c>
      <c r="D3806" s="7">
        <v>649</v>
      </c>
      <c r="E3806" t="s">
        <v>9</v>
      </c>
      <c r="F3806" s="9">
        <v>0.71799999999999997</v>
      </c>
    </row>
    <row r="3807" spans="1:6">
      <c r="A3807" t="s">
        <v>85</v>
      </c>
      <c r="B3807" s="2" t="s">
        <v>1493</v>
      </c>
      <c r="C3807" s="1" t="s">
        <v>1501</v>
      </c>
      <c r="D3807" s="7">
        <v>655</v>
      </c>
      <c r="E3807" t="s">
        <v>9</v>
      </c>
      <c r="F3807" s="9">
        <v>0.78200000000000003</v>
      </c>
    </row>
    <row r="3808" spans="1:6">
      <c r="A3808" t="s">
        <v>85</v>
      </c>
      <c r="B3808" s="2" t="s">
        <v>1493</v>
      </c>
      <c r="C3808" s="1" t="s">
        <v>1502</v>
      </c>
      <c r="D3808" s="7">
        <v>661</v>
      </c>
      <c r="E3808" t="s">
        <v>9</v>
      </c>
      <c r="F3808" s="9">
        <v>0.77100000000000002</v>
      </c>
    </row>
    <row r="3809" spans="1:6">
      <c r="A3809" t="s">
        <v>85</v>
      </c>
      <c r="B3809" s="2" t="s">
        <v>1493</v>
      </c>
      <c r="C3809" s="1" t="s">
        <v>1503</v>
      </c>
      <c r="D3809" s="7">
        <v>667</v>
      </c>
      <c r="E3809" t="s">
        <v>9</v>
      </c>
      <c r="F3809" s="9">
        <v>0.748</v>
      </c>
    </row>
    <row r="3810" spans="1:6">
      <c r="A3810" t="s">
        <v>85</v>
      </c>
      <c r="B3810" s="2" t="s">
        <v>1493</v>
      </c>
      <c r="C3810" s="1" t="s">
        <v>1240</v>
      </c>
      <c r="D3810" s="7">
        <v>2310</v>
      </c>
      <c r="E3810" t="s">
        <v>9</v>
      </c>
      <c r="F3810" s="9">
        <v>0.79100000000000004</v>
      </c>
    </row>
    <row r="3811" spans="1:6">
      <c r="A3811" t="s">
        <v>85</v>
      </c>
      <c r="B3811" s="2" t="s">
        <v>1493</v>
      </c>
      <c r="C3811" s="1" t="s">
        <v>1504</v>
      </c>
      <c r="D3811" s="7">
        <v>2280</v>
      </c>
      <c r="E3811" t="s">
        <v>9</v>
      </c>
      <c r="F3811" s="9">
        <v>0.75700000000000001</v>
      </c>
    </row>
    <row r="3812" spans="1:6">
      <c r="A3812" t="s">
        <v>85</v>
      </c>
      <c r="B3812" s="2" t="s">
        <v>1493</v>
      </c>
      <c r="C3812" s="1" t="s">
        <v>1505</v>
      </c>
      <c r="D3812" s="7">
        <v>2286</v>
      </c>
      <c r="E3812" t="s">
        <v>9</v>
      </c>
      <c r="F3812" s="9">
        <v>0.71299999999999997</v>
      </c>
    </row>
    <row r="3813" spans="1:6">
      <c r="A3813" t="s">
        <v>85</v>
      </c>
      <c r="B3813" s="2" t="s">
        <v>1493</v>
      </c>
      <c r="C3813" s="1" t="s">
        <v>1506</v>
      </c>
      <c r="D3813" s="7">
        <v>2292</v>
      </c>
      <c r="E3813" t="s">
        <v>9</v>
      </c>
      <c r="F3813" s="9">
        <v>0.71</v>
      </c>
    </row>
    <row r="3814" spans="1:6">
      <c r="A3814" t="s">
        <v>85</v>
      </c>
      <c r="B3814" s="2" t="s">
        <v>1493</v>
      </c>
      <c r="C3814" s="1" t="s">
        <v>1507</v>
      </c>
      <c r="D3814" s="7">
        <v>2298</v>
      </c>
      <c r="E3814" t="s">
        <v>9</v>
      </c>
      <c r="F3814" s="9">
        <v>0.72699999999999998</v>
      </c>
    </row>
    <row r="3815" spans="1:6">
      <c r="A3815" t="s">
        <v>85</v>
      </c>
      <c r="B3815" s="2" t="s">
        <v>1493</v>
      </c>
      <c r="C3815" s="1" t="s">
        <v>1508</v>
      </c>
      <c r="D3815" s="7">
        <v>2304</v>
      </c>
      <c r="E3815" t="s">
        <v>9</v>
      </c>
      <c r="F3815" s="9">
        <v>0.755</v>
      </c>
    </row>
    <row r="3816" spans="1:6">
      <c r="A3816" t="s">
        <v>85</v>
      </c>
      <c r="B3816" s="2" t="s">
        <v>1493</v>
      </c>
      <c r="C3816" s="1" t="s">
        <v>1509</v>
      </c>
      <c r="D3816" s="7">
        <v>2316</v>
      </c>
      <c r="E3816" t="s">
        <v>9</v>
      </c>
      <c r="F3816" s="9">
        <v>0.78600000000000003</v>
      </c>
    </row>
    <row r="3817" spans="1:6">
      <c r="A3817" t="s">
        <v>85</v>
      </c>
      <c r="B3817" s="2" t="s">
        <v>1493</v>
      </c>
      <c r="C3817" s="1" t="s">
        <v>1494</v>
      </c>
      <c r="D3817" s="7">
        <v>614</v>
      </c>
      <c r="E3817" t="s">
        <v>10</v>
      </c>
      <c r="F3817" s="9">
        <v>0.79800000000000004</v>
      </c>
    </row>
    <row r="3818" spans="1:6">
      <c r="A3818" t="s">
        <v>85</v>
      </c>
      <c r="B3818" s="2" t="s">
        <v>1493</v>
      </c>
      <c r="C3818" s="1" t="s">
        <v>1495</v>
      </c>
      <c r="D3818" s="7">
        <v>620</v>
      </c>
      <c r="E3818" t="s">
        <v>10</v>
      </c>
      <c r="F3818" s="9">
        <v>0.89100000000000001</v>
      </c>
    </row>
    <row r="3819" spans="1:6">
      <c r="A3819" t="s">
        <v>85</v>
      </c>
      <c r="B3819" s="2" t="s">
        <v>1493</v>
      </c>
      <c r="C3819" s="1" t="s">
        <v>1496</v>
      </c>
      <c r="D3819" s="7">
        <v>626</v>
      </c>
      <c r="E3819" t="s">
        <v>10</v>
      </c>
      <c r="F3819" s="9">
        <v>0.77400000000000002</v>
      </c>
    </row>
    <row r="3820" spans="1:6">
      <c r="A3820" t="s">
        <v>85</v>
      </c>
      <c r="B3820" s="2" t="s">
        <v>1493</v>
      </c>
      <c r="C3820" s="1" t="s">
        <v>1497</v>
      </c>
      <c r="D3820" s="7">
        <v>632</v>
      </c>
      <c r="E3820" t="s">
        <v>10</v>
      </c>
      <c r="F3820" s="9">
        <v>0.91800000000000004</v>
      </c>
    </row>
    <row r="3821" spans="1:6">
      <c r="A3821" t="s">
        <v>85</v>
      </c>
      <c r="B3821" s="2" t="s">
        <v>1493</v>
      </c>
      <c r="C3821" s="1" t="s">
        <v>1498</v>
      </c>
      <c r="D3821" s="7">
        <v>638</v>
      </c>
      <c r="E3821" t="s">
        <v>10</v>
      </c>
      <c r="F3821" s="9">
        <v>0.89400000000000002</v>
      </c>
    </row>
    <row r="3822" spans="1:6">
      <c r="A3822" t="s">
        <v>85</v>
      </c>
      <c r="B3822" s="2" t="s">
        <v>1493</v>
      </c>
      <c r="C3822" s="1" t="s">
        <v>1499</v>
      </c>
      <c r="D3822" s="7">
        <v>644</v>
      </c>
      <c r="E3822" t="s">
        <v>10</v>
      </c>
      <c r="F3822" s="1">
        <v>1.026</v>
      </c>
    </row>
    <row r="3823" spans="1:6">
      <c r="A3823" t="s">
        <v>85</v>
      </c>
      <c r="B3823" s="2" t="s">
        <v>1493</v>
      </c>
      <c r="C3823" s="1" t="s">
        <v>1500</v>
      </c>
      <c r="D3823" s="7">
        <v>650</v>
      </c>
      <c r="E3823" t="s">
        <v>10</v>
      </c>
      <c r="F3823" s="9">
        <v>0.85299999999999998</v>
      </c>
    </row>
    <row r="3824" spans="1:6">
      <c r="A3824" t="s">
        <v>85</v>
      </c>
      <c r="B3824" s="2" t="s">
        <v>1493</v>
      </c>
      <c r="C3824" s="1" t="s">
        <v>1501</v>
      </c>
      <c r="D3824" s="7">
        <v>656</v>
      </c>
      <c r="E3824" t="s">
        <v>10</v>
      </c>
      <c r="F3824" s="9">
        <v>0.92400000000000004</v>
      </c>
    </row>
    <row r="3825" spans="1:6">
      <c r="A3825" t="s">
        <v>85</v>
      </c>
      <c r="B3825" s="2" t="s">
        <v>1493</v>
      </c>
      <c r="C3825" s="1" t="s">
        <v>1502</v>
      </c>
      <c r="D3825" s="7">
        <v>662</v>
      </c>
      <c r="E3825" t="s">
        <v>10</v>
      </c>
      <c r="F3825" s="9">
        <v>0.93600000000000005</v>
      </c>
    </row>
    <row r="3826" spans="1:6">
      <c r="A3826" t="s">
        <v>85</v>
      </c>
      <c r="B3826" s="2" t="s">
        <v>1493</v>
      </c>
      <c r="C3826" s="1" t="s">
        <v>1503</v>
      </c>
      <c r="D3826" s="7">
        <v>668</v>
      </c>
      <c r="E3826" t="s">
        <v>10</v>
      </c>
      <c r="F3826" s="9">
        <v>0.877</v>
      </c>
    </row>
    <row r="3827" spans="1:6">
      <c r="A3827" t="s">
        <v>85</v>
      </c>
      <c r="B3827" s="2" t="s">
        <v>1493</v>
      </c>
      <c r="C3827" s="1" t="s">
        <v>1240</v>
      </c>
      <c r="D3827" s="7">
        <v>2311</v>
      </c>
      <c r="E3827" t="s">
        <v>10</v>
      </c>
      <c r="F3827" s="1">
        <v>1.0720000000000001</v>
      </c>
    </row>
    <row r="3828" spans="1:6">
      <c r="A3828" t="s">
        <v>85</v>
      </c>
      <c r="B3828" s="2" t="s">
        <v>1493</v>
      </c>
      <c r="C3828" s="1" t="s">
        <v>1504</v>
      </c>
      <c r="D3828" s="7">
        <v>2281</v>
      </c>
      <c r="E3828" t="s">
        <v>10</v>
      </c>
      <c r="F3828" s="9">
        <v>0.96399999999999997</v>
      </c>
    </row>
    <row r="3829" spans="1:6">
      <c r="A3829" t="s">
        <v>85</v>
      </c>
      <c r="B3829" s="2" t="s">
        <v>1493</v>
      </c>
      <c r="C3829" s="1" t="s">
        <v>1505</v>
      </c>
      <c r="D3829" s="7">
        <v>2287</v>
      </c>
      <c r="E3829" t="s">
        <v>10</v>
      </c>
      <c r="F3829" s="9">
        <v>0.98299999999999998</v>
      </c>
    </row>
    <row r="3830" spans="1:6">
      <c r="A3830" t="s">
        <v>85</v>
      </c>
      <c r="B3830" s="2" t="s">
        <v>1493</v>
      </c>
      <c r="C3830" s="1" t="s">
        <v>1506</v>
      </c>
      <c r="D3830" s="7">
        <v>2293</v>
      </c>
      <c r="E3830" t="s">
        <v>10</v>
      </c>
      <c r="F3830" s="1">
        <v>1.002</v>
      </c>
    </row>
    <row r="3831" spans="1:6">
      <c r="A3831" t="s">
        <v>85</v>
      </c>
      <c r="B3831" s="2" t="s">
        <v>1493</v>
      </c>
      <c r="C3831" s="1" t="s">
        <v>1507</v>
      </c>
      <c r="D3831" s="7">
        <v>2299</v>
      </c>
      <c r="E3831" t="s">
        <v>10</v>
      </c>
      <c r="F3831" s="9">
        <v>0.96099999999999997</v>
      </c>
    </row>
    <row r="3832" spans="1:6">
      <c r="A3832" t="s">
        <v>85</v>
      </c>
      <c r="B3832" s="2" t="s">
        <v>1493</v>
      </c>
      <c r="C3832" s="1" t="s">
        <v>1508</v>
      </c>
      <c r="D3832" s="7">
        <v>2305</v>
      </c>
      <c r="E3832" t="s">
        <v>10</v>
      </c>
      <c r="F3832" s="1">
        <v>1.044</v>
      </c>
    </row>
    <row r="3833" spans="1:6">
      <c r="A3833" t="s">
        <v>85</v>
      </c>
      <c r="B3833" s="2" t="s">
        <v>1493</v>
      </c>
      <c r="C3833" s="1" t="s">
        <v>1509</v>
      </c>
      <c r="D3833" s="7">
        <v>2317</v>
      </c>
      <c r="E3833" t="s">
        <v>10</v>
      </c>
      <c r="F3833" s="1">
        <v>1.0469999999999999</v>
      </c>
    </row>
    <row r="3834" spans="1:6">
      <c r="A3834" t="s">
        <v>85</v>
      </c>
      <c r="B3834" s="2" t="s">
        <v>1493</v>
      </c>
      <c r="C3834" s="1" t="s">
        <v>1494</v>
      </c>
      <c r="D3834" s="7">
        <v>612</v>
      </c>
      <c r="E3834" t="s">
        <v>11</v>
      </c>
      <c r="F3834" s="1">
        <v>2.339</v>
      </c>
    </row>
    <row r="3835" spans="1:6">
      <c r="A3835" t="s">
        <v>85</v>
      </c>
      <c r="B3835" s="2" t="s">
        <v>1493</v>
      </c>
      <c r="C3835" s="1" t="s">
        <v>1495</v>
      </c>
      <c r="D3835" s="7">
        <v>618</v>
      </c>
      <c r="E3835" t="s">
        <v>11</v>
      </c>
      <c r="F3835" s="1">
        <v>2.6419999999999999</v>
      </c>
    </row>
    <row r="3836" spans="1:6">
      <c r="A3836" t="s">
        <v>85</v>
      </c>
      <c r="B3836" s="2" t="s">
        <v>1493</v>
      </c>
      <c r="C3836" s="1" t="s">
        <v>1496</v>
      </c>
      <c r="D3836" s="7">
        <v>624</v>
      </c>
      <c r="E3836" t="s">
        <v>11</v>
      </c>
      <c r="F3836" s="1">
        <v>2.3740000000000001</v>
      </c>
    </row>
    <row r="3837" spans="1:6">
      <c r="A3837" t="s">
        <v>85</v>
      </c>
      <c r="B3837" s="2" t="s">
        <v>1493</v>
      </c>
      <c r="C3837" s="1" t="s">
        <v>1497</v>
      </c>
      <c r="D3837" s="7">
        <v>630</v>
      </c>
      <c r="E3837" t="s">
        <v>11</v>
      </c>
      <c r="F3837" s="1">
        <v>2.343</v>
      </c>
    </row>
    <row r="3838" spans="1:6">
      <c r="A3838" t="s">
        <v>85</v>
      </c>
      <c r="B3838" s="2" t="s">
        <v>1493</v>
      </c>
      <c r="C3838" s="1" t="s">
        <v>1498</v>
      </c>
      <c r="D3838" s="7">
        <v>636</v>
      </c>
      <c r="E3838" t="s">
        <v>11</v>
      </c>
      <c r="F3838" s="1">
        <v>2.4369999999999998</v>
      </c>
    </row>
    <row r="3839" spans="1:6">
      <c r="A3839" t="s">
        <v>85</v>
      </c>
      <c r="B3839" s="2" t="s">
        <v>1493</v>
      </c>
      <c r="C3839" s="1" t="s">
        <v>1499</v>
      </c>
      <c r="D3839" s="7">
        <v>642</v>
      </c>
      <c r="E3839" t="s">
        <v>11</v>
      </c>
      <c r="F3839" s="9">
        <v>2.31</v>
      </c>
    </row>
    <row r="3840" spans="1:6">
      <c r="A3840" t="s">
        <v>85</v>
      </c>
      <c r="B3840" s="2" t="s">
        <v>1493</v>
      </c>
      <c r="C3840" s="1" t="s">
        <v>1500</v>
      </c>
      <c r="D3840" s="7">
        <v>648</v>
      </c>
      <c r="E3840" t="s">
        <v>11</v>
      </c>
      <c r="F3840" s="9">
        <v>2.4300000000000002</v>
      </c>
    </row>
    <row r="3841" spans="1:6">
      <c r="A3841" t="s">
        <v>85</v>
      </c>
      <c r="B3841" s="2" t="s">
        <v>1493</v>
      </c>
      <c r="C3841" s="1" t="s">
        <v>1501</v>
      </c>
      <c r="D3841" s="7">
        <v>654</v>
      </c>
      <c r="E3841" t="s">
        <v>11</v>
      </c>
      <c r="F3841" s="1">
        <v>2.5289999999999999</v>
      </c>
    </row>
    <row r="3842" spans="1:6">
      <c r="A3842" t="s">
        <v>85</v>
      </c>
      <c r="B3842" s="2" t="s">
        <v>1493</v>
      </c>
      <c r="C3842" s="1" t="s">
        <v>1502</v>
      </c>
      <c r="D3842" s="7">
        <v>660</v>
      </c>
      <c r="E3842" t="s">
        <v>11</v>
      </c>
      <c r="F3842" s="1">
        <v>2.4750000000000001</v>
      </c>
    </row>
    <row r="3843" spans="1:6">
      <c r="A3843" t="s">
        <v>85</v>
      </c>
      <c r="B3843" s="2" t="s">
        <v>1493</v>
      </c>
      <c r="C3843" s="1" t="s">
        <v>1503</v>
      </c>
      <c r="D3843" s="7">
        <v>666</v>
      </c>
      <c r="E3843" t="s">
        <v>11</v>
      </c>
      <c r="F3843" s="1">
        <v>2.5030000000000001</v>
      </c>
    </row>
    <row r="3844" spans="1:6">
      <c r="A3844" t="s">
        <v>85</v>
      </c>
      <c r="B3844" s="2" t="s">
        <v>1493</v>
      </c>
      <c r="C3844" s="1" t="s">
        <v>1240</v>
      </c>
      <c r="D3844" s="7">
        <v>2309</v>
      </c>
      <c r="E3844" t="s">
        <v>11</v>
      </c>
      <c r="F3844" s="1">
        <v>2.4369999999999998</v>
      </c>
    </row>
    <row r="3845" spans="1:6">
      <c r="A3845" t="s">
        <v>85</v>
      </c>
      <c r="B3845" s="2" t="s">
        <v>1493</v>
      </c>
      <c r="C3845" s="1" t="s">
        <v>1504</v>
      </c>
      <c r="D3845" s="7">
        <v>2279</v>
      </c>
      <c r="E3845" t="s">
        <v>11</v>
      </c>
      <c r="F3845" s="1">
        <v>2.4119999999999999</v>
      </c>
    </row>
    <row r="3846" spans="1:6">
      <c r="A3846" t="s">
        <v>85</v>
      </c>
      <c r="B3846" s="2" t="s">
        <v>1493</v>
      </c>
      <c r="C3846" s="1" t="s">
        <v>1505</v>
      </c>
      <c r="D3846" s="7">
        <v>2285</v>
      </c>
      <c r="E3846" t="s">
        <v>11</v>
      </c>
      <c r="F3846" s="1">
        <v>2.3170000000000002</v>
      </c>
    </row>
    <row r="3847" spans="1:6">
      <c r="A3847" t="s">
        <v>85</v>
      </c>
      <c r="B3847" s="2" t="s">
        <v>1493</v>
      </c>
      <c r="C3847" s="1" t="s">
        <v>1506</v>
      </c>
      <c r="D3847" s="7">
        <v>2291</v>
      </c>
      <c r="E3847" t="s">
        <v>11</v>
      </c>
      <c r="F3847" s="1">
        <v>2.423</v>
      </c>
    </row>
    <row r="3848" spans="1:6">
      <c r="A3848" t="s">
        <v>85</v>
      </c>
      <c r="B3848" s="2" t="s">
        <v>1493</v>
      </c>
      <c r="C3848" s="1" t="s">
        <v>1507</v>
      </c>
      <c r="D3848" s="7">
        <v>2297</v>
      </c>
      <c r="E3848" t="s">
        <v>11</v>
      </c>
      <c r="F3848" s="1">
        <v>2.492</v>
      </c>
    </row>
    <row r="3849" spans="1:6">
      <c r="A3849" t="s">
        <v>85</v>
      </c>
      <c r="B3849" s="2" t="s">
        <v>1493</v>
      </c>
      <c r="C3849" s="1" t="s">
        <v>1508</v>
      </c>
      <c r="D3849" s="7">
        <v>2303</v>
      </c>
      <c r="E3849" t="s">
        <v>11</v>
      </c>
      <c r="F3849" s="1">
        <v>2.5550000000000002</v>
      </c>
    </row>
    <row r="3850" spans="1:6">
      <c r="A3850" t="s">
        <v>85</v>
      </c>
      <c r="B3850" s="2" t="s">
        <v>1493</v>
      </c>
      <c r="C3850" s="1" t="s">
        <v>1509</v>
      </c>
      <c r="D3850" s="7">
        <v>2315</v>
      </c>
      <c r="E3850" t="s">
        <v>11</v>
      </c>
      <c r="F3850" s="1">
        <v>2.532</v>
      </c>
    </row>
    <row r="3851" spans="1:6">
      <c r="A3851" t="s">
        <v>85</v>
      </c>
      <c r="B3851" s="2" t="s">
        <v>1493</v>
      </c>
      <c r="C3851" s="3" t="s">
        <v>1510</v>
      </c>
      <c r="D3851" s="7">
        <v>5100</v>
      </c>
      <c r="E3851" t="s">
        <v>12</v>
      </c>
      <c r="F3851" s="10">
        <v>1</v>
      </c>
    </row>
    <row r="3852" spans="1:6">
      <c r="A3852" t="s">
        <v>85</v>
      </c>
      <c r="B3852" s="2" t="s">
        <v>1493</v>
      </c>
      <c r="C3852" s="3" t="s">
        <v>1511</v>
      </c>
      <c r="D3852" s="7">
        <v>5101</v>
      </c>
      <c r="E3852" t="s">
        <v>12</v>
      </c>
      <c r="F3852" s="10">
        <v>0.92</v>
      </c>
    </row>
    <row r="3853" spans="1:6">
      <c r="A3853" t="s">
        <v>85</v>
      </c>
      <c r="B3853" s="2" t="s">
        <v>1493</v>
      </c>
      <c r="C3853" s="3" t="s">
        <v>1512</v>
      </c>
      <c r="D3853" s="7">
        <v>5099</v>
      </c>
      <c r="E3853" t="s">
        <v>12</v>
      </c>
      <c r="F3853" s="10">
        <v>0.89</v>
      </c>
    </row>
    <row r="3854" spans="1:6">
      <c r="A3854" t="s">
        <v>85</v>
      </c>
      <c r="B3854" s="2" t="s">
        <v>1493</v>
      </c>
      <c r="C3854" s="3" t="s">
        <v>1513</v>
      </c>
      <c r="D3854" s="7">
        <v>5129</v>
      </c>
      <c r="E3854" t="s">
        <v>12</v>
      </c>
      <c r="F3854" s="10">
        <v>0.95</v>
      </c>
    </row>
    <row r="3855" spans="1:6">
      <c r="A3855" t="s">
        <v>85</v>
      </c>
      <c r="B3855" s="2" t="s">
        <v>1493</v>
      </c>
      <c r="C3855" s="3" t="s">
        <v>1514</v>
      </c>
      <c r="D3855" s="7">
        <v>5131</v>
      </c>
      <c r="E3855" t="s">
        <v>12</v>
      </c>
      <c r="F3855" s="10">
        <v>0.95</v>
      </c>
    </row>
    <row r="3856" spans="1:6">
      <c r="A3856" t="s">
        <v>85</v>
      </c>
      <c r="B3856" s="2" t="s">
        <v>1493</v>
      </c>
      <c r="C3856" s="3" t="s">
        <v>1515</v>
      </c>
      <c r="D3856" s="7">
        <v>5130</v>
      </c>
      <c r="E3856" t="s">
        <v>12</v>
      </c>
      <c r="F3856" s="10">
        <v>1.02</v>
      </c>
    </row>
    <row r="3857" spans="1:6">
      <c r="A3857" t="s">
        <v>85</v>
      </c>
      <c r="B3857" t="s">
        <v>1516</v>
      </c>
      <c r="C3857" s="1" t="s">
        <v>1517</v>
      </c>
      <c r="D3857" s="7">
        <v>974</v>
      </c>
      <c r="E3857" t="s">
        <v>9</v>
      </c>
      <c r="F3857" s="9">
        <v>0.76600000000000001</v>
      </c>
    </row>
    <row r="3858" spans="1:6">
      <c r="A3858" t="s">
        <v>85</v>
      </c>
      <c r="B3858" t="s">
        <v>1516</v>
      </c>
      <c r="C3858" s="1" t="s">
        <v>1518</v>
      </c>
      <c r="D3858" s="7">
        <v>980</v>
      </c>
      <c r="E3858" t="s">
        <v>9</v>
      </c>
      <c r="F3858" s="9">
        <v>0.73399999999999999</v>
      </c>
    </row>
    <row r="3859" spans="1:6">
      <c r="A3859" t="s">
        <v>85</v>
      </c>
      <c r="B3859" t="s">
        <v>1516</v>
      </c>
      <c r="C3859" s="1" t="s">
        <v>1519</v>
      </c>
      <c r="D3859" s="7">
        <v>986</v>
      </c>
      <c r="E3859" t="s">
        <v>9</v>
      </c>
      <c r="F3859" s="9">
        <v>0.77900000000000003</v>
      </c>
    </row>
    <row r="3860" spans="1:6">
      <c r="A3860" t="s">
        <v>85</v>
      </c>
      <c r="B3860" t="s">
        <v>1516</v>
      </c>
      <c r="C3860" s="1" t="s">
        <v>1520</v>
      </c>
      <c r="D3860" s="7">
        <v>992</v>
      </c>
      <c r="E3860" t="s">
        <v>9</v>
      </c>
      <c r="F3860" s="9">
        <v>0.91</v>
      </c>
    </row>
    <row r="3861" spans="1:6">
      <c r="A3861" t="s">
        <v>85</v>
      </c>
      <c r="B3861" t="s">
        <v>1516</v>
      </c>
      <c r="C3861" s="1" t="s">
        <v>1521</v>
      </c>
      <c r="D3861" s="7">
        <v>998</v>
      </c>
      <c r="E3861" t="s">
        <v>9</v>
      </c>
      <c r="F3861" s="9">
        <v>0.77700000000000002</v>
      </c>
    </row>
    <row r="3862" spans="1:6">
      <c r="A3862" t="s">
        <v>85</v>
      </c>
      <c r="B3862" t="s">
        <v>1516</v>
      </c>
      <c r="C3862" s="1" t="s">
        <v>1522</v>
      </c>
      <c r="D3862" s="7">
        <v>1004</v>
      </c>
      <c r="E3862" t="s">
        <v>9</v>
      </c>
      <c r="F3862" s="9">
        <v>0.79200000000000004</v>
      </c>
    </row>
    <row r="3863" spans="1:6">
      <c r="A3863" t="s">
        <v>85</v>
      </c>
      <c r="B3863" t="s">
        <v>1516</v>
      </c>
      <c r="C3863" s="1" t="s">
        <v>1523</v>
      </c>
      <c r="D3863" s="7">
        <v>1010</v>
      </c>
      <c r="E3863" t="s">
        <v>9</v>
      </c>
      <c r="F3863" s="9">
        <v>0.95899999999999996</v>
      </c>
    </row>
    <row r="3864" spans="1:6">
      <c r="A3864" t="s">
        <v>85</v>
      </c>
      <c r="B3864" t="s">
        <v>1516</v>
      </c>
      <c r="C3864" s="1" t="s">
        <v>1524</v>
      </c>
      <c r="D3864" s="7">
        <v>1640</v>
      </c>
      <c r="E3864" t="s">
        <v>9</v>
      </c>
      <c r="F3864" s="9">
        <v>0.85199999999999998</v>
      </c>
    </row>
    <row r="3865" spans="1:6">
      <c r="A3865" t="s">
        <v>85</v>
      </c>
      <c r="B3865" t="s">
        <v>1516</v>
      </c>
      <c r="C3865" s="1" t="s">
        <v>1525</v>
      </c>
      <c r="D3865" s="7">
        <v>1646</v>
      </c>
      <c r="E3865" t="s">
        <v>9</v>
      </c>
      <c r="F3865" s="9">
        <v>0.78700000000000003</v>
      </c>
    </row>
    <row r="3866" spans="1:6">
      <c r="A3866" t="s">
        <v>85</v>
      </c>
      <c r="B3866" t="s">
        <v>1516</v>
      </c>
      <c r="C3866" s="1" t="s">
        <v>1526</v>
      </c>
      <c r="D3866" s="7">
        <v>1652</v>
      </c>
      <c r="E3866" t="s">
        <v>9</v>
      </c>
      <c r="F3866" s="9">
        <v>0.84499999999999997</v>
      </c>
    </row>
    <row r="3867" spans="1:6">
      <c r="A3867" t="s">
        <v>85</v>
      </c>
      <c r="B3867" t="s">
        <v>1516</v>
      </c>
      <c r="C3867" s="1" t="s">
        <v>1517</v>
      </c>
      <c r="D3867" s="7">
        <v>975</v>
      </c>
      <c r="E3867" t="s">
        <v>10</v>
      </c>
      <c r="F3867" s="9">
        <v>0.96899999999999997</v>
      </c>
    </row>
    <row r="3868" spans="1:6">
      <c r="A3868" t="s">
        <v>85</v>
      </c>
      <c r="B3868" t="s">
        <v>1516</v>
      </c>
      <c r="C3868" s="1" t="s">
        <v>1518</v>
      </c>
      <c r="D3868" s="7">
        <v>981</v>
      </c>
      <c r="E3868" t="s">
        <v>10</v>
      </c>
      <c r="F3868" s="9">
        <v>0.89800000000000002</v>
      </c>
    </row>
    <row r="3869" spans="1:6">
      <c r="A3869" t="s">
        <v>85</v>
      </c>
      <c r="B3869" t="s">
        <v>1516</v>
      </c>
      <c r="C3869" s="1" t="s">
        <v>1519</v>
      </c>
      <c r="D3869" s="7">
        <v>987</v>
      </c>
      <c r="E3869" t="s">
        <v>10</v>
      </c>
      <c r="F3869" s="9">
        <v>0.92400000000000004</v>
      </c>
    </row>
    <row r="3870" spans="1:6">
      <c r="A3870" t="s">
        <v>85</v>
      </c>
      <c r="B3870" t="s">
        <v>1516</v>
      </c>
      <c r="C3870" s="1" t="s">
        <v>1520</v>
      </c>
      <c r="D3870" s="7">
        <v>993</v>
      </c>
      <c r="E3870" t="s">
        <v>10</v>
      </c>
      <c r="F3870" s="1">
        <v>1.1919999999999999</v>
      </c>
    </row>
    <row r="3871" spans="1:6">
      <c r="A3871" t="s">
        <v>85</v>
      </c>
      <c r="B3871" t="s">
        <v>1516</v>
      </c>
      <c r="C3871" s="1" t="s">
        <v>1521</v>
      </c>
      <c r="D3871" s="7">
        <v>999</v>
      </c>
      <c r="E3871" t="s">
        <v>10</v>
      </c>
      <c r="F3871" s="9">
        <v>1.0069999999999999</v>
      </c>
    </row>
    <row r="3872" spans="1:6">
      <c r="A3872" t="s">
        <v>85</v>
      </c>
      <c r="B3872" t="s">
        <v>1516</v>
      </c>
      <c r="C3872" s="1" t="s">
        <v>1522</v>
      </c>
      <c r="D3872" s="7">
        <v>1005</v>
      </c>
      <c r="E3872" t="s">
        <v>10</v>
      </c>
      <c r="F3872" s="1">
        <v>1.044</v>
      </c>
    </row>
    <row r="3873" spans="1:6">
      <c r="A3873" t="s">
        <v>85</v>
      </c>
      <c r="B3873" t="s">
        <v>1516</v>
      </c>
      <c r="C3873" s="1" t="s">
        <v>1523</v>
      </c>
      <c r="D3873" s="7">
        <v>1011</v>
      </c>
      <c r="E3873" t="s">
        <v>10</v>
      </c>
      <c r="F3873" s="1">
        <v>1.1990000000000001</v>
      </c>
    </row>
    <row r="3874" spans="1:6">
      <c r="A3874" t="s">
        <v>85</v>
      </c>
      <c r="B3874" t="s">
        <v>1516</v>
      </c>
      <c r="C3874" s="1" t="s">
        <v>1524</v>
      </c>
      <c r="D3874" s="7">
        <v>1641</v>
      </c>
      <c r="E3874" t="s">
        <v>10</v>
      </c>
      <c r="F3874" s="9">
        <v>0.90700000000000003</v>
      </c>
    </row>
    <row r="3875" spans="1:6">
      <c r="A3875" t="s">
        <v>85</v>
      </c>
      <c r="B3875" t="s">
        <v>1516</v>
      </c>
      <c r="C3875" s="1" t="s">
        <v>1525</v>
      </c>
      <c r="D3875" s="7">
        <v>1647</v>
      </c>
      <c r="E3875" t="s">
        <v>10</v>
      </c>
      <c r="F3875" s="1">
        <v>1.125</v>
      </c>
    </row>
    <row r="3876" spans="1:6">
      <c r="A3876" t="s">
        <v>85</v>
      </c>
      <c r="B3876" t="s">
        <v>1516</v>
      </c>
      <c r="C3876" s="1" t="s">
        <v>1526</v>
      </c>
      <c r="D3876" s="7">
        <v>1653</v>
      </c>
      <c r="E3876" t="s">
        <v>10</v>
      </c>
      <c r="F3876" s="9">
        <v>0.95099999999999996</v>
      </c>
    </row>
    <row r="3877" spans="1:6">
      <c r="A3877" t="s">
        <v>85</v>
      </c>
      <c r="B3877" t="s">
        <v>1516</v>
      </c>
      <c r="C3877" s="1" t="s">
        <v>1517</v>
      </c>
      <c r="D3877" s="7">
        <v>973</v>
      </c>
      <c r="E3877" t="s">
        <v>11</v>
      </c>
      <c r="F3877" s="1">
        <v>2.4590000000000001</v>
      </c>
    </row>
    <row r="3878" spans="1:6">
      <c r="A3878" t="s">
        <v>85</v>
      </c>
      <c r="B3878" t="s">
        <v>1516</v>
      </c>
      <c r="C3878" s="1" t="s">
        <v>1518</v>
      </c>
      <c r="D3878" s="7">
        <v>979</v>
      </c>
      <c r="E3878" t="s">
        <v>11</v>
      </c>
      <c r="F3878" s="1">
        <v>2.1629999999999998</v>
      </c>
    </row>
    <row r="3879" spans="1:6">
      <c r="A3879" t="s">
        <v>85</v>
      </c>
      <c r="B3879" t="s">
        <v>1516</v>
      </c>
      <c r="C3879" s="1" t="s">
        <v>1519</v>
      </c>
      <c r="D3879" s="7">
        <v>985</v>
      </c>
      <c r="E3879" t="s">
        <v>11</v>
      </c>
      <c r="F3879" s="1">
        <v>2.5590000000000002</v>
      </c>
    </row>
    <row r="3880" spans="1:6">
      <c r="A3880" t="s">
        <v>85</v>
      </c>
      <c r="B3880" t="s">
        <v>1516</v>
      </c>
      <c r="C3880" s="1" t="s">
        <v>1520</v>
      </c>
      <c r="D3880" s="7">
        <v>991</v>
      </c>
      <c r="E3880" t="s">
        <v>11</v>
      </c>
      <c r="F3880" s="1">
        <v>2.742</v>
      </c>
    </row>
    <row r="3881" spans="1:6">
      <c r="A3881" t="s">
        <v>85</v>
      </c>
      <c r="B3881" t="s">
        <v>1516</v>
      </c>
      <c r="C3881" s="1" t="s">
        <v>1521</v>
      </c>
      <c r="D3881" s="7">
        <v>997</v>
      </c>
      <c r="E3881" t="s">
        <v>11</v>
      </c>
      <c r="F3881" s="1">
        <v>2.3330000000000002</v>
      </c>
    </row>
    <row r="3882" spans="1:6">
      <c r="A3882" t="s">
        <v>85</v>
      </c>
      <c r="B3882" t="s">
        <v>1516</v>
      </c>
      <c r="C3882" s="1" t="s">
        <v>1522</v>
      </c>
      <c r="D3882" s="7">
        <v>1003</v>
      </c>
      <c r="E3882" t="s">
        <v>11</v>
      </c>
      <c r="F3882" s="1">
        <v>2.1520000000000001</v>
      </c>
    </row>
    <row r="3883" spans="1:6">
      <c r="A3883" t="s">
        <v>85</v>
      </c>
      <c r="B3883" t="s">
        <v>1516</v>
      </c>
      <c r="C3883" s="1" t="s">
        <v>1523</v>
      </c>
      <c r="D3883" s="7">
        <v>1009</v>
      </c>
      <c r="E3883" t="s">
        <v>11</v>
      </c>
      <c r="F3883" s="1">
        <v>2.8559999999999999</v>
      </c>
    </row>
    <row r="3884" spans="1:6">
      <c r="A3884" t="s">
        <v>85</v>
      </c>
      <c r="B3884" t="s">
        <v>1516</v>
      </c>
      <c r="C3884" s="1" t="s">
        <v>1524</v>
      </c>
      <c r="D3884" s="7">
        <v>1639</v>
      </c>
      <c r="E3884" t="s">
        <v>11</v>
      </c>
      <c r="F3884" s="9">
        <v>2.62</v>
      </c>
    </row>
    <row r="3885" spans="1:6">
      <c r="A3885" t="s">
        <v>85</v>
      </c>
      <c r="B3885" t="s">
        <v>1516</v>
      </c>
      <c r="C3885" s="1" t="s">
        <v>1525</v>
      </c>
      <c r="D3885" s="7">
        <v>1645</v>
      </c>
      <c r="E3885" t="s">
        <v>11</v>
      </c>
      <c r="F3885" s="1">
        <v>2.4929999999999999</v>
      </c>
    </row>
    <row r="3886" spans="1:6">
      <c r="A3886" t="s">
        <v>85</v>
      </c>
      <c r="B3886" t="s">
        <v>1516</v>
      </c>
      <c r="C3886" s="1" t="s">
        <v>1526</v>
      </c>
      <c r="D3886" s="7">
        <v>1651</v>
      </c>
      <c r="E3886" t="s">
        <v>11</v>
      </c>
      <c r="F3886" s="9">
        <v>2.59</v>
      </c>
    </row>
    <row r="3887" spans="1:6">
      <c r="A3887" t="s">
        <v>85</v>
      </c>
      <c r="B3887" s="2" t="s">
        <v>1516</v>
      </c>
      <c r="C3887" s="3" t="s">
        <v>1527</v>
      </c>
      <c r="D3887" s="7">
        <v>5102</v>
      </c>
      <c r="E3887" t="s">
        <v>12</v>
      </c>
      <c r="F3887" s="10">
        <v>1.0900000000000001</v>
      </c>
    </row>
    <row r="3888" spans="1:6">
      <c r="A3888" t="s">
        <v>85</v>
      </c>
      <c r="B3888" s="2" t="s">
        <v>1516</v>
      </c>
      <c r="C3888" s="3" t="s">
        <v>1528</v>
      </c>
      <c r="D3888" s="7">
        <v>5104</v>
      </c>
      <c r="E3888" t="s">
        <v>12</v>
      </c>
      <c r="F3888" s="10">
        <v>0.99</v>
      </c>
    </row>
    <row r="3889" spans="1:6">
      <c r="A3889" t="s">
        <v>85</v>
      </c>
      <c r="B3889" s="2" t="s">
        <v>1516</v>
      </c>
      <c r="C3889" s="3" t="s">
        <v>1529</v>
      </c>
      <c r="D3889" s="7">
        <v>5103</v>
      </c>
      <c r="E3889" t="s">
        <v>12</v>
      </c>
      <c r="F3889" s="10">
        <v>0.96</v>
      </c>
    </row>
    <row r="3890" spans="1:6">
      <c r="A3890" t="s">
        <v>85</v>
      </c>
      <c r="B3890" t="s">
        <v>1530</v>
      </c>
      <c r="C3890" s="1" t="s">
        <v>1531</v>
      </c>
      <c r="D3890" s="7">
        <v>751</v>
      </c>
      <c r="E3890" t="s">
        <v>9</v>
      </c>
      <c r="F3890" s="9">
        <v>0.77700000000000002</v>
      </c>
    </row>
    <row r="3891" spans="1:6">
      <c r="A3891" t="s">
        <v>85</v>
      </c>
      <c r="B3891" t="s">
        <v>1530</v>
      </c>
      <c r="C3891" s="1" t="s">
        <v>1532</v>
      </c>
      <c r="D3891" s="7">
        <v>757</v>
      </c>
      <c r="E3891" t="s">
        <v>9</v>
      </c>
      <c r="F3891" s="9">
        <v>0.79300000000000004</v>
      </c>
    </row>
    <row r="3892" spans="1:6">
      <c r="A3892" t="s">
        <v>85</v>
      </c>
      <c r="B3892" t="s">
        <v>1530</v>
      </c>
      <c r="C3892" s="1" t="s">
        <v>1533</v>
      </c>
      <c r="D3892" s="7">
        <v>763</v>
      </c>
      <c r="E3892" t="s">
        <v>9</v>
      </c>
      <c r="F3892" s="9">
        <v>0.80400000000000005</v>
      </c>
    </row>
    <row r="3893" spans="1:6">
      <c r="A3893" t="s">
        <v>85</v>
      </c>
      <c r="B3893" t="s">
        <v>1530</v>
      </c>
      <c r="C3893" s="1" t="s">
        <v>1534</v>
      </c>
      <c r="D3893" s="7">
        <v>769</v>
      </c>
      <c r="E3893" t="s">
        <v>9</v>
      </c>
      <c r="F3893" s="9">
        <v>0.79800000000000004</v>
      </c>
    </row>
    <row r="3894" spans="1:6">
      <c r="A3894" t="s">
        <v>85</v>
      </c>
      <c r="B3894" t="s">
        <v>1530</v>
      </c>
      <c r="C3894" s="1" t="s">
        <v>1535</v>
      </c>
      <c r="D3894" s="7">
        <v>775</v>
      </c>
      <c r="E3894" t="s">
        <v>9</v>
      </c>
      <c r="F3894" s="9">
        <v>0.77400000000000002</v>
      </c>
    </row>
    <row r="3895" spans="1:6">
      <c r="A3895" t="s">
        <v>85</v>
      </c>
      <c r="B3895" t="s">
        <v>1530</v>
      </c>
      <c r="C3895" s="1" t="s">
        <v>1536</v>
      </c>
      <c r="D3895" s="7">
        <v>781</v>
      </c>
      <c r="E3895" t="s">
        <v>9</v>
      </c>
      <c r="F3895" s="9">
        <v>0.76700000000000002</v>
      </c>
    </row>
    <row r="3896" spans="1:6">
      <c r="A3896" t="s">
        <v>85</v>
      </c>
      <c r="B3896" t="s">
        <v>1530</v>
      </c>
      <c r="C3896" s="1" t="s">
        <v>1537</v>
      </c>
      <c r="D3896" s="7">
        <v>787</v>
      </c>
      <c r="E3896" t="s">
        <v>9</v>
      </c>
      <c r="F3896" s="9">
        <v>0.80200000000000005</v>
      </c>
    </row>
    <row r="3897" spans="1:6">
      <c r="A3897" t="s">
        <v>85</v>
      </c>
      <c r="B3897" t="s">
        <v>1530</v>
      </c>
      <c r="C3897" s="1" t="s">
        <v>1538</v>
      </c>
      <c r="D3897" s="7">
        <v>860</v>
      </c>
      <c r="E3897" t="s">
        <v>9</v>
      </c>
      <c r="F3897" s="9">
        <v>0.78500000000000003</v>
      </c>
    </row>
    <row r="3898" spans="1:6">
      <c r="A3898" t="s">
        <v>85</v>
      </c>
      <c r="B3898" t="s">
        <v>1530</v>
      </c>
      <c r="C3898" s="1" t="s">
        <v>1539</v>
      </c>
      <c r="D3898" s="7">
        <v>866</v>
      </c>
      <c r="E3898" t="s">
        <v>9</v>
      </c>
      <c r="F3898" s="9">
        <v>0.81399999999999995</v>
      </c>
    </row>
    <row r="3899" spans="1:6">
      <c r="A3899" t="s">
        <v>85</v>
      </c>
      <c r="B3899" t="s">
        <v>1530</v>
      </c>
      <c r="C3899" s="1" t="s">
        <v>1540</v>
      </c>
      <c r="D3899" s="7">
        <v>872</v>
      </c>
      <c r="E3899" t="s">
        <v>9</v>
      </c>
      <c r="F3899" s="9">
        <v>0.748</v>
      </c>
    </row>
    <row r="3900" spans="1:6">
      <c r="A3900" t="s">
        <v>85</v>
      </c>
      <c r="B3900" t="s">
        <v>1530</v>
      </c>
      <c r="C3900" s="1" t="s">
        <v>1531</v>
      </c>
      <c r="D3900" s="7">
        <v>752</v>
      </c>
      <c r="E3900" t="s">
        <v>10</v>
      </c>
      <c r="F3900" s="1">
        <v>1.091</v>
      </c>
    </row>
    <row r="3901" spans="1:6">
      <c r="A3901" t="s">
        <v>85</v>
      </c>
      <c r="B3901" t="s">
        <v>1530</v>
      </c>
      <c r="C3901" s="1" t="s">
        <v>1532</v>
      </c>
      <c r="D3901" s="7">
        <v>758</v>
      </c>
      <c r="E3901" t="s">
        <v>10</v>
      </c>
      <c r="F3901" s="1">
        <v>1.0960000000000001</v>
      </c>
    </row>
    <row r="3902" spans="1:6">
      <c r="A3902" t="s">
        <v>85</v>
      </c>
      <c r="B3902" t="s">
        <v>1530</v>
      </c>
      <c r="C3902" s="1" t="s">
        <v>1533</v>
      </c>
      <c r="D3902" s="7">
        <v>764</v>
      </c>
      <c r="E3902" t="s">
        <v>10</v>
      </c>
      <c r="F3902" s="1">
        <v>1.139</v>
      </c>
    </row>
    <row r="3903" spans="1:6">
      <c r="A3903" t="s">
        <v>85</v>
      </c>
      <c r="B3903" t="s">
        <v>1530</v>
      </c>
      <c r="C3903" s="1" t="s">
        <v>1534</v>
      </c>
      <c r="D3903" s="7">
        <v>770</v>
      </c>
      <c r="E3903" t="s">
        <v>10</v>
      </c>
      <c r="F3903" s="1">
        <v>1.1080000000000001</v>
      </c>
    </row>
    <row r="3904" spans="1:6">
      <c r="A3904" t="s">
        <v>85</v>
      </c>
      <c r="B3904" t="s">
        <v>1530</v>
      </c>
      <c r="C3904" s="1" t="s">
        <v>1535</v>
      </c>
      <c r="D3904" s="7">
        <v>776</v>
      </c>
      <c r="E3904" t="s">
        <v>10</v>
      </c>
      <c r="F3904" s="1">
        <v>1.0609999999999999</v>
      </c>
    </row>
    <row r="3905" spans="1:6">
      <c r="A3905" t="s">
        <v>85</v>
      </c>
      <c r="B3905" t="s">
        <v>1530</v>
      </c>
      <c r="C3905" s="1" t="s">
        <v>1536</v>
      </c>
      <c r="D3905" s="7">
        <v>782</v>
      </c>
      <c r="E3905" t="s">
        <v>10</v>
      </c>
      <c r="F3905" s="1">
        <v>1.111</v>
      </c>
    </row>
    <row r="3906" spans="1:6">
      <c r="A3906" t="s">
        <v>85</v>
      </c>
      <c r="B3906" t="s">
        <v>1530</v>
      </c>
      <c r="C3906" s="1" t="s">
        <v>1537</v>
      </c>
      <c r="D3906" s="7">
        <v>788</v>
      </c>
      <c r="E3906" t="s">
        <v>10</v>
      </c>
      <c r="F3906" s="1">
        <v>1.0469999999999999</v>
      </c>
    </row>
    <row r="3907" spans="1:6">
      <c r="A3907" t="s">
        <v>85</v>
      </c>
      <c r="B3907" t="s">
        <v>1530</v>
      </c>
      <c r="C3907" s="1" t="s">
        <v>1538</v>
      </c>
      <c r="D3907" s="7">
        <v>861</v>
      </c>
      <c r="E3907" t="s">
        <v>10</v>
      </c>
      <c r="F3907" s="9">
        <v>0.97799999999999998</v>
      </c>
    </row>
    <row r="3908" spans="1:6">
      <c r="A3908" t="s">
        <v>85</v>
      </c>
      <c r="B3908" t="s">
        <v>1530</v>
      </c>
      <c r="C3908" s="1" t="s">
        <v>1539</v>
      </c>
      <c r="D3908" s="7">
        <v>867</v>
      </c>
      <c r="E3908" t="s">
        <v>10</v>
      </c>
      <c r="F3908" s="9">
        <v>0.92600000000000005</v>
      </c>
    </row>
    <row r="3909" spans="1:6">
      <c r="A3909" t="s">
        <v>85</v>
      </c>
      <c r="B3909" t="s">
        <v>1530</v>
      </c>
      <c r="C3909" s="1" t="s">
        <v>1540</v>
      </c>
      <c r="D3909" s="7">
        <v>873</v>
      </c>
      <c r="E3909" t="s">
        <v>10</v>
      </c>
      <c r="F3909" s="9">
        <v>0.97099999999999997</v>
      </c>
    </row>
    <row r="3910" spans="1:6">
      <c r="A3910" t="s">
        <v>85</v>
      </c>
      <c r="B3910" t="s">
        <v>1530</v>
      </c>
      <c r="C3910" s="1" t="s">
        <v>1531</v>
      </c>
      <c r="D3910" s="7">
        <v>750</v>
      </c>
      <c r="E3910" t="s">
        <v>11</v>
      </c>
      <c r="F3910" s="1">
        <v>2.5539999999999998</v>
      </c>
    </row>
    <row r="3911" spans="1:6">
      <c r="A3911" t="s">
        <v>85</v>
      </c>
      <c r="B3911" t="s">
        <v>1530</v>
      </c>
      <c r="C3911" s="1" t="s">
        <v>1532</v>
      </c>
      <c r="D3911" s="7">
        <v>756</v>
      </c>
      <c r="E3911" t="s">
        <v>11</v>
      </c>
      <c r="F3911" s="1">
        <v>2.5049999999999999</v>
      </c>
    </row>
    <row r="3912" spans="1:6">
      <c r="A3912" t="s">
        <v>85</v>
      </c>
      <c r="B3912" t="s">
        <v>1530</v>
      </c>
      <c r="C3912" s="1" t="s">
        <v>1533</v>
      </c>
      <c r="D3912" s="7">
        <v>762</v>
      </c>
      <c r="E3912" t="s">
        <v>11</v>
      </c>
      <c r="F3912" s="1">
        <v>2.4390000000000001</v>
      </c>
    </row>
    <row r="3913" spans="1:6">
      <c r="A3913" t="s">
        <v>85</v>
      </c>
      <c r="B3913" t="s">
        <v>1530</v>
      </c>
      <c r="C3913" s="1" t="s">
        <v>1534</v>
      </c>
      <c r="D3913" s="7">
        <v>768</v>
      </c>
      <c r="E3913" t="s">
        <v>11</v>
      </c>
      <c r="F3913" s="1">
        <v>2.3740000000000001</v>
      </c>
    </row>
    <row r="3914" spans="1:6">
      <c r="A3914" t="s">
        <v>85</v>
      </c>
      <c r="B3914" t="s">
        <v>1530</v>
      </c>
      <c r="C3914" s="1" t="s">
        <v>1535</v>
      </c>
      <c r="D3914" s="7">
        <v>774</v>
      </c>
      <c r="E3914" t="s">
        <v>11</v>
      </c>
      <c r="F3914" s="1">
        <v>2.4140000000000001</v>
      </c>
    </row>
    <row r="3915" spans="1:6">
      <c r="A3915" t="s">
        <v>85</v>
      </c>
      <c r="B3915" t="s">
        <v>1530</v>
      </c>
      <c r="C3915" s="1" t="s">
        <v>1536</v>
      </c>
      <c r="D3915" s="7">
        <v>780</v>
      </c>
      <c r="E3915" t="s">
        <v>11</v>
      </c>
      <c r="F3915" s="9">
        <v>2.52</v>
      </c>
    </row>
    <row r="3916" spans="1:6">
      <c r="A3916" t="s">
        <v>85</v>
      </c>
      <c r="B3916" t="s">
        <v>1530</v>
      </c>
      <c r="C3916" s="1" t="s">
        <v>1537</v>
      </c>
      <c r="D3916" s="7">
        <v>786</v>
      </c>
      <c r="E3916" t="s">
        <v>11</v>
      </c>
      <c r="F3916" s="1">
        <v>2.3889999999999998</v>
      </c>
    </row>
    <row r="3917" spans="1:6">
      <c r="A3917" t="s">
        <v>85</v>
      </c>
      <c r="B3917" t="s">
        <v>1530</v>
      </c>
      <c r="C3917" s="1" t="s">
        <v>1538</v>
      </c>
      <c r="D3917" s="7">
        <v>859</v>
      </c>
      <c r="E3917" t="s">
        <v>11</v>
      </c>
      <c r="F3917" s="1">
        <v>2.633</v>
      </c>
    </row>
    <row r="3918" spans="1:6">
      <c r="A3918" t="s">
        <v>85</v>
      </c>
      <c r="B3918" t="s">
        <v>1530</v>
      </c>
      <c r="C3918" s="1" t="s">
        <v>1539</v>
      </c>
      <c r="D3918" s="7">
        <v>865</v>
      </c>
      <c r="E3918" t="s">
        <v>11</v>
      </c>
      <c r="F3918" s="1">
        <v>2.569</v>
      </c>
    </row>
    <row r="3919" spans="1:6">
      <c r="A3919" t="s">
        <v>85</v>
      </c>
      <c r="B3919" t="s">
        <v>1530</v>
      </c>
      <c r="C3919" s="1" t="s">
        <v>1540</v>
      </c>
      <c r="D3919" s="7">
        <v>871</v>
      </c>
      <c r="E3919" t="s">
        <v>11</v>
      </c>
      <c r="F3919" s="1">
        <v>2.6720000000000002</v>
      </c>
    </row>
    <row r="3920" spans="1:6">
      <c r="A3920" t="s">
        <v>85</v>
      </c>
      <c r="B3920" s="2" t="s">
        <v>1530</v>
      </c>
      <c r="C3920" s="3" t="s">
        <v>1541</v>
      </c>
      <c r="D3920" s="7">
        <v>5097</v>
      </c>
      <c r="E3920" t="s">
        <v>12</v>
      </c>
      <c r="F3920" s="10">
        <v>0.96</v>
      </c>
    </row>
    <row r="3921" spans="1:6">
      <c r="A3921" t="s">
        <v>85</v>
      </c>
      <c r="B3921" s="2" t="s">
        <v>1530</v>
      </c>
      <c r="C3921" s="3" t="s">
        <v>1542</v>
      </c>
      <c r="D3921" s="7">
        <v>5098</v>
      </c>
      <c r="E3921" t="s">
        <v>12</v>
      </c>
      <c r="F3921" s="10">
        <v>0.88</v>
      </c>
    </row>
    <row r="3922" spans="1:6">
      <c r="A3922" t="s">
        <v>85</v>
      </c>
      <c r="B3922" s="2" t="s">
        <v>1530</v>
      </c>
      <c r="C3922" s="3" t="s">
        <v>1543</v>
      </c>
      <c r="D3922" s="7">
        <v>5096</v>
      </c>
      <c r="E3922" t="s">
        <v>12</v>
      </c>
      <c r="F3922" s="10">
        <v>1.06</v>
      </c>
    </row>
    <row r="3923" spans="1:6">
      <c r="A3923" t="s">
        <v>1544</v>
      </c>
      <c r="B3923" t="s">
        <v>1545</v>
      </c>
      <c r="C3923" s="1" t="s">
        <v>1546</v>
      </c>
      <c r="D3923" s="7">
        <v>1880</v>
      </c>
      <c r="E3923" t="s">
        <v>9</v>
      </c>
      <c r="F3923" s="9">
        <v>5.5</v>
      </c>
    </row>
    <row r="3924" spans="1:6">
      <c r="A3924" t="s">
        <v>1544</v>
      </c>
      <c r="B3924" t="s">
        <v>1545</v>
      </c>
      <c r="C3924" s="1" t="s">
        <v>1546</v>
      </c>
      <c r="D3924" s="7">
        <v>1881</v>
      </c>
      <c r="E3924" t="s">
        <v>10</v>
      </c>
      <c r="F3924" s="9">
        <v>6.8</v>
      </c>
    </row>
    <row r="3925" spans="1:6">
      <c r="A3925" t="s">
        <v>1544</v>
      </c>
      <c r="B3925" t="s">
        <v>1545</v>
      </c>
      <c r="C3925" s="1" t="s">
        <v>1546</v>
      </c>
      <c r="D3925" s="7">
        <v>1879</v>
      </c>
      <c r="E3925" t="s">
        <v>11</v>
      </c>
      <c r="F3925" s="9">
        <v>16.8</v>
      </c>
    </row>
    <row r="3926" spans="1:6">
      <c r="A3926" t="s">
        <v>1544</v>
      </c>
      <c r="B3926" t="s">
        <v>1545</v>
      </c>
      <c r="C3926" s="3" t="s">
        <v>1546</v>
      </c>
      <c r="D3926" s="7">
        <v>4697</v>
      </c>
      <c r="E3926" t="s">
        <v>12</v>
      </c>
      <c r="F3926" s="10">
        <v>5.84</v>
      </c>
    </row>
    <row r="3927" spans="1:6">
      <c r="A3927" t="s">
        <v>1544</v>
      </c>
      <c r="B3927" t="s">
        <v>1547</v>
      </c>
      <c r="C3927" s="3" t="s">
        <v>1548</v>
      </c>
      <c r="D3927" s="7">
        <v>4701</v>
      </c>
      <c r="E3927" t="s">
        <v>9</v>
      </c>
      <c r="F3927" s="10">
        <v>8.0399999999999991</v>
      </c>
    </row>
    <row r="3928" spans="1:6">
      <c r="A3928" t="s">
        <v>1544</v>
      </c>
      <c r="B3928" t="s">
        <v>1547</v>
      </c>
      <c r="C3928" s="3" t="s">
        <v>1548</v>
      </c>
      <c r="D3928" s="7">
        <v>4702</v>
      </c>
      <c r="E3928" t="s">
        <v>10</v>
      </c>
      <c r="F3928" s="10">
        <f>3.65+5.99</f>
        <v>9.64</v>
      </c>
    </row>
    <row r="3929" spans="1:6">
      <c r="A3929" t="s">
        <v>1544</v>
      </c>
      <c r="B3929" t="s">
        <v>1547</v>
      </c>
      <c r="C3929" s="3" t="s">
        <v>1548</v>
      </c>
      <c r="D3929" s="7">
        <v>4699</v>
      </c>
      <c r="E3929" t="s">
        <v>11</v>
      </c>
      <c r="F3929" s="10">
        <v>22.44</v>
      </c>
    </row>
    <row r="3930" spans="1:6">
      <c r="A3930" t="s">
        <v>1544</v>
      </c>
      <c r="B3930" t="s">
        <v>1547</v>
      </c>
      <c r="C3930" s="3" t="s">
        <v>1548</v>
      </c>
      <c r="D3930" s="7">
        <v>4700</v>
      </c>
      <c r="E3930" t="s">
        <v>12</v>
      </c>
      <c r="F3930" s="10">
        <v>7.17</v>
      </c>
    </row>
  </sheetData>
  <sortState xmlns:xlrd2="http://schemas.microsoft.com/office/spreadsheetml/2017/richdata2" ref="B2:F3930">
    <sortCondition ref="B3478:B3930"/>
  </sortState>
  <phoneticPr fontId="3" type="noConversion"/>
  <dataValidations count="1">
    <dataValidation type="list" allowBlank="1" sqref="C2:C484" xr:uid="{69BED59D-5B5B-43ED-9F8B-D6215A0EE873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 Diniz</dc:creator>
  <cp:keywords/>
  <dc:description/>
  <cp:lastModifiedBy>Anna Rebello Landim</cp:lastModifiedBy>
  <cp:revision/>
  <dcterms:created xsi:type="dcterms:W3CDTF">2024-09-05T13:20:05Z</dcterms:created>
  <dcterms:modified xsi:type="dcterms:W3CDTF">2026-04-13T10:39:00Z</dcterms:modified>
  <cp:category/>
  <cp:contentStatus/>
</cp:coreProperties>
</file>